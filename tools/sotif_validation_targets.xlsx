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Validation Target" sheetId="2" state="visible" r:id="rId4"/>
    <sheet name="Factor Table" sheetId="3" state="visible" r:id="rId5"/>
    <sheet name="Benchmarks" sheetId="4" state="visible" r:id="rId6"/>
    <sheet name="Exercises" sheetId="5" state="visible" r:id="rId7"/>
    <sheet name="Sensitivity" sheetId="6" state="visible" r:id="rId8"/>
    <sheet name="Assumptions &amp; 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<sst xmlns="http://schemas.openxmlformats.org/spreadsheetml/2006/main" count="199" uniqueCount="142">
  <si>
    <t xml:space="preserve">Inputs</t>
  </si>
  <si>
    <t xml:space="preserve">Blue text on yellow = edit these. Everything else in the workbook recalculates from them.</t>
  </si>
  <si>
    <t xml:space="preserve">Parameter</t>
  </si>
  <si>
    <t xml:space="preserve">Symbol</t>
  </si>
  <si>
    <t xml:space="preserve">Value</t>
  </si>
  <si>
    <t xml:space="preserve">Unit</t>
  </si>
  <si>
    <t xml:space="preserve">Source / note</t>
  </si>
  <si>
    <t xml:space="preserve">Acceptance criterion for harm H</t>
  </si>
  <si>
    <t xml:space="preserve">A_H</t>
  </si>
  <si>
    <t xml:space="preserve">1/h</t>
  </si>
  <si>
    <t xml:space="preserve">Example value from Lesson 1, Exercise 1 (not a MOTOR AI figure).</t>
  </si>
  <si>
    <t xml:space="preserve">Exposure: P(hazardous scenario | hazardous behaviour)</t>
  </si>
  <si>
    <t xml:space="preserve">P(E|HB)</t>
  </si>
  <si>
    <t xml:space="preserve">-</t>
  </si>
  <si>
    <t xml:space="preserve">Example. Must be justified for your ODD and routing (Putze et al. 2023).</t>
  </si>
  <si>
    <t xml:space="preserve">Non-controllability: P(not controlled | E)</t>
  </si>
  <si>
    <t xml:space="preserve">P(C̄|E)</t>
  </si>
  <si>
    <t xml:space="preserve">Example. For L4, depends on fallback / minimal-risk manoeuvre.</t>
  </si>
  <si>
    <t xml:space="preserve">Severity: P(severity S reached | not controlled)</t>
  </si>
  <si>
    <t xml:space="preserve">P(S|C̄)</t>
  </si>
  <si>
    <t xml:space="preserve">Example. Correct conditioning is P(S|C̄,E,HB) (Putze et al. 2023).</t>
  </si>
  <si>
    <t xml:space="preserve">Confidence level</t>
  </si>
  <si>
    <t xml:space="preserve">C</t>
  </si>
  <si>
    <t xml:space="preserve">Frequentist confidence. In Betschinske et al. 2025, alpha = 1 - C.</t>
  </si>
  <si>
    <t xml:space="preserve">Hazardous behaviours allowed in the test plan</t>
  </si>
  <si>
    <t xml:space="preserve">k</t>
  </si>
  <si>
    <t xml:space="preserve">events</t>
  </si>
  <si>
    <t xml:space="preserve">Must be fixed BEFORE testing; changing it after seeing data invalidates the test.</t>
  </si>
  <si>
    <t xml:space="preserve">Test fleet size</t>
  </si>
  <si>
    <t xml:space="preserve">N_fleet</t>
  </si>
  <si>
    <t xml:space="preserve">vehicles</t>
  </si>
  <si>
    <t xml:space="preserve">Example.</t>
  </si>
  <si>
    <t xml:space="preserve">Operating hours per vehicle per year</t>
  </si>
  <si>
    <t xml:space="preserve">h_yr</t>
  </si>
  <si>
    <t xml:space="preserve">h/yr</t>
  </si>
  <si>
    <t xml:space="preserve">Example. 24/7 operation = 8766 h/yr.</t>
  </si>
  <si>
    <t xml:space="preserve">Legend: blue = input, black = formula, green = link to another sheet.</t>
  </si>
  <si>
    <t xml:space="preserve">Acceptance criterion → validation target</t>
  </si>
  <si>
    <t xml:space="preserve">ISO 21448 Annex C.2 decomposition + Poisson test (Lesson 1, Eq. 1–3)</t>
  </si>
  <si>
    <t xml:space="preserve">Quantity</t>
  </si>
  <si>
    <t xml:space="preserve">Formula / equation</t>
  </si>
  <si>
    <t xml:space="preserve">Acceptance criterion</t>
  </si>
  <si>
    <t xml:space="preserve">Input</t>
  </si>
  <si>
    <t xml:space="preserve">Product of conditional factors</t>
  </si>
  <si>
    <t xml:space="preserve">P(E|HB)·P(C̄|E)·P(S|C̄)</t>
  </si>
  <si>
    <t xml:space="preserve">Eq. 1 denominator</t>
  </si>
  <si>
    <t xml:space="preserve">Tolerable hazardous-behaviour rate</t>
  </si>
  <si>
    <t xml:space="preserve">R_HB</t>
  </si>
  <si>
    <t xml:space="preserve">Eq. 1: R_HB = A_H / [P(E|HB)·P(C̄|E)·P(S|C̄)]</t>
  </si>
  <si>
    <t xml:space="preserve">Confidence</t>
  </si>
  <si>
    <t xml:space="preserve">Events allowed</t>
  </si>
  <si>
    <t xml:space="preserve">Poisson factor</t>
  </si>
  <si>
    <t xml:space="preserve">λ_k(C)</t>
  </si>
  <si>
    <t xml:space="preserve">Eq. 3: λ_k(C) = ½·χ²_{2(k+1)}(C)  (CHIINV takes the right-tail probability 1−C)</t>
  </si>
  <si>
    <t xml:space="preserve">Zero-failure shortcut (k=0)</t>
  </si>
  <si>
    <t xml:space="preserve">−ln(1−C)</t>
  </si>
  <si>
    <t xml:space="preserve">Eq. 2: equals λ_0(C); ≈ 3.00 at C=0.95 (rule of three)</t>
  </si>
  <si>
    <t xml:space="preserve">Required test exposure</t>
  </si>
  <si>
    <t xml:space="preserve">τ_k</t>
  </si>
  <si>
    <t xml:space="preserve">h</t>
  </si>
  <si>
    <t xml:space="preserve">Eq. 3: τ_k = λ_k(C) / R_HB</t>
  </si>
  <si>
    <t xml:space="preserve">Fleet hours per year</t>
  </si>
  <si>
    <t xml:space="preserve">N_fleet·h_yr</t>
  </si>
  <si>
    <t xml:space="preserve">Calendar time with this fleet</t>
  </si>
  <si>
    <t xml:space="preserve">τ_k / (N·h_yr)</t>
  </si>
  <si>
    <t xml:space="preserve">years</t>
  </si>
  <si>
    <t xml:space="preserve">Check: P(X ≤ k | λ_k)</t>
  </si>
  <si>
    <t xml:space="preserve">should equal 1−C</t>
  </si>
  <si>
    <t xml:space="preserve">Poisson CDF at the plan limit; must equal 1 − C</t>
  </si>
  <si>
    <t xml:space="preserve">Check: 1 − C</t>
  </si>
  <si>
    <t xml:space="preserve">Cost of allowing k events vs k=0</t>
  </si>
  <si>
    <t xml:space="preserve">λ_k / λ_0</t>
  </si>
  <si>
    <t xml:space="preserve">×</t>
  </si>
  <si>
    <t xml:space="preserve">λ_k(C) = ½·χ²_{2(k+1)}(C)</t>
  </si>
  <si>
    <t xml:space="preserve">Exposure multiplier for plans allowing k events. τ_k = λ_k(C) / R_HB.</t>
  </si>
  <si>
    <t xml:space="preserve">C \ k</t>
  </si>
  <si>
    <t xml:space="preserve">Ratio vs k = 0</t>
  </si>
  <si>
    <t xml:space="preserve">Price of confidence (k = 0)</t>
  </si>
  <si>
    <t xml:space="preserve">τ(0.99) / τ(0.95)</t>
  </si>
  <si>
    <t xml:space="preserve">τ(0.95) / τ(0.90)</t>
  </si>
  <si>
    <t xml:space="preserve">Benchmarks</t>
  </si>
  <si>
    <t xml:space="preserve">Kalra &amp; Paddock (RAND RR-1478, 2016) and Schaller et al. (Discover AI 6:1172, 2026)</t>
  </si>
  <si>
    <t xml:space="preserve">Formula / source</t>
  </si>
  <si>
    <t xml:space="preserve">RAND: US fatality rate (2013)</t>
  </si>
  <si>
    <t xml:space="preserve">1/mile</t>
  </si>
  <si>
    <t xml:space="preserve">Kalra &amp; Paddock 2016: 1.09 fatalities per 100 million miles (32,719 fatalities)</t>
  </si>
  <si>
    <t xml:space="preserve">Kalra &amp; Paddock 2016</t>
  </si>
  <si>
    <t xml:space="preserve">Failure-free miles, exact</t>
  </si>
  <si>
    <t xml:space="preserve">miles</t>
  </si>
  <si>
    <t xml:space="preserve">n = ln(1−C)/ln(1−F)  (RAND Eq. 2, R = 1−F)</t>
  </si>
  <si>
    <t xml:space="preserve">Failure-free miles, Poisson approx.</t>
  </si>
  <si>
    <t xml:space="preserve">n ≈ −ln(1−C)/F   (Lesson 1, Eq. 2)</t>
  </si>
  <si>
    <t xml:space="preserve">Fleet: vehicles</t>
  </si>
  <si>
    <t xml:space="preserve">RAND scenario</t>
  </si>
  <si>
    <t xml:space="preserve">Fleet: average speed</t>
  </si>
  <si>
    <t xml:space="preserve">mph</t>
  </si>
  <si>
    <t xml:space="preserve">RAND scenario, 24/7 operation</t>
  </si>
  <si>
    <t xml:space="preserve">Years to drive the exact miles</t>
  </si>
  <si>
    <t xml:space="preserve">RAND: ≈ 12.5 years</t>
  </si>
  <si>
    <t xml:space="preserve">Schaller: example criterion</t>
  </si>
  <si>
    <t xml:space="preserve">Schaller et al. 2026 §5.1: overlooking a car on the other lane ≤ 1e-9 per hour</t>
  </si>
  <si>
    <t xml:space="preserve">Failure-free hours at C (B6)</t>
  </si>
  <si>
    <t xml:space="preserve">τ = −ln(1−C)/R</t>
  </si>
  <si>
    <t xml:space="preserve">Hours per year, 24/7</t>
  </si>
  <si>
    <t xml:space="preserve">365.25 × 24</t>
  </si>
  <si>
    <t xml:space="preserve">Single-vehicle years</t>
  </si>
  <si>
    <t xml:space="preserve">Fleet size for comparison</t>
  </si>
  <si>
    <t xml:space="preserve">Illustrative</t>
  </si>
  <si>
    <t xml:space="preserve">Fleet years</t>
  </si>
  <si>
    <t xml:space="preserve">Lesson 1 exercises — worked</t>
  </si>
  <si>
    <t xml:space="preserve">Independent of the Inputs sheet so the answers stay fixed.</t>
  </si>
  <si>
    <t xml:space="preserve">Item</t>
  </si>
  <si>
    <t xml:space="preserve">Formula</t>
  </si>
  <si>
    <t xml:space="preserve">E1/E2: A_H</t>
  </si>
  <si>
    <t xml:space="preserve">Given</t>
  </si>
  <si>
    <t xml:space="preserve">Eq. 1</t>
  </si>
  <si>
    <t xml:space="preserve">E1 answer: τ (k = 0)</t>
  </si>
  <si>
    <t xml:space="preserve">Eq. 2 → 299,573 h</t>
  </si>
  <si>
    <t xml:space="preserve">E2 answer: τ₁ (k = 1)</t>
  </si>
  <si>
    <t xml:space="preserve">Eq. 3 → ≈ 474,386 h</t>
  </si>
  <si>
    <t xml:space="preserve">E2: cost vs k = 0</t>
  </si>
  <si>
    <t xml:space="preserve">≈ 1.58</t>
  </si>
  <si>
    <t xml:space="preserve">E3 answer: τ(0.99)/τ(0.95)</t>
  </si>
  <si>
    <t xml:space="preserve">≈ 1.54</t>
  </si>
  <si>
    <t xml:space="preserve">Required failure-free hours τ = −ln(1−C) / R_HB</t>
  </si>
  <si>
    <t xml:space="preserve">Rows: tolerable rate R_HB. Columns: confidence C. Shows τ ∝ 1/R but only ∝ −ln(1−C).</t>
  </si>
  <si>
    <t xml:space="preserve">R_HB (1/h) \ C</t>
  </si>
  <si>
    <t xml:space="preserve">What a passed test silently assumes</t>
  </si>
  <si>
    <t xml:space="preserve">Ask these of any validation-target result.</t>
  </si>
  <si>
    <t xml:space="preserve">1. Homogeneous Poisson process: constant rate, independent events.</t>
  </si>
  <si>
    <t xml:space="preserve">2. Representative exposure: test mix of conditions = deployed mix (per ODD stratum).</t>
  </si>
  <si>
    <t xml:space="preserve">3. Frozen software: all hours on the release candidate, or an argued carry-over.</t>
  </si>
  <si>
    <t xml:space="preserve">4. One behaviour per harm: if several HBs lead to H, rates add — allocate the budget (Bonferroni, Putze et al. Eq. 2).</t>
  </si>
  <si>
    <t xml:space="preserve">5. Frequentist meaning: a system exactly at R passes with probability ≤ 1−C; not P(rate &lt; R) = C without a stated prior.</t>
  </si>
  <si>
    <t xml:space="preserve">6. Factors in Eq. 1 are system-dependent (route, ODD, fallback) and need their own justification.</t>
  </si>
  <si>
    <t xml:space="preserve">7. k and τ are fixed before testing; extending after an observed event inflates the type-I error.</t>
  </si>
  <si>
    <t xml:space="preserve">Sources</t>
  </si>
  <si>
    <t xml:space="preserve">ISO 21448:2022, Clauses 6 and 9, Annex C.2–C.3 (licensed standard).</t>
  </si>
  <si>
    <t xml:space="preserve">Putze, Westhofen, Koopmann, Böde, Neurohr (2023). On Quantification for SOTIF Validation of Automated Driving Systems. arXiv:2304.10170</t>
  </si>
  <si>
    <t xml:space="preserve">Betschinske et al. (2025). Towards more efficient quantitative safety validation of residual risk for assisted and automated driving. arXiv:2506.10363</t>
  </si>
  <si>
    <t xml:space="preserve">Kalra, N. &amp; Paddock, S. M. (2016). Driving to Safety. RAND RR-1478. https://www.rand.org/pubs/research_reports/RR1478.html</t>
  </si>
  <si>
    <t xml:space="preserve">Schaller et al. (2026). Addressing SOTIF with a runtime monitor ensemble for AI-based perception systems. Discover AI 6:1172. doi:10.1007/s44163-026-02186-z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</si>
</sst>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E+00"/>
    <numFmt numFmtId="166" formatCode="0.000"/>
    <numFmt numFmtId="167" formatCode="0.00"/>
    <numFmt numFmtId="168" formatCode="0"/>
    <numFmt numFmtId="169" formatCode="0.0000"/>
    <numFmt numFmtId="170" formatCode="#,##0"/>
    <numFmt numFmtId="171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6B63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B63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5" t="n">
        <v>1E-007</v>
      </c>
      <c r="D5" s="4" t="s">
        <v>9</v>
      </c>
      <c r="E5" s="4" t="s">
        <v>10</v>
      </c>
    </row>
    <row r="6" customFormat="false" ht="15" hidden="false" customHeight="false" outlineLevel="0" collapsed="false">
      <c r="A6" s="4" t="s">
        <v>11</v>
      </c>
      <c r="B6" s="4" t="s">
        <v>12</v>
      </c>
      <c r="C6" s="6" t="n">
        <v>0.1</v>
      </c>
      <c r="D6" s="4" t="s">
        <v>13</v>
      </c>
      <c r="E6" s="4" t="s">
        <v>14</v>
      </c>
    </row>
    <row r="7" customFormat="false" ht="15" hidden="false" customHeight="false" outlineLevel="0" collapsed="false">
      <c r="A7" s="4" t="s">
        <v>15</v>
      </c>
      <c r="B7" s="4" t="s">
        <v>16</v>
      </c>
      <c r="C7" s="6" t="n">
        <v>0.5</v>
      </c>
      <c r="D7" s="4" t="s">
        <v>13</v>
      </c>
      <c r="E7" s="4" t="s">
        <v>17</v>
      </c>
    </row>
    <row r="8" customFormat="false" ht="15" hidden="false" customHeight="false" outlineLevel="0" collapsed="false">
      <c r="A8" s="4" t="s">
        <v>18</v>
      </c>
      <c r="B8" s="4" t="s">
        <v>19</v>
      </c>
      <c r="C8" s="6" t="n">
        <v>0.2</v>
      </c>
      <c r="D8" s="4" t="s">
        <v>13</v>
      </c>
      <c r="E8" s="4" t="s">
        <v>20</v>
      </c>
    </row>
    <row r="9" customFormat="false" ht="15" hidden="false" customHeight="false" outlineLevel="0" collapsed="false">
      <c r="A9" s="4" t="s">
        <v>21</v>
      </c>
      <c r="B9" s="4" t="s">
        <v>22</v>
      </c>
      <c r="C9" s="6" t="n">
        <v>0.95</v>
      </c>
      <c r="D9" s="4" t="s">
        <v>13</v>
      </c>
      <c r="E9" s="4" t="s">
        <v>23</v>
      </c>
    </row>
    <row r="10" customFormat="false" ht="15" hidden="false" customHeight="false" outlineLevel="0" collapsed="false">
      <c r="A10" s="4" t="s">
        <v>24</v>
      </c>
      <c r="B10" s="4" t="s">
        <v>25</v>
      </c>
      <c r="C10" s="5" t="n">
        <v>0</v>
      </c>
      <c r="D10" s="4" t="s">
        <v>26</v>
      </c>
      <c r="E10" s="4" t="s">
        <v>27</v>
      </c>
    </row>
    <row r="11" customFormat="false" ht="15" hidden="false" customHeight="false" outlineLevel="0" collapsed="false">
      <c r="A11" s="4" t="s">
        <v>28</v>
      </c>
      <c r="B11" s="4" t="s">
        <v>29</v>
      </c>
      <c r="C11" s="6" t="n">
        <v>50</v>
      </c>
      <c r="D11" s="4" t="s">
        <v>30</v>
      </c>
      <c r="E11" s="4" t="s">
        <v>31</v>
      </c>
    </row>
    <row r="12" customFormat="false" ht="15" hidden="false" customHeight="false" outlineLevel="0" collapsed="false">
      <c r="A12" s="4" t="s">
        <v>32</v>
      </c>
      <c r="B12" s="4" t="s">
        <v>33</v>
      </c>
      <c r="C12" s="6" t="n">
        <v>3000</v>
      </c>
      <c r="D12" s="4" t="s">
        <v>34</v>
      </c>
      <c r="E12" s="4" t="s">
        <v>35</v>
      </c>
    </row>
    <row r="14" customFormat="false" ht="15" hidden="false" customHeight="false" outlineLevel="0" collapsed="false">
      <c r="A14" s="7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3" t="s">
        <v>39</v>
      </c>
      <c r="B4" s="3" t="s">
        <v>3</v>
      </c>
      <c r="C4" s="3" t="s">
        <v>4</v>
      </c>
      <c r="D4" s="3" t="s">
        <v>5</v>
      </c>
      <c r="E4" s="3" t="s">
        <v>40</v>
      </c>
    </row>
    <row r="5" customFormat="false" ht="15" hidden="false" customHeight="false" outlineLevel="0" collapsed="false">
      <c r="A5" s="4" t="s">
        <v>41</v>
      </c>
      <c r="B5" s="4" t="s">
        <v>8</v>
      </c>
      <c r="C5" s="8" t="n">
        <f aca="false">Inputs!C5</f>
        <v>1E-007</v>
      </c>
      <c r="D5" s="4" t="s">
        <v>9</v>
      </c>
      <c r="E5" s="4" t="s">
        <v>42</v>
      </c>
    </row>
    <row r="6" customFormat="false" ht="15" hidden="false" customHeight="false" outlineLevel="0" collapsed="false">
      <c r="A6" s="4" t="s">
        <v>43</v>
      </c>
      <c r="B6" s="4" t="s">
        <v>44</v>
      </c>
      <c r="C6" s="9" t="n">
        <f aca="false">Inputs!C6*Inputs!C7*Inputs!C8</f>
        <v>0.01</v>
      </c>
      <c r="D6" s="4" t="s">
        <v>13</v>
      </c>
      <c r="E6" s="4" t="s">
        <v>45</v>
      </c>
    </row>
    <row r="7" customFormat="false" ht="15" hidden="false" customHeight="false" outlineLevel="0" collapsed="false">
      <c r="A7" s="4" t="s">
        <v>46</v>
      </c>
      <c r="B7" s="4" t="s">
        <v>47</v>
      </c>
      <c r="C7" s="10" t="n">
        <f aca="false">C5/C6</f>
        <v>1E-005</v>
      </c>
      <c r="D7" s="4" t="s">
        <v>9</v>
      </c>
      <c r="E7" s="4" t="s">
        <v>48</v>
      </c>
    </row>
    <row r="8" customFormat="false" ht="15" hidden="false" customHeight="false" outlineLevel="0" collapsed="false">
      <c r="A8" s="4" t="s">
        <v>49</v>
      </c>
      <c r="B8" s="4" t="s">
        <v>22</v>
      </c>
      <c r="C8" s="11" t="n">
        <f aca="false">Inputs!C9</f>
        <v>0.95</v>
      </c>
      <c r="D8" s="4" t="s">
        <v>13</v>
      </c>
      <c r="E8" s="4" t="s">
        <v>42</v>
      </c>
    </row>
    <row r="9" customFormat="false" ht="15" hidden="false" customHeight="false" outlineLevel="0" collapsed="false">
      <c r="A9" s="4" t="s">
        <v>50</v>
      </c>
      <c r="B9" s="4" t="s">
        <v>25</v>
      </c>
      <c r="C9" s="12" t="n">
        <f aca="false">Inputs!C10</f>
        <v>0</v>
      </c>
      <c r="D9" s="4" t="s">
        <v>26</v>
      </c>
      <c r="E9" s="4" t="s">
        <v>42</v>
      </c>
    </row>
    <row r="10" customFormat="false" ht="15" hidden="false" customHeight="false" outlineLevel="0" collapsed="false">
      <c r="A10" s="4" t="s">
        <v>51</v>
      </c>
      <c r="B10" s="4" t="s">
        <v>52</v>
      </c>
      <c r="C10" s="13" t="n">
        <f aca="false">CHIINV(1-C8,2*(C9+1))/2</f>
        <v>2.99573227355399</v>
      </c>
      <c r="D10" s="4" t="s">
        <v>13</v>
      </c>
      <c r="E10" s="4" t="s">
        <v>53</v>
      </c>
    </row>
    <row r="11" customFormat="false" ht="15" hidden="false" customHeight="false" outlineLevel="0" collapsed="false">
      <c r="A11" s="4" t="s">
        <v>54</v>
      </c>
      <c r="B11" s="4" t="s">
        <v>55</v>
      </c>
      <c r="C11" s="13" t="n">
        <f aca="false">-LN(1-C8)</f>
        <v>2.99573227355399</v>
      </c>
      <c r="D11" s="4" t="s">
        <v>13</v>
      </c>
      <c r="E11" s="4" t="s">
        <v>56</v>
      </c>
    </row>
    <row r="12" customFormat="false" ht="15" hidden="false" customHeight="false" outlineLevel="0" collapsed="false">
      <c r="A12" s="4" t="s">
        <v>57</v>
      </c>
      <c r="B12" s="4" t="s">
        <v>58</v>
      </c>
      <c r="C12" s="14" t="n">
        <f aca="false">C10/C7</f>
        <v>299573.227355399</v>
      </c>
      <c r="D12" s="4" t="s">
        <v>59</v>
      </c>
      <c r="E12" s="4" t="s">
        <v>60</v>
      </c>
    </row>
    <row r="13" customFormat="false" ht="15" hidden="false" customHeight="false" outlineLevel="0" collapsed="false">
      <c r="A13" s="4" t="s">
        <v>61</v>
      </c>
      <c r="B13" s="4" t="s">
        <v>62</v>
      </c>
      <c r="C13" s="14" t="n">
        <f aca="false">Inputs!C11*Inputs!C12</f>
        <v>150000</v>
      </c>
      <c r="D13" s="4" t="s">
        <v>34</v>
      </c>
      <c r="E13" s="4" t="s">
        <v>0</v>
      </c>
    </row>
    <row r="14" customFormat="false" ht="15" hidden="false" customHeight="false" outlineLevel="0" collapsed="false">
      <c r="A14" s="4" t="s">
        <v>63</v>
      </c>
      <c r="B14" s="4" t="s">
        <v>64</v>
      </c>
      <c r="C14" s="15" t="n">
        <f aca="false">C12/C13</f>
        <v>1.99715484903599</v>
      </c>
      <c r="D14" s="4" t="s">
        <v>65</v>
      </c>
      <c r="E14" s="4"/>
    </row>
    <row r="15" customFormat="false" ht="15" hidden="false" customHeight="false" outlineLevel="0" collapsed="false">
      <c r="A15" s="4" t="s">
        <v>66</v>
      </c>
      <c r="B15" s="4" t="s">
        <v>67</v>
      </c>
      <c r="C15" s="13" t="n">
        <f aca="false">POISSON(C9,C10,TRUE())</f>
        <v>0.0500000000000001</v>
      </c>
      <c r="D15" s="4" t="s">
        <v>13</v>
      </c>
      <c r="E15" s="4" t="s">
        <v>68</v>
      </c>
    </row>
    <row r="16" customFormat="false" ht="15" hidden="false" customHeight="false" outlineLevel="0" collapsed="false">
      <c r="A16" s="4" t="s">
        <v>69</v>
      </c>
      <c r="B16" s="4"/>
      <c r="C16" s="13" t="n">
        <f aca="false">1-C8</f>
        <v>0.05</v>
      </c>
      <c r="D16" s="4" t="s">
        <v>13</v>
      </c>
      <c r="E16" s="4"/>
    </row>
    <row r="17" customFormat="false" ht="15" hidden="false" customHeight="false" outlineLevel="0" collapsed="false">
      <c r="A17" s="4" t="s">
        <v>70</v>
      </c>
      <c r="B17" s="4" t="s">
        <v>71</v>
      </c>
      <c r="C17" s="15" t="n">
        <f aca="false">C10/C11</f>
        <v>1</v>
      </c>
      <c r="D17" s="4" t="s">
        <v>72</v>
      </c>
      <c r="E1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1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A4" s="16" t="s">
        <v>75</v>
      </c>
      <c r="B4" s="16" t="n">
        <v>0</v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</row>
    <row r="5" customFormat="false" ht="15" hidden="false" customHeight="false" outlineLevel="0" collapsed="false">
      <c r="A5" s="17" t="n">
        <v>0.9</v>
      </c>
      <c r="B5" s="9" t="n">
        <f aca="false">CHIINV(1-$A5,2*(B$4+1))/2</f>
        <v>2.30258509299405</v>
      </c>
      <c r="C5" s="9" t="n">
        <f aca="false">CHIINV(1-$A5,2*(C$4+1))/2</f>
        <v>3.88972016986743</v>
      </c>
      <c r="D5" s="9" t="n">
        <f aca="false">CHIINV(1-$A5,2*(D$4+1))/2</f>
        <v>5.32232033783421</v>
      </c>
      <c r="E5" s="9" t="n">
        <f aca="false">CHIINV(1-$A5,2*(E$4+1))/2</f>
        <v>6.68078306825586</v>
      </c>
      <c r="F5" s="9" t="n">
        <f aca="false">CHIINV(1-$A5,2*(F$4+1))/2</f>
        <v>7.99358958605263</v>
      </c>
      <c r="G5" s="9" t="n">
        <f aca="false">CHIINV(1-$A5,2*(G$4+1))/2</f>
        <v>9.27467389335162</v>
      </c>
    </row>
    <row r="6" customFormat="false" ht="15" hidden="false" customHeight="false" outlineLevel="0" collapsed="false">
      <c r="A6" s="17" t="n">
        <v>0.95</v>
      </c>
      <c r="B6" s="9" t="n">
        <f aca="false">CHIINV(1-$A6,2*(B$4+1))/2</f>
        <v>2.99573227355399</v>
      </c>
      <c r="C6" s="9" t="n">
        <f aca="false">CHIINV(1-$A6,2*(C$4+1))/2</f>
        <v>4.74386451839058</v>
      </c>
      <c r="D6" s="9" t="n">
        <f aca="false">CHIINV(1-$A6,2*(D$4+1))/2</f>
        <v>6.29579362187199</v>
      </c>
      <c r="E6" s="9" t="n">
        <f aca="false">CHIINV(1-$A6,2*(E$4+1))/2</f>
        <v>7.75365652793273</v>
      </c>
      <c r="F6" s="9" t="n">
        <f aca="false">CHIINV(1-$A6,2*(F$4+1))/2</f>
        <v>9.15351902663757</v>
      </c>
      <c r="G6" s="9" t="n">
        <f aca="false">CHIINV(1-$A6,2*(G$4+1))/2</f>
        <v>10.5130349087415</v>
      </c>
    </row>
    <row r="7" customFormat="false" ht="15" hidden="false" customHeight="false" outlineLevel="0" collapsed="false">
      <c r="A7" s="17" t="n">
        <v>0.99</v>
      </c>
      <c r="B7" s="9" t="n">
        <f aca="false">CHIINV(1-$A7,2*(B$4+1))/2</f>
        <v>4.60517018598809</v>
      </c>
      <c r="C7" s="9" t="n">
        <f aca="false">CHIINV(1-$A7,2*(C$4+1))/2</f>
        <v>6.63835206799381</v>
      </c>
      <c r="D7" s="9" t="n">
        <f aca="false">CHIINV(1-$A7,2*(D$4+1))/2</f>
        <v>8.40594691488547</v>
      </c>
      <c r="E7" s="9" t="n">
        <f aca="false">CHIINV(1-$A7,2*(E$4+1))/2</f>
        <v>10.0451175148316</v>
      </c>
      <c r="F7" s="9" t="n">
        <f aca="false">CHIINV(1-$A7,2*(F$4+1))/2</f>
        <v>11.6046255794772</v>
      </c>
      <c r="G7" s="9" t="n">
        <f aca="false">CHIINV(1-$A7,2*(G$4+1))/2</f>
        <v>13.1084836527679</v>
      </c>
    </row>
    <row r="9" customFormat="false" ht="15" hidden="false" customHeight="false" outlineLevel="0" collapsed="false">
      <c r="A9" s="18" t="s">
        <v>76</v>
      </c>
    </row>
    <row r="10" customFormat="false" ht="15" hidden="false" customHeight="false" outlineLevel="0" collapsed="false">
      <c r="A10" s="15" t="n">
        <f aca="false">A5</f>
        <v>0.9</v>
      </c>
      <c r="B10" s="15" t="n">
        <f aca="false">B5/$B5</f>
        <v>1</v>
      </c>
      <c r="C10" s="15" t="n">
        <f aca="false">C5/$B5</f>
        <v>1.6892840059212</v>
      </c>
      <c r="D10" s="15" t="n">
        <f aca="false">D5/$B5</f>
        <v>2.31145435364285</v>
      </c>
      <c r="E10" s="15" t="n">
        <f aca="false">E5/$B5</f>
        <v>2.9014272213362</v>
      </c>
      <c r="F10" s="15" t="n">
        <f aca="false">F5/$B5</f>
        <v>3.47157184782196</v>
      </c>
      <c r="G10" s="15" t="n">
        <f aca="false">G5/$B5</f>
        <v>4.02793969333476</v>
      </c>
    </row>
    <row r="11" customFormat="false" ht="15" hidden="false" customHeight="false" outlineLevel="0" collapsed="false">
      <c r="A11" s="15" t="n">
        <f aca="false">A6</f>
        <v>0.95</v>
      </c>
      <c r="B11" s="15" t="n">
        <f aca="false">B6/$B6</f>
        <v>1</v>
      </c>
      <c r="C11" s="15" t="n">
        <f aca="false">C6/$B6</f>
        <v>1.5835408792264</v>
      </c>
      <c r="D11" s="15" t="n">
        <f aca="false">D6/$B6</f>
        <v>2.10158754086625</v>
      </c>
      <c r="E11" s="15" t="n">
        <f aca="false">E6/$B6</f>
        <v>2.58823413439886</v>
      </c>
      <c r="F11" s="15" t="n">
        <f aca="false">F6/$B6</f>
        <v>3.05551971631239</v>
      </c>
      <c r="G11" s="15" t="n">
        <f aca="false">G6/$B6</f>
        <v>3.50933726673425</v>
      </c>
    </row>
    <row r="12" customFormat="false" ht="15" hidden="false" customHeight="false" outlineLevel="0" collapsed="false">
      <c r="A12" s="15" t="n">
        <f aca="false">A7</f>
        <v>0.99</v>
      </c>
      <c r="B12" s="15" t="n">
        <f aca="false">B7/$B7</f>
        <v>1</v>
      </c>
      <c r="C12" s="15" t="n">
        <f aca="false">C7/$B7</f>
        <v>1.44149983603038</v>
      </c>
      <c r="D12" s="15" t="n">
        <f aca="false">D7/$B7</f>
        <v>1.82532818015321</v>
      </c>
      <c r="E12" s="15" t="n">
        <f aca="false">E7/$B7</f>
        <v>2.18126955338054</v>
      </c>
      <c r="F12" s="15" t="n">
        <f aca="false">F7/$B7</f>
        <v>2.51991242686013</v>
      </c>
      <c r="G12" s="15" t="n">
        <f aca="false">G7/$B7</f>
        <v>2.84647105825805</v>
      </c>
    </row>
    <row r="14" customFormat="false" ht="15" hidden="false" customHeight="false" outlineLevel="0" collapsed="false">
      <c r="A14" s="18" t="s">
        <v>77</v>
      </c>
    </row>
    <row r="15" customFormat="false" ht="15" hidden="false" customHeight="false" outlineLevel="0" collapsed="false">
      <c r="A15" s="4" t="s">
        <v>78</v>
      </c>
      <c r="B15" s="9" t="n">
        <f aca="false">LN(1-0.99)/LN(1-0.95)</f>
        <v>1.53724357368048</v>
      </c>
    </row>
    <row r="16" customFormat="false" ht="15" hidden="false" customHeight="false" outlineLevel="0" collapsed="false">
      <c r="A16" s="4" t="s">
        <v>79</v>
      </c>
      <c r="B16" s="9" t="n">
        <f aca="false">LN(1-0.95)/LN(1-0.9)</f>
        <v>1.30102999566398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85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4" customFormat="false" ht="15" hidden="false" customHeight="false" outlineLevel="0" collapsed="false">
      <c r="A4" s="3" t="s">
        <v>39</v>
      </c>
      <c r="B4" s="3" t="s">
        <v>4</v>
      </c>
      <c r="C4" s="3" t="s">
        <v>5</v>
      </c>
      <c r="D4" s="3" t="s">
        <v>82</v>
      </c>
    </row>
    <row r="5" customFormat="false" ht="15" hidden="false" customHeight="false" outlineLevel="0" collapsed="false">
      <c r="A5" s="4" t="s">
        <v>83</v>
      </c>
      <c r="B5" s="5" t="n">
        <v>1.09E-008</v>
      </c>
      <c r="C5" s="4" t="s">
        <v>84</v>
      </c>
      <c r="D5" s="4" t="s">
        <v>85</v>
      </c>
    </row>
    <row r="6" customFormat="false" ht="15" hidden="false" customHeight="false" outlineLevel="0" collapsed="false">
      <c r="A6" s="4" t="s">
        <v>49</v>
      </c>
      <c r="B6" s="17" t="n">
        <v>0.95</v>
      </c>
      <c r="C6" s="4" t="s">
        <v>13</v>
      </c>
      <c r="D6" s="4" t="s">
        <v>86</v>
      </c>
    </row>
    <row r="7" customFormat="false" ht="15" hidden="false" customHeight="false" outlineLevel="0" collapsed="false">
      <c r="A7" s="4" t="s">
        <v>87</v>
      </c>
      <c r="B7" s="14" t="n">
        <f aca="false">LN(1-B6)/LN(1-B5)</f>
        <v>274837821.418741</v>
      </c>
      <c r="C7" s="4" t="s">
        <v>88</v>
      </c>
      <c r="D7" s="4" t="s">
        <v>89</v>
      </c>
    </row>
    <row r="8" customFormat="false" ht="15" hidden="false" customHeight="false" outlineLevel="0" collapsed="false">
      <c r="A8" s="4" t="s">
        <v>90</v>
      </c>
      <c r="B8" s="14" t="n">
        <f aca="false">-LN(1-B6)/B5</f>
        <v>274837823.261834</v>
      </c>
      <c r="C8" s="4" t="s">
        <v>88</v>
      </c>
      <c r="D8" s="4" t="s">
        <v>91</v>
      </c>
    </row>
    <row r="9" customFormat="false" ht="15" hidden="false" customHeight="false" outlineLevel="0" collapsed="false">
      <c r="A9" s="4" t="s">
        <v>92</v>
      </c>
      <c r="B9" s="19" t="n">
        <v>100</v>
      </c>
      <c r="C9" s="4" t="s">
        <v>30</v>
      </c>
      <c r="D9" s="4" t="s">
        <v>93</v>
      </c>
    </row>
    <row r="10" customFormat="false" ht="15" hidden="false" customHeight="false" outlineLevel="0" collapsed="false">
      <c r="A10" s="4" t="s">
        <v>94</v>
      </c>
      <c r="B10" s="19" t="n">
        <v>25</v>
      </c>
      <c r="C10" s="4" t="s">
        <v>95</v>
      </c>
      <c r="D10" s="4" t="s">
        <v>96</v>
      </c>
    </row>
    <row r="11" customFormat="false" ht="15" hidden="false" customHeight="false" outlineLevel="0" collapsed="false">
      <c r="A11" s="4" t="s">
        <v>97</v>
      </c>
      <c r="B11" s="20" t="n">
        <f aca="false">B7/(B9*B10*24*365)</f>
        <v>12.5496722109014</v>
      </c>
      <c r="C11" s="4" t="s">
        <v>65</v>
      </c>
      <c r="D11" s="4" t="s">
        <v>98</v>
      </c>
    </row>
    <row r="12" customFormat="false" ht="15" hidden="false" customHeight="false" outlineLevel="0" collapsed="false">
      <c r="A12" s="4" t="s">
        <v>99</v>
      </c>
      <c r="B12" s="5" t="n">
        <v>1E-009</v>
      </c>
      <c r="C12" s="4" t="s">
        <v>9</v>
      </c>
      <c r="D12" s="4" t="s">
        <v>100</v>
      </c>
    </row>
    <row r="13" customFormat="false" ht="15" hidden="false" customHeight="false" outlineLevel="0" collapsed="false">
      <c r="A13" s="4" t="s">
        <v>101</v>
      </c>
      <c r="B13" s="10" t="n">
        <f aca="false">-LN(1-B6)/B12</f>
        <v>2995732273.55399</v>
      </c>
      <c r="C13" s="4" t="s">
        <v>59</v>
      </c>
      <c r="D13" s="4" t="s">
        <v>102</v>
      </c>
    </row>
    <row r="14" customFormat="false" ht="15" hidden="false" customHeight="false" outlineLevel="0" collapsed="false">
      <c r="A14" s="4" t="s">
        <v>103</v>
      </c>
      <c r="B14" s="21" t="n">
        <v>8766</v>
      </c>
      <c r="C14" s="4" t="s">
        <v>34</v>
      </c>
      <c r="D14" s="4" t="s">
        <v>104</v>
      </c>
    </row>
    <row r="15" customFormat="false" ht="15" hidden="false" customHeight="false" outlineLevel="0" collapsed="false">
      <c r="A15" s="4" t="s">
        <v>105</v>
      </c>
      <c r="B15" s="14" t="n">
        <f aca="false">B13/B14</f>
        <v>341744.498466118</v>
      </c>
      <c r="C15" s="4" t="s">
        <v>65</v>
      </c>
      <c r="D15" s="4"/>
    </row>
    <row r="16" customFormat="false" ht="15" hidden="false" customHeight="false" outlineLevel="0" collapsed="false">
      <c r="A16" s="4" t="s">
        <v>106</v>
      </c>
      <c r="B16" s="21" t="n">
        <v>10000</v>
      </c>
      <c r="C16" s="4" t="s">
        <v>30</v>
      </c>
      <c r="D16" s="4" t="s">
        <v>107</v>
      </c>
    </row>
    <row r="17" customFormat="false" ht="15" hidden="false" customHeight="false" outlineLevel="0" collapsed="false">
      <c r="A17" s="4" t="s">
        <v>108</v>
      </c>
      <c r="B17" s="20" t="n">
        <f aca="false">B15/B16</f>
        <v>34.1744498466118</v>
      </c>
      <c r="C17" s="4" t="s">
        <v>65</v>
      </c>
      <c r="D1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15" hidden="false" customHeight="false" outlineLevel="0" collapsed="false">
      <c r="A4" s="3" t="s">
        <v>111</v>
      </c>
      <c r="B4" s="3" t="s">
        <v>4</v>
      </c>
      <c r="C4" s="3" t="s">
        <v>5</v>
      </c>
      <c r="D4" s="3" t="s">
        <v>112</v>
      </c>
    </row>
    <row r="5" customFormat="false" ht="15" hidden="false" customHeight="false" outlineLevel="0" collapsed="false">
      <c r="A5" s="4" t="s">
        <v>113</v>
      </c>
      <c r="B5" s="5" t="n">
        <v>1E-007</v>
      </c>
      <c r="C5" s="4" t="s">
        <v>9</v>
      </c>
      <c r="D5" s="4" t="s">
        <v>114</v>
      </c>
    </row>
    <row r="6" customFormat="false" ht="15" hidden="false" customHeight="false" outlineLevel="0" collapsed="false">
      <c r="A6" s="4" t="s">
        <v>12</v>
      </c>
      <c r="B6" s="17" t="n">
        <v>0.1</v>
      </c>
      <c r="C6" s="4" t="s">
        <v>13</v>
      </c>
      <c r="D6" s="4" t="s">
        <v>114</v>
      </c>
    </row>
    <row r="7" customFormat="false" ht="15" hidden="false" customHeight="false" outlineLevel="0" collapsed="false">
      <c r="A7" s="4" t="s">
        <v>16</v>
      </c>
      <c r="B7" s="17" t="n">
        <v>0.5</v>
      </c>
      <c r="C7" s="4" t="s">
        <v>13</v>
      </c>
      <c r="D7" s="4" t="s">
        <v>114</v>
      </c>
    </row>
    <row r="8" customFormat="false" ht="15" hidden="false" customHeight="false" outlineLevel="0" collapsed="false">
      <c r="A8" s="4" t="s">
        <v>19</v>
      </c>
      <c r="B8" s="17" t="n">
        <v>0.2</v>
      </c>
      <c r="C8" s="4" t="s">
        <v>13</v>
      </c>
      <c r="D8" s="4" t="s">
        <v>114</v>
      </c>
    </row>
    <row r="9" customFormat="false" ht="15" hidden="false" customHeight="false" outlineLevel="0" collapsed="false">
      <c r="A9" s="4" t="s">
        <v>22</v>
      </c>
      <c r="B9" s="17" t="n">
        <v>0.95</v>
      </c>
      <c r="C9" s="4" t="s">
        <v>13</v>
      </c>
      <c r="D9" s="4" t="s">
        <v>114</v>
      </c>
    </row>
    <row r="10" customFormat="false" ht="15" hidden="false" customHeight="false" outlineLevel="0" collapsed="false">
      <c r="A10" s="4" t="s">
        <v>47</v>
      </c>
      <c r="B10" s="10" t="n">
        <f aca="false">B5/(B6*B7*B8)</f>
        <v>1E-005</v>
      </c>
      <c r="C10" s="4" t="s">
        <v>9</v>
      </c>
      <c r="D10" s="4" t="s">
        <v>115</v>
      </c>
    </row>
    <row r="11" customFormat="false" ht="15" hidden="false" customHeight="false" outlineLevel="0" collapsed="false">
      <c r="A11" s="4" t="s">
        <v>116</v>
      </c>
      <c r="B11" s="14" t="n">
        <f aca="false">-LN(1-B9)/B10</f>
        <v>299573.227355399</v>
      </c>
      <c r="C11" s="4" t="s">
        <v>59</v>
      </c>
      <c r="D11" s="4" t="s">
        <v>117</v>
      </c>
    </row>
    <row r="12" customFormat="false" ht="15" hidden="false" customHeight="false" outlineLevel="0" collapsed="false">
      <c r="A12" s="4" t="s">
        <v>118</v>
      </c>
      <c r="B12" s="14" t="n">
        <f aca="false">CHIINV(1-B9,4)/2/B10</f>
        <v>474386.451839058</v>
      </c>
      <c r="C12" s="4" t="s">
        <v>59</v>
      </c>
      <c r="D12" s="4" t="s">
        <v>119</v>
      </c>
    </row>
    <row r="13" customFormat="false" ht="15" hidden="false" customHeight="false" outlineLevel="0" collapsed="false">
      <c r="A13" s="4" t="s">
        <v>120</v>
      </c>
      <c r="B13" s="15" t="n">
        <f aca="false">B12/B11</f>
        <v>1.5835408792264</v>
      </c>
      <c r="C13" s="4" t="s">
        <v>72</v>
      </c>
      <c r="D13" s="4" t="s">
        <v>121</v>
      </c>
    </row>
    <row r="14" customFormat="false" ht="15" hidden="false" customHeight="false" outlineLevel="0" collapsed="false">
      <c r="A14" s="4" t="s">
        <v>122</v>
      </c>
      <c r="B14" s="9" t="n">
        <f aca="false">LN(1-0.99)/LN(1-0.95)</f>
        <v>1.53724357368048</v>
      </c>
      <c r="C14" s="4" t="s">
        <v>72</v>
      </c>
      <c r="D14" s="4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15" hidden="false" customHeight="false" outlineLevel="0" collapsed="false">
      <c r="A4" s="16" t="s">
        <v>126</v>
      </c>
      <c r="B4" s="22" t="n">
        <v>0.5</v>
      </c>
      <c r="C4" s="22" t="n">
        <v>0.9</v>
      </c>
      <c r="D4" s="22" t="n">
        <v>0.95</v>
      </c>
      <c r="E4" s="22" t="n">
        <v>0.99</v>
      </c>
      <c r="F4" s="22" t="n">
        <v>0.999</v>
      </c>
    </row>
    <row r="5" customFormat="false" ht="15" hidden="false" customHeight="false" outlineLevel="0" collapsed="false">
      <c r="A5" s="5" t="n">
        <v>0.0001</v>
      </c>
      <c r="B5" s="10" t="n">
        <f aca="false">-LN(1-B$4)/$A5</f>
        <v>6931.47180559945</v>
      </c>
      <c r="C5" s="10" t="n">
        <f aca="false">-LN(1-C$4)/$A5</f>
        <v>23025.8509299405</v>
      </c>
      <c r="D5" s="10" t="n">
        <f aca="false">-LN(1-D$4)/$A5</f>
        <v>29957.3227355399</v>
      </c>
      <c r="E5" s="10" t="n">
        <f aca="false">-LN(1-E$4)/$A5</f>
        <v>46051.7018598809</v>
      </c>
      <c r="F5" s="10" t="n">
        <f aca="false">-LN(1-F$4)/$A5</f>
        <v>69077.5527898214</v>
      </c>
    </row>
    <row r="6" customFormat="false" ht="15" hidden="false" customHeight="false" outlineLevel="0" collapsed="false">
      <c r="A6" s="5" t="n">
        <v>1E-005</v>
      </c>
      <c r="B6" s="10" t="n">
        <f aca="false">-LN(1-B$4)/$A6</f>
        <v>69314.7180559945</v>
      </c>
      <c r="C6" s="10" t="n">
        <f aca="false">-LN(1-C$4)/$A6</f>
        <v>230258.509299405</v>
      </c>
      <c r="D6" s="10" t="n">
        <f aca="false">-LN(1-D$4)/$A6</f>
        <v>299573.227355399</v>
      </c>
      <c r="E6" s="10" t="n">
        <f aca="false">-LN(1-E$4)/$A6</f>
        <v>460517.018598809</v>
      </c>
      <c r="F6" s="10" t="n">
        <f aca="false">-LN(1-F$4)/$A6</f>
        <v>690775.527898214</v>
      </c>
    </row>
    <row r="7" customFormat="false" ht="15" hidden="false" customHeight="false" outlineLevel="0" collapsed="false">
      <c r="A7" s="5" t="n">
        <v>1E-006</v>
      </c>
      <c r="B7" s="10" t="n">
        <f aca="false">-LN(1-B$4)/$A7</f>
        <v>693147.180559945</v>
      </c>
      <c r="C7" s="10" t="n">
        <f aca="false">-LN(1-C$4)/$A7</f>
        <v>2302585.09299405</v>
      </c>
      <c r="D7" s="10" t="n">
        <f aca="false">-LN(1-D$4)/$A7</f>
        <v>2995732.27355399</v>
      </c>
      <c r="E7" s="10" t="n">
        <f aca="false">-LN(1-E$4)/$A7</f>
        <v>4605170.18598809</v>
      </c>
      <c r="F7" s="10" t="n">
        <f aca="false">-LN(1-F$4)/$A7</f>
        <v>6907755.27898214</v>
      </c>
    </row>
    <row r="8" customFormat="false" ht="15" hidden="false" customHeight="false" outlineLevel="0" collapsed="false">
      <c r="A8" s="5" t="n">
        <v>1E-007</v>
      </c>
      <c r="B8" s="10" t="n">
        <f aca="false">-LN(1-B$4)/$A8</f>
        <v>6931471.80559945</v>
      </c>
      <c r="C8" s="10" t="n">
        <f aca="false">-LN(1-C$4)/$A8</f>
        <v>23025850.9299405</v>
      </c>
      <c r="D8" s="10" t="n">
        <f aca="false">-LN(1-D$4)/$A8</f>
        <v>29957322.7355399</v>
      </c>
      <c r="E8" s="10" t="n">
        <f aca="false">-LN(1-E$4)/$A8</f>
        <v>46051701.8598809</v>
      </c>
      <c r="F8" s="10" t="n">
        <f aca="false">-LN(1-F$4)/$A8</f>
        <v>69077552.7898214</v>
      </c>
    </row>
    <row r="9" customFormat="false" ht="15" hidden="false" customHeight="false" outlineLevel="0" collapsed="false">
      <c r="A9" s="5" t="n">
        <v>1E-008</v>
      </c>
      <c r="B9" s="10" t="n">
        <f aca="false">-LN(1-B$4)/$A9</f>
        <v>69314718.0559945</v>
      </c>
      <c r="C9" s="10" t="n">
        <f aca="false">-LN(1-C$4)/$A9</f>
        <v>230258509.299405</v>
      </c>
      <c r="D9" s="10" t="n">
        <f aca="false">-LN(1-D$4)/$A9</f>
        <v>299573227.355399</v>
      </c>
      <c r="E9" s="10" t="n">
        <f aca="false">-LN(1-E$4)/$A9</f>
        <v>460517018.598809</v>
      </c>
      <c r="F9" s="10" t="n">
        <f aca="false">-LN(1-F$4)/$A9</f>
        <v>690775527.898214</v>
      </c>
    </row>
    <row r="10" customFormat="false" ht="15" hidden="false" customHeight="false" outlineLevel="0" collapsed="false">
      <c r="A10" s="5" t="n">
        <v>1E-009</v>
      </c>
      <c r="B10" s="10" t="n">
        <f aca="false">-LN(1-B$4)/$A10</f>
        <v>693147180.559945</v>
      </c>
      <c r="C10" s="10" t="n">
        <f aca="false">-LN(1-C$4)/$A10</f>
        <v>2302585092.99405</v>
      </c>
      <c r="D10" s="10" t="n">
        <f aca="false">-LN(1-D$4)/$A10</f>
        <v>2995732273.55399</v>
      </c>
      <c r="E10" s="10" t="n">
        <f aca="false">-LN(1-E$4)/$A10</f>
        <v>4605170185.98809</v>
      </c>
      <c r="F10" s="10" t="n">
        <f aca="false">-LN(1-F$4)/$A10</f>
        <v>6907755278.98214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15" hidden="false" customHeight="false" outlineLevel="0" collapsed="false">
      <c r="A4" s="23" t="s">
        <v>129</v>
      </c>
    </row>
    <row r="5" customFormat="false" ht="15" hidden="false" customHeight="false" outlineLevel="0" collapsed="false">
      <c r="A5" s="23" t="s">
        <v>130</v>
      </c>
    </row>
    <row r="6" customFormat="false" ht="15" hidden="false" customHeight="false" outlineLevel="0" collapsed="false">
      <c r="A6" s="23" t="s">
        <v>131</v>
      </c>
    </row>
    <row r="7" customFormat="false" ht="15" hidden="false" customHeight="false" outlineLevel="0" collapsed="false">
      <c r="A7" s="23" t="s">
        <v>132</v>
      </c>
    </row>
    <row r="8" customFormat="false" ht="15" hidden="false" customHeight="false" outlineLevel="0" collapsed="false">
      <c r="A8" s="23" t="s">
        <v>133</v>
      </c>
    </row>
    <row r="9" customFormat="false" ht="15" hidden="false" customHeight="false" outlineLevel="0" collapsed="false">
      <c r="A9" s="23" t="s">
        <v>134</v>
      </c>
    </row>
    <row r="10" customFormat="false" ht="15" hidden="false" customHeight="false" outlineLevel="0" collapsed="false">
      <c r="A10" s="23" t="s">
        <v>135</v>
      </c>
    </row>
    <row r="11" customFormat="false" ht="15" hidden="false" customHeight="false" outlineLevel="0" collapsed="false">
      <c r="A11" s="23"/>
    </row>
    <row r="12" customFormat="false" ht="15" hidden="false" customHeight="false" outlineLevel="0" collapsed="false">
      <c r="A12" s="18" t="s">
        <v>136</v>
      </c>
    </row>
    <row r="13" customFormat="false" ht="15" hidden="false" customHeight="false" outlineLevel="0" collapsed="false">
      <c r="A13" s="23" t="s">
        <v>137</v>
      </c>
    </row>
    <row r="14" customFormat="false" ht="15" hidden="false" customHeight="false" outlineLevel="0" collapsed="false">
      <c r="A14" s="23" t="s">
        <v>138</v>
      </c>
    </row>
    <row r="15" customFormat="false" ht="15" hidden="false" customHeight="false" outlineLevel="0" collapsed="false">
      <c r="A15" s="23" t="s">
        <v>139</v>
      </c>
    </row>
    <row r="16" customFormat="false" ht="15" hidden="false" customHeight="false" outlineLevel="0" collapsed="false">
      <c r="A16" s="23" t="s">
        <v>140</v>
      </c>
    </row>
    <row r="17" customFormat="false" ht="15" hidden="false" customHeight="false" outlineLevel="0" collapsed="false">
      <c r="A17" s="23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2026-10-20T08:14:11Z</dcterms:created>
  <dc:creator>openpyxl</dc:creator>
  <dc:description/>
  <dc:language>en-US</dc:language>
  <cp:lastModifiedBy/>
  <dcterms:modified xsi:type="dcterms:W3CDTF">2026-10-20T08:14:11Z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