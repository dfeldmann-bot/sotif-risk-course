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puts" sheetId="2" state="visible" r:id="rId4"/>
    <sheet name="HB Evidence" sheetId="3" state="visible" r:id="rId5"/>
    <sheet name="Scenarios" sheetId="4" state="visible" r:id="rId6"/>
    <sheet name="Concrete Scenarios" sheetId="5" state="visible" r:id="rId7"/>
    <sheet name="Gaussian Copula" sheetId="6" state="visible" r:id="rId8"/>
    <sheet name="Summary" sheetId="7" state="visible" r:id="rId9"/>
    <sheet name="Validation Targe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7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8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9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0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1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2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3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4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5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6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7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8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19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20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21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22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23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24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D25" authorId="0">
      <text>
        <r>
          <rPr>
            <sz val="10"/>
            <rFont val="Arial"/>
            <family val="2"/>
          </rPr>
          <t xml:space="preserve">Synthetic replay hours; trigger contexts deliberately over-sampled by route choice.</t>
        </r>
      </text>
    </comment>
    <comment ref="E6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7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8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9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0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1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2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3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4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5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6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7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8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19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20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21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22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23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24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  <comment ref="E25" authorId="0">
      <text>
        <r>
          <rPr>
            <sz val="10"/>
            <rFont val="Arial"/>
            <family val="2"/>
          </rPr>
          <t xml:space="preserve">Synthetic: drawn as Poisson(true λ · h).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2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3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4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5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6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7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8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6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7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8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99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00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01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02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03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04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M105" authorId="0">
      <text>
        <r>
          <rPr>
            <sz val="10"/>
            <rFont val="Arial"/>
            <family val="2"/>
          </rPr>
          <t xml:space="preserve">Kinematic Monte Carlo (ub_sim.py), conditioned on an HB occurring.</t>
        </r>
      </text>
    </comment>
    <comment ref="P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2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3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4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5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6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7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8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6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7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8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99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00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01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02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03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04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  <comment ref="P105" authorId="0">
      <text>
        <r>
          <rPr>
            <sz val="10"/>
            <rFont val="Arial"/>
            <family val="2"/>
          </rPr>
          <t xml:space="preserve">Mean of illustrative injury curve over simulated collisions.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6" authorId="0">
      <text>
        <r>
          <rPr>
            <sz val="10"/>
            <rFont val="Arial"/>
            <family val="2"/>
          </rPr>
          <t xml:space="preserve">Exact density ratio f/q incl. Gaussian-copula densities (ub_sim.log_density).</t>
        </r>
      </text>
    </comment>
    <comment ref="O6" authorId="0">
      <text>
        <r>
          <rPr>
            <sz val="10"/>
            <rFont val="Arial"/>
            <family val="2"/>
          </rPr>
          <t xml:space="preserve">Outcome of the kinematic simulation (ub_sim.simulate).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Ratio to budget</t>
        </r>
      </text>
    </comment>
  </commentList>
</comments>
</file>

<file path=xl/sharedStrings.xml><?xml version="1.0" encoding="utf-8"?>
<sst xmlns="http://schemas.openxmlformats.org/spreadsheetml/2006/main" count="5964" uniqueCount="1408">
  <si>
    <t xml:space="preserve">Unintended braking — scenario-based residual-risk example</t>
  </si>
  <si>
    <t xml:space="preserve">SYNTHETIC, ILLUSTRATIVE NUMBERS. Shows the calculation chain, not any real system.</t>
  </si>
  <si>
    <t xml:space="preserve">Validation target</t>
  </si>
  <si>
    <t xml:space="preserve">Rate of MAIS2+ injuries from rear-end collisions caused by unintended (phantom) braking of the ego vehicle ≤ A_H per operating hour, at confidence C.</t>
  </si>
  <si>
    <t xml:space="preserve">Hazardous behaviour (HB)</t>
  </si>
  <si>
    <t xml:space="preserve">Ego brakes without a valid reason (perception false positive → planner brake request).</t>
  </si>
  <si>
    <t xml:space="preserve">Hazardous event (HE)</t>
  </si>
  <si>
    <t xml:space="preserve">HB while a following vehicle is close enough that it cannot avoid a rear-end collision.</t>
  </si>
  <si>
    <t xml:space="preserve">ODD partition</t>
  </si>
  <si>
    <t xml:space="preserve">100 logical scenarios = 5 trigger contexts × 4 speed bands × 5 follower-headway classes. They are mutually exclusive and their time shares sum to 1 (checked on Summary).</t>
  </si>
  <si>
    <t xml:space="preserve">Risk equation</t>
  </si>
  <si>
    <t xml:space="preserve">R = Σ_l share_l · λ_HB(trigger, speed) · P(collision | HB, l) · E[P(MAIS2+ | Δv) | collision, l]</t>
  </si>
  <si>
    <t xml:space="preserve">Where each term comes from</t>
  </si>
  <si>
    <t xml:space="preserve">share_l: fleet operations logs (context tagging) · λ_HB: open-loop replay of targeted logs through perception+planner, counting unintended brake requests · P(collision|HB): kinematic Monte Carlo of the follower's response · P(MAIS2+|Δv): injury risk curve (illustrative; real curves are fit to accident data).</t>
  </si>
  <si>
    <t xml:space="preserve">Key modelling assumption</t>
  </si>
  <si>
    <t xml:space="preserve">λ_HB depends on trigger context and speed, not on whether a follower is present (forward perception does not see the follower). So 20 evidence cells serve 100 scenarios.</t>
  </si>
  <si>
    <t xml:space="preserve">Three ways to judge the target</t>
  </si>
  <si>
    <t xml:space="preserve">(1) Point estimate — not acceptable as evidence. (2) Bonferroni: simultaneous upper bounds on every estimated term, multiplied — rigorous but very conservative. (3) Bayesian posterior 95% quantile of R (Jeffreys priors) — computed in ub_sim.py.</t>
  </si>
  <si>
    <t xml:space="preserve">Concrete scenarios</t>
  </si>
  <si>
    <t xml:space="preserve">1,000 made-up concrete scenarios (10 per logical scenario). Parameters drawn from an importance-sampling proposal q (later reactions, longer phantom brakes, shorter headways) through a Gaussian copula; each carries the exact weight w = f(θ)/q(θ) so the 10 runs estimate the real-world probability.</t>
  </si>
  <si>
    <t xml:space="preserve">Parameter dependence</t>
  </si>
  <si>
    <t xml:space="preserve">Ego speed, follower time headway, follower reaction time and follower deceleration are coupled by a Gaussian copula (see sheet 'Gaussian Copula'): each keeps its own marginal distribution, the correlation matrix R sets how they move together.</t>
  </si>
  <si>
    <t xml:space="preserve">Sheets</t>
  </si>
  <si>
    <t xml:space="preserve">Inputs → HB Evidence (20 cells) → Scenarios (100 logical) → Concrete Scenarios (1,000) → Gaussian Copula → Summary → Validation Targets.</t>
  </si>
  <si>
    <t xml:space="preserve">Colour code</t>
  </si>
  <si>
    <t xml:space="preserve">Blue on yellow = input/assumption · blue = evidence value (from data or simulation) · black = formula · green = link to another sheet · grey italic = synthetic ground truth, for comparison only (unknown in reality).</t>
  </si>
  <si>
    <t xml:space="preserve">Verdict (from Summary)</t>
  </si>
  <si>
    <t xml:space="preserve">Point estimate</t>
  </si>
  <si>
    <t xml:space="preserve">Bonferroni upper bound</t>
  </si>
  <si>
    <t xml:space="preserve">Bayesian 95% quantile</t>
  </si>
  <si>
    <t xml:space="preserve">Inputs and assumptions</t>
  </si>
  <si>
    <t xml:space="preserve">Edit blue-on-yellow cells. Everything else recalculates.</t>
  </si>
  <si>
    <t xml:space="preserve">Parameter</t>
  </si>
  <si>
    <t xml:space="preserve">Value</t>
  </si>
  <si>
    <t xml:space="preserve">Note</t>
  </si>
  <si>
    <t xml:space="preserve">Acceptance criterion A_H [MAIS2+ injuries / h]</t>
  </si>
  <si>
    <t xml:space="preserve">Illustrative. In practice from Clause 6 (e.g. GAMAB vs. human rear-end injury rate in the same ODD).</t>
  </si>
  <si>
    <t xml:space="preserve">Confidence C</t>
  </si>
  <si>
    <t xml:space="preserve">Applies to the overall claim.</t>
  </si>
  <si>
    <t xml:space="preserve">Reserve for unknown triggers ε (share of A_H)</t>
  </si>
  <si>
    <t xml:space="preserve">Budget held back for HB from triggering conditions not in the taxonomy (Clause 11); bounded by field driving.</t>
  </si>
  <si>
    <t xml:space="preserve">Number of evidence cells (λ bounds)</t>
  </si>
  <si>
    <t xml:space="preserve">Formula</t>
  </si>
  <si>
    <t xml:space="preserve">Number of scenarios (collision-probability bounds)</t>
  </si>
  <si>
    <t xml:space="preserve">Per-bound confidence C_b (Bonferroni)</t>
  </si>
  <si>
    <t xml:space="preserve">Simultaneous bounds: Σ(1−C_b) = 1−C over all estimated terms.</t>
  </si>
  <si>
    <t xml:space="preserve">Known-scenario budget (1−ε)·A_H</t>
  </si>
  <si>
    <t xml:space="preserve">Injury curve: Δv at 50% MAIS2+ [km/h]</t>
  </si>
  <si>
    <t xml:space="preserve">Illustrative logistic P(MAIS2+|Δv) = 1/(1+exp(−(Δv−Δv50)/s)). Drives the Concrete Scenarios sheet live; the 2,000-run column in Scenarios was computed with the build-time value.</t>
  </si>
  <si>
    <t xml:space="preserve">Injury curve: scale s [km/h]</t>
  </si>
  <si>
    <t xml:space="preserve">Illustrative.</t>
  </si>
  <si>
    <t xml:space="preserve">Trigger context</t>
  </si>
  <si>
    <t xml:space="preserve">Time share</t>
  </si>
  <si>
    <t xml:space="preserve">Source</t>
  </si>
  <si>
    <t xml:space="preserve">Clear road, no trigger</t>
  </si>
  <si>
    <t xml:space="preserve">Synthetic. Real: map + weather + sun-angle tagging of fleet operation logs.</t>
  </si>
  <si>
    <t xml:space="preserve">Overhead structure (bridge, gantry)</t>
  </si>
  <si>
    <t xml:space="preserve">Low sun / hard shadow</t>
  </si>
  <si>
    <t xml:space="preserve">Spray / heavy rain</t>
  </si>
  <si>
    <t xml:space="preserve">Roadside clutter / debris</t>
  </si>
  <si>
    <t xml:space="preserve">Sum (must be 100%)</t>
  </si>
  <si>
    <t xml:space="preserve">Ego speed band</t>
  </si>
  <si>
    <t xml:space="preserve">20–35 km/h</t>
  </si>
  <si>
    <t xml:space="preserve">Synthetic.</t>
  </si>
  <si>
    <t xml:space="preserve">35–55 km/h</t>
  </si>
  <si>
    <t xml:space="preserve">55–75 km/h</t>
  </si>
  <si>
    <t xml:space="preserve">75–95 km/h</t>
  </si>
  <si>
    <t xml:space="preserve">Follower headway class</t>
  </si>
  <si>
    <t xml:space="preserve">No follower within 3 s</t>
  </si>
  <si>
    <t xml:space="preserve">Synthetic. Real: rear radar / camera tracks in fleet logs.</t>
  </si>
  <si>
    <t xml:space="preserve">Follower 2–3 s</t>
  </si>
  <si>
    <t xml:space="preserve">Follower 1.5–2 s</t>
  </si>
  <si>
    <t xml:space="preserve">Follower 1–1.5 s</t>
  </si>
  <si>
    <t xml:space="preserve">Follower &lt; 1 s</t>
  </si>
  <si>
    <t xml:space="preserve">Independence assumption</t>
  </si>
  <si>
    <t xml:space="preserve">Scenario share = product of the three factor shares. In reality the factors are correlated (e.g. spray and speed, headway and speed) — measure joint shares directly or model the dependence (copula).</t>
  </si>
  <si>
    <t xml:space="preserve">Hazardous-behaviour rate per trigger context × speed band</t>
  </si>
  <si>
    <t xml:space="preserve">Open-loop replay of targeted logs through perception + planner. k = unintended brake requests observed in h hours.</t>
  </si>
  <si>
    <t xml:space="preserve">Cell</t>
  </si>
  <si>
    <t xml:space="preserve">Speed band</t>
  </si>
  <si>
    <t xml:space="preserve">Replay hours h</t>
  </si>
  <si>
    <t xml:space="preserve">Events k</t>
  </si>
  <si>
    <t xml:space="preserve">λ̂ = k/h [1/h]</t>
  </si>
  <si>
    <t xml:space="preserve">λ upper, single 95% [1/h]</t>
  </si>
  <si>
    <t xml:space="preserve">λ upper, Bonferroni C_b [1/h]</t>
  </si>
  <si>
    <t xml:space="preserve">True λ (synthetic) [1/h]</t>
  </si>
  <si>
    <t xml:space="preserve">Harm weight G (upper) [h⁻¹ per λ]</t>
  </si>
  <si>
    <t xml:space="preserve">Point risk of cell [1/h]</t>
  </si>
  <si>
    <t xml:space="preserve">T1S1</t>
  </si>
  <si>
    <t xml:space="preserve">T1S2</t>
  </si>
  <si>
    <t xml:space="preserve">T1S3</t>
  </si>
  <si>
    <t xml:space="preserve">T1S4</t>
  </si>
  <si>
    <t xml:space="preserve">T2S1</t>
  </si>
  <si>
    <t xml:space="preserve">T2S2</t>
  </si>
  <si>
    <t xml:space="preserve">T2S3</t>
  </si>
  <si>
    <t xml:space="preserve">T2S4</t>
  </si>
  <si>
    <t xml:space="preserve">T3S1</t>
  </si>
  <si>
    <t xml:space="preserve">T3S2</t>
  </si>
  <si>
    <t xml:space="preserve">T3S3</t>
  </si>
  <si>
    <t xml:space="preserve">T3S4</t>
  </si>
  <si>
    <t xml:space="preserve">T4S1</t>
  </si>
  <si>
    <t xml:space="preserve">T4S2</t>
  </si>
  <si>
    <t xml:space="preserve">T4S3</t>
  </si>
  <si>
    <t xml:space="preserve">T4S4</t>
  </si>
  <si>
    <t xml:space="preserve">T5S1</t>
  </si>
  <si>
    <t xml:space="preserve">T5S2</t>
  </si>
  <si>
    <t xml:space="preserve">T5S3</t>
  </si>
  <si>
    <t xml:space="preserve">T5S4</t>
  </si>
  <si>
    <t xml:space="preserve">Totals</t>
  </si>
  <si>
    <t xml:space="preserve">λ upper = ½·χ²_{2(k+1)}(C)/h — the lesson 1 formula, applied per cell. Zero events in h hours still gives a bound of ≈3/h at 95%.</t>
  </si>
  <si>
    <t xml:space="preserve">100 logical scenarios</t>
  </si>
  <si>
    <t xml:space="preserve">One row per element of the ODD partition. Contribution = share · λ · P(collision|HB) · E[P(MAIS2+)|collision].</t>
  </si>
  <si>
    <t xml:space="preserve">ID</t>
  </si>
  <si>
    <t xml:space="preserve">Follower headway</t>
  </si>
  <si>
    <t xml:space="preserve">Evidence cell</t>
  </si>
  <si>
    <t xml:space="preserve">Share trigger</t>
  </si>
  <si>
    <t xml:space="preserve">Share speed</t>
  </si>
  <si>
    <t xml:space="preserve">Share headway</t>
  </si>
  <si>
    <t xml:space="preserve">Scenario share</t>
  </si>
  <si>
    <t xml:space="preserve">λ̂ [1/h]</t>
  </si>
  <si>
    <t xml:space="preserve">λ upper (C_b) [1/h]</t>
  </si>
  <si>
    <t xml:space="preserve">Sim runs N</t>
  </si>
  <si>
    <t xml:space="preserve">Collisions c</t>
  </si>
  <si>
    <t xml:space="preserve">P̂(coll|HB)</t>
  </si>
  <si>
    <t xml:space="preserve">P upper (C_b)</t>
  </si>
  <si>
    <t xml:space="preserve">E[P(MAIS2+)|coll]</t>
  </si>
  <si>
    <t xml:space="preserve">Mean Δv at contact [km/h]</t>
  </si>
  <si>
    <t xml:space="preserve">Point contribution [1/h]</t>
  </si>
  <si>
    <t xml:space="preserve">Upper contribution [1/h]</t>
  </si>
  <si>
    <t xml:space="preserve">Share of point risk</t>
  </si>
  <si>
    <t xml:space="preserve">Screening bound share·λ_U [1/h]</t>
  </si>
  <si>
    <t xml:space="preserve">Harm weight share·P_U·inj</t>
  </si>
  <si>
    <t xml:space="preserve">Contribution with true λ [1/h]</t>
  </si>
  <si>
    <t xml:space="preserve">Σ w of 10 concrete</t>
  </si>
  <si>
    <t xml:space="preserve">Effective sample size (Σw)²/Σw²</t>
  </si>
  <si>
    <t xml:space="preserve">Collisions among 10 concrete</t>
  </si>
  <si>
    <t xml:space="preserve">IS estimate E[coll·P(MAIS2+)]</t>
  </si>
  <si>
    <t xml:space="preserve">IS point contribution [1/h]</t>
  </si>
  <si>
    <t xml:space="preserve">L001</t>
  </si>
  <si>
    <t xml:space="preserve">L002</t>
  </si>
  <si>
    <t xml:space="preserve">L003</t>
  </si>
  <si>
    <t xml:space="preserve">L004</t>
  </si>
  <si>
    <t xml:space="preserve">L005</t>
  </si>
  <si>
    <t xml:space="preserve">L006</t>
  </si>
  <si>
    <t xml:space="preserve">L007</t>
  </si>
  <si>
    <t xml:space="preserve">L008</t>
  </si>
  <si>
    <t xml:space="preserve">L009</t>
  </si>
  <si>
    <t xml:space="preserve">L010</t>
  </si>
  <si>
    <t xml:space="preserve">L011</t>
  </si>
  <si>
    <t xml:space="preserve">L012</t>
  </si>
  <si>
    <t xml:space="preserve">L013</t>
  </si>
  <si>
    <t xml:space="preserve">L014</t>
  </si>
  <si>
    <t xml:space="preserve">L015</t>
  </si>
  <si>
    <t xml:space="preserve">L016</t>
  </si>
  <si>
    <t xml:space="preserve">L017</t>
  </si>
  <si>
    <t xml:space="preserve">L018</t>
  </si>
  <si>
    <t xml:space="preserve">L019</t>
  </si>
  <si>
    <t xml:space="preserve">L020</t>
  </si>
  <si>
    <t xml:space="preserve">L021</t>
  </si>
  <si>
    <t xml:space="preserve">L022</t>
  </si>
  <si>
    <t xml:space="preserve">L023</t>
  </si>
  <si>
    <t xml:space="preserve">L024</t>
  </si>
  <si>
    <t xml:space="preserve">L025</t>
  </si>
  <si>
    <t xml:space="preserve">L026</t>
  </si>
  <si>
    <t xml:space="preserve">L027</t>
  </si>
  <si>
    <t xml:space="preserve">L028</t>
  </si>
  <si>
    <t xml:space="preserve">L029</t>
  </si>
  <si>
    <t xml:space="preserve">L030</t>
  </si>
  <si>
    <t xml:space="preserve">L031</t>
  </si>
  <si>
    <t xml:space="preserve">L032</t>
  </si>
  <si>
    <t xml:space="preserve">L033</t>
  </si>
  <si>
    <t xml:space="preserve">L034</t>
  </si>
  <si>
    <t xml:space="preserve">L035</t>
  </si>
  <si>
    <t xml:space="preserve">L036</t>
  </si>
  <si>
    <t xml:space="preserve">L037</t>
  </si>
  <si>
    <t xml:space="preserve">L038</t>
  </si>
  <si>
    <t xml:space="preserve">L039</t>
  </si>
  <si>
    <t xml:space="preserve">L040</t>
  </si>
  <si>
    <t xml:space="preserve">L041</t>
  </si>
  <si>
    <t xml:space="preserve">L042</t>
  </si>
  <si>
    <t xml:space="preserve">L043</t>
  </si>
  <si>
    <t xml:space="preserve">L044</t>
  </si>
  <si>
    <t xml:space="preserve">L045</t>
  </si>
  <si>
    <t xml:space="preserve">L046</t>
  </si>
  <si>
    <t xml:space="preserve">L047</t>
  </si>
  <si>
    <t xml:space="preserve">L048</t>
  </si>
  <si>
    <t xml:space="preserve">L049</t>
  </si>
  <si>
    <t xml:space="preserve">L050</t>
  </si>
  <si>
    <t xml:space="preserve">L051</t>
  </si>
  <si>
    <t xml:space="preserve">L052</t>
  </si>
  <si>
    <t xml:space="preserve">L053</t>
  </si>
  <si>
    <t xml:space="preserve">L054</t>
  </si>
  <si>
    <t xml:space="preserve">L055</t>
  </si>
  <si>
    <t xml:space="preserve">L056</t>
  </si>
  <si>
    <t xml:space="preserve">L057</t>
  </si>
  <si>
    <t xml:space="preserve">L058</t>
  </si>
  <si>
    <t xml:space="preserve">L059</t>
  </si>
  <si>
    <t xml:space="preserve">L060</t>
  </si>
  <si>
    <t xml:space="preserve">L061</t>
  </si>
  <si>
    <t xml:space="preserve">L062</t>
  </si>
  <si>
    <t xml:space="preserve">L063</t>
  </si>
  <si>
    <t xml:space="preserve">L064</t>
  </si>
  <si>
    <t xml:space="preserve">L065</t>
  </si>
  <si>
    <t xml:space="preserve">L066</t>
  </si>
  <si>
    <t xml:space="preserve">L067</t>
  </si>
  <si>
    <t xml:space="preserve">L068</t>
  </si>
  <si>
    <t xml:space="preserve">L069</t>
  </si>
  <si>
    <t xml:space="preserve">L070</t>
  </si>
  <si>
    <t xml:space="preserve">L071</t>
  </si>
  <si>
    <t xml:space="preserve">L072</t>
  </si>
  <si>
    <t xml:space="preserve">L073</t>
  </si>
  <si>
    <t xml:space="preserve">L074</t>
  </si>
  <si>
    <t xml:space="preserve">L075</t>
  </si>
  <si>
    <t xml:space="preserve">L076</t>
  </si>
  <si>
    <t xml:space="preserve">L077</t>
  </si>
  <si>
    <t xml:space="preserve">L078</t>
  </si>
  <si>
    <t xml:space="preserve">L079</t>
  </si>
  <si>
    <t xml:space="preserve">L080</t>
  </si>
  <si>
    <t xml:space="preserve">L081</t>
  </si>
  <si>
    <t xml:space="preserve">L082</t>
  </si>
  <si>
    <t xml:space="preserve">L083</t>
  </si>
  <si>
    <t xml:space="preserve">L084</t>
  </si>
  <si>
    <t xml:space="preserve">L085</t>
  </si>
  <si>
    <t xml:space="preserve">L086</t>
  </si>
  <si>
    <t xml:space="preserve">L087</t>
  </si>
  <si>
    <t xml:space="preserve">L088</t>
  </si>
  <si>
    <t xml:space="preserve">L089</t>
  </si>
  <si>
    <t xml:space="preserve">L090</t>
  </si>
  <si>
    <t xml:space="preserve">L091</t>
  </si>
  <si>
    <t xml:space="preserve">L092</t>
  </si>
  <si>
    <t xml:space="preserve">L093</t>
  </si>
  <si>
    <t xml:space="preserve">L094</t>
  </si>
  <si>
    <t xml:space="preserve">L095</t>
  </si>
  <si>
    <t xml:space="preserve">L096</t>
  </si>
  <si>
    <t xml:space="preserve">L097</t>
  </si>
  <si>
    <t xml:space="preserve">L098</t>
  </si>
  <si>
    <t xml:space="preserve">L099</t>
  </si>
  <si>
    <t xml:space="preserve">L100</t>
  </si>
  <si>
    <t xml:space="preserve">Clopper–Pearson upper bound: P_U = BETAINV(C_b; c+1; N−c). With c = 0 and N = 2000 this is ≈ 7.8/2000 at C_b — the rule of three again, with a Bonferroni-sized confidence.</t>
  </si>
  <si>
    <t xml:space="preserve">1,000 concrete scenarios (made up) — 10 per logical scenario</t>
  </si>
  <si>
    <t xml:space="preserve">Parameters drawn from the importance-sampling proposal q via the Gaussian copula; w = f(θ)/q(θ) re-weights each run to the real-world model f.</t>
  </si>
  <si>
    <t xml:space="preserve">Concrete ID</t>
  </si>
  <si>
    <t xml:space="preserve">Logical ID</t>
  </si>
  <si>
    <t xml:space="preserve">Ego speed v_e [km/h]</t>
  </si>
  <si>
    <t xml:space="preserve">Follower speed v_f [km/h]</t>
  </si>
  <si>
    <t xml:space="preserve">Time headway h [s]</t>
  </si>
  <si>
    <t xml:space="preserve">Gap [m]</t>
  </si>
  <si>
    <t xml:space="preserve">Phantom decel a_e [m/s²]</t>
  </si>
  <si>
    <t xml:space="preserve">Phantom duration t_b [s]</t>
  </si>
  <si>
    <t xml:space="preserve">Follower reaction T_r [s]</t>
  </si>
  <si>
    <t xml:space="preserve">Follower decel a_f [m/s²]</t>
  </si>
  <si>
    <t xml:space="preserve">IS weight w = f/q</t>
  </si>
  <si>
    <t xml:space="preserve">Collision (1/0)</t>
  </si>
  <si>
    <t xml:space="preserve">Δv at contact [km/h]</t>
  </si>
  <si>
    <t xml:space="preserve">P(MAIS2+ | Δv)</t>
  </si>
  <si>
    <t xml:space="preserve">w · collision</t>
  </si>
  <si>
    <t xml:space="preserve">w · collision · P(MAIS2+)</t>
  </si>
  <si>
    <t xml:space="preserve">w²</t>
  </si>
  <si>
    <t xml:space="preserve">C0001</t>
  </si>
  <si>
    <t xml:space="preserve">C0002</t>
  </si>
  <si>
    <t xml:space="preserve">C0003</t>
  </si>
  <si>
    <t xml:space="preserve">C0004</t>
  </si>
  <si>
    <t xml:space="preserve">C0005</t>
  </si>
  <si>
    <t xml:space="preserve">C0006</t>
  </si>
  <si>
    <t xml:space="preserve">C0007</t>
  </si>
  <si>
    <t xml:space="preserve">C0008</t>
  </si>
  <si>
    <t xml:space="preserve">C0009</t>
  </si>
  <si>
    <t xml:space="preserve">C0010</t>
  </si>
  <si>
    <t xml:space="preserve">C0011</t>
  </si>
  <si>
    <t xml:space="preserve">C0012</t>
  </si>
  <si>
    <t xml:space="preserve">C0013</t>
  </si>
  <si>
    <t xml:space="preserve">C0014</t>
  </si>
  <si>
    <t xml:space="preserve">C0015</t>
  </si>
  <si>
    <t xml:space="preserve">C0016</t>
  </si>
  <si>
    <t xml:space="preserve">C0017</t>
  </si>
  <si>
    <t xml:space="preserve">C0018</t>
  </si>
  <si>
    <t xml:space="preserve">C0019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</si>
  <si>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</si>
  <si>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</si>
  <si>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</si>
  <si>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</si>
  <si>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</si>
  <si>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</si>
  <si>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</si>
  <si>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</si>
  <si>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</si>
  <si>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</si>
  <si>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</si>
  <si>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</si>
  <si>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</si>
  <si>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</si>
  <si>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</si>
  <si>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</si>
  <si>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</si>
  <si>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</si>
  <si>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</si>
  <si>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</si>
  <si>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</si>
  <si>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</si>
  <si>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C0042</t>
  </si>
  <si>
    <t xml:space="preserve">C0043</t>
  </si>
  <si>
    <t xml:space="preserve">C0044</t>
  </si>
  <si>
    <t xml:space="preserve">C0045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</si>
  <si>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</si>
  <si>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</si>
  <si>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</si>
  <si>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</si>
  <si>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</si>
  <si>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</si>
  <si>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</si>
  <si>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</si>
  <si>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</si>
  <si>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</si>
  <si>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</si>
  <si>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</si>
  <si>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</si>
  <si>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</si>
  <si>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</si>
  <si>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</si>
  <si>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</si>
  <si>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</si>
  <si>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</si>
  <si>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</si>
  <si>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</si>
  <si>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</si>
  <si>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</si>
  <si>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</si>
  <si>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</si>
  <si>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</si>
  <si>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</si>
  <si>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</si>
  <si>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</si>
  <si>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</si>
  <si>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</si>
  <si>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</si>
  <si>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</si>
  <si>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</si>
  <si>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</si>
  <si>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</si>
  <si>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</si>
  <si>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</si>
  <si>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</si>
  <si>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</si>
  <si>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</si>
  <si>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</si>
  <si>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</si>
  <si>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</si>
  <si>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</si>
  <si>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</si>
  <si>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</si>
  <si>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</si>
  <si>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</si>
  <si>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</si>
  <si>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</si>
  <si>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</si>
  <si>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</si>
  <si>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</si>
  <si>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</si>
  <si>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</si>
  <si>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</si>
  <si>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</si>
  <si>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</si>
  <si>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</si>
  <si>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</si>
  <si>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</si>
  <si>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</si>
  <si>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</si>
  <si>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</si>
  <si>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</si>
  <si>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</si>
  <si>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</si>
  <si>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</si>
  <si>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</si>
  <si>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</si>
  <si>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</si>
  <si>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</si>
  <si>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</si>
  <si>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</si>
  <si>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</si>
  <si>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</si>
  <si>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</si>
  <si>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</si>
  <si>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</si>
  <si>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</si>
  <si>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</si>
  <si>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</si>
  <si>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</si>
  <si>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</si>
  <si>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</si>
  <si>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</si>
  <si>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</si>
  <si>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</si>
  <si>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</si>
  <si>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</si>
  <si>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</si>
  <si>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</si>
  <si>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</si>
  <si>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</si>
  <si>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</si>
  <si>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</si>
  <si>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</si>
  <si>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</si>
  <si>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</si>
  <si>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</si>
  <si>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</si>
  <si>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</si>
  <si>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</si>
  <si>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</si>
  <si>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</si>
  <si>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</si>
  <si>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</si>
  <si>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</si>
  <si>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</si>
  <si>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</si>
  <si>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</si>
  <si>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</si>
  <si>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</si>
  <si>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</si>
  <si>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C0161</t>
  </si>
  <si>
    <t xml:space="preserve">C0162</t>
  </si>
  <si>
    <t xml:space="preserve">C0163</t>
  </si>
  <si>
    <t xml:space="preserve">C0164</t>
  </si>
  <si>
    <t xml:space="preserve">C0165</t>
  </si>
  <si>
    <t xml:space="preserve">C0166</t>
  </si>
  <si>
    <t xml:space="preserve">C0167</t>
  </si>
  <si>
    <t xml:space="preserve">C0168</t>
  </si>
  <si>
    <t xml:space="preserve">C0169</t>
  </si>
  <si>
    <t xml:space="preserve">C0170</t>
  </si>
  <si>
    <t xml:space="preserve">C0171</t>
  </si>
  <si>
    <t xml:space="preserve">C0172</t>
  </si>
  <si>
    <t xml:space="preserve">C0173</t>
  </si>
  <si>
    <t xml:space="preserve">C0174</t>
  </si>
  <si>
    <t xml:space="preserve">C0175</t>
  </si>
  <si>
    <t xml:space="preserve">C0176</t>
  </si>
  <si>
    <t xml:space="preserve">C0177</t>
  </si>
  <si>
    <t xml:space="preserve">C0178</t>
  </si>
  <si>
    <t xml:space="preserve">C0179</t>
  </si>
  <si>
    <t xml:space="preserve">C0180</t>
  </si>
  <si>
    <t xml:space="preserve">C0181</t>
  </si>
  <si>
    <t xml:space="preserve">C0182</t>
  </si>
  <si>
    <t xml:space="preserve">C0183</t>
  </si>
  <si>
    <t xml:space="preserve">C0184</t>
  </si>
  <si>
    <t xml:space="preserve">C0185</t>
  </si>
  <si>
    <t xml:space="preserve">C0186</t>
  </si>
  <si>
    <t xml:space="preserve">C0187</t>
  </si>
  <si>
    <t xml:space="preserve">C0188</t>
  </si>
  <si>
    <t xml:space="preserve">C0189</t>
  </si>
  <si>
    <t xml:space="preserve">C0190</t>
  </si>
  <si>
    <t xml:space="preserve">C0191</t>
  </si>
  <si>
    <t xml:space="preserve">C0192</t>
  </si>
  <si>
    <t xml:space="preserve">C0193</t>
  </si>
  <si>
    <t xml:space="preserve">C0194</t>
  </si>
  <si>
    <t xml:space="preserve">C0195</t>
  </si>
  <si>
    <t xml:space="preserve">C0196</t>
  </si>
  <si>
    <t xml:space="preserve">C0197</t>
  </si>
  <si>
    <t xml:space="preserve">C0198</t>
  </si>
  <si>
    <t xml:space="preserve">C0199</t>
  </si>
  <si>
    <t xml:space="preserve">C0200</t>
  </si>
  <si>
    <t xml:space="preserve">C0201</t>
  </si>
  <si>
    <t xml:space="preserve">C0202</t>
  </si>
  <si>
    <t xml:space="preserve">C0203</t>
  </si>
  <si>
    <t xml:space="preserve">C0204</t>
  </si>
  <si>
    <t xml:space="preserve">C0205</t>
  </si>
  <si>
    <t xml:space="preserve">C0206</t>
  </si>
  <si>
    <t xml:space="preserve">C0207</t>
  </si>
  <si>
    <t xml:space="preserve">C0208</t>
  </si>
  <si>
    <t xml:space="preserve">C0209</t>
  </si>
  <si>
    <t xml:space="preserve">C0210</t>
  </si>
  <si>
    <t xml:space="preserve">C0211</t>
  </si>
  <si>
    <t xml:space="preserve">C0212</t>
  </si>
  <si>
    <t xml:space="preserve">C0213</t>
  </si>
  <si>
    <t xml:space="preserve">C0214</t>
  </si>
  <si>
    <t xml:space="preserve">C0215</t>
  </si>
  <si>
    <t xml:space="preserve">C0216</t>
  </si>
  <si>
    <t xml:space="preserve">C0217</t>
  </si>
  <si>
    <t xml:space="preserve">C0218</t>
  </si>
  <si>
    <t xml:space="preserve">C0219</t>
  </si>
  <si>
    <t xml:space="preserve">C0220</t>
  </si>
  <si>
    <t xml:space="preserve">C0221</t>
  </si>
  <si>
    <t xml:space="preserve">C0222</t>
  </si>
  <si>
    <t xml:space="preserve">C0223</t>
  </si>
  <si>
    <t xml:space="preserve">C0224</t>
  </si>
  <si>
    <t xml:space="preserve">C0225</t>
  </si>
  <si>
    <t xml:space="preserve">C0226</t>
  </si>
  <si>
    <t xml:space="preserve">C0227</t>
  </si>
  <si>
    <t xml:space="preserve">C0228</t>
  </si>
  <si>
    <t xml:space="preserve">C0229</t>
  </si>
  <si>
    <t xml:space="preserve">C0230</t>
  </si>
  <si>
    <t xml:space="preserve">C0231</t>
  </si>
  <si>
    <t xml:space="preserve">C0232</t>
  </si>
  <si>
    <t xml:space="preserve">C0233</t>
  </si>
  <si>
    <t xml:space="preserve">C0234</t>
  </si>
  <si>
    <t xml:space="preserve">C0235</t>
  </si>
  <si>
    <t xml:space="preserve">C0236</t>
  </si>
  <si>
    <t xml:space="preserve">C0237</t>
  </si>
  <si>
    <t xml:space="preserve">C0238</t>
  </si>
  <si>
    <t xml:space="preserve">C0239</t>
  </si>
  <si>
    <t xml:space="preserve">C0240</t>
  </si>
  <si>
    <t xml:space="preserve">C0241</t>
  </si>
  <si>
    <t xml:space="preserve">C0242</t>
  </si>
  <si>
    <t xml:space="preserve">C0243</t>
  </si>
  <si>
    <t xml:space="preserve">C0244</t>
  </si>
  <si>
    <t xml:space="preserve">C0245</t>
  </si>
  <si>
    <t xml:space="preserve">C0246</t>
  </si>
  <si>
    <t xml:space="preserve">C0247</t>
  </si>
  <si>
    <t xml:space="preserve">C0248</t>
  </si>
  <si>
    <t xml:space="preserve">C0249</t>
  </si>
  <si>
    <t xml:space="preserve">C0250</t>
  </si>
  <si>
    <t xml:space="preserve">C0251</t>
  </si>
  <si>
    <t xml:space="preserve">C0252</t>
  </si>
  <si>
    <t xml:space="preserve">C0253</t>
  </si>
  <si>
    <t xml:space="preserve">C0254</t>
  </si>
  <si>
    <t xml:space="preserve">C0255</t>
  </si>
  <si>
    <t xml:space="preserve">C0256</t>
  </si>
  <si>
    <t xml:space="preserve">C0257</t>
  </si>
  <si>
    <t xml:space="preserve">C0258</t>
  </si>
  <si>
    <t xml:space="preserve">C0259</t>
  </si>
  <si>
    <t xml:space="preserve">C0260</t>
  </si>
  <si>
    <t xml:space="preserve">C0261</t>
  </si>
  <si>
    <t xml:space="preserve">C0262</t>
  </si>
  <si>
    <t xml:space="preserve">C0263</t>
  </si>
  <si>
    <t xml:space="preserve">C0264</t>
  </si>
  <si>
    <t xml:space="preserve">C0265</t>
  </si>
  <si>
    <t xml:space="preserve">C0266</t>
  </si>
  <si>
    <t xml:space="preserve">C0267</t>
  </si>
  <si>
    <t xml:space="preserve">C0268</t>
  </si>
  <si>
    <t xml:space="preserve">C0269</t>
  </si>
  <si>
    <t xml:space="preserve">C0270</t>
  </si>
  <si>
    <t xml:space="preserve">C0271</t>
  </si>
  <si>
    <t xml:space="preserve">C0272</t>
  </si>
  <si>
    <t xml:space="preserve">C0273</t>
  </si>
  <si>
    <t xml:space="preserve">C0274</t>
  </si>
  <si>
    <t xml:space="preserve">C0275</t>
  </si>
  <si>
    <t xml:space="preserve">C0276</t>
  </si>
  <si>
    <t xml:space="preserve">C0277</t>
  </si>
  <si>
    <t xml:space="preserve">C0278</t>
  </si>
  <si>
    <t xml:space="preserve">C0279</t>
  </si>
  <si>
    <t xml:space="preserve">C0280</t>
  </si>
  <si>
    <t xml:space="preserve">C0281</t>
  </si>
  <si>
    <t xml:space="preserve">C0282</t>
  </si>
  <si>
    <t xml:space="preserve">C0283</t>
  </si>
  <si>
    <t xml:space="preserve">C0284</t>
  </si>
  <si>
    <t xml:space="preserve">C0285</t>
  </si>
  <si>
    <t xml:space="preserve">C0286</t>
  </si>
  <si>
    <t xml:space="preserve">C0287</t>
  </si>
  <si>
    <t xml:space="preserve">C0288</t>
  </si>
  <si>
    <t xml:space="preserve">C0289</t>
  </si>
  <si>
    <t xml:space="preserve">C0290</t>
  </si>
  <si>
    <t xml:space="preserve">C0291</t>
  </si>
  <si>
    <t xml:space="preserve">C0292</t>
  </si>
  <si>
    <t xml:space="preserve">C0293</t>
  </si>
  <si>
    <t xml:space="preserve">C0294</t>
  </si>
  <si>
    <t xml:space="preserve">C0295</t>
  </si>
  <si>
    <t xml:space="preserve">C0296</t>
  </si>
  <si>
    <t xml:space="preserve">C0297</t>
  </si>
  <si>
    <t xml:space="preserve">C0298</t>
  </si>
  <si>
    <t xml:space="preserve">C0299</t>
  </si>
  <si>
    <t xml:space="preserve">C0300</t>
  </si>
  <si>
    <t xml:space="preserve">C0301</t>
  </si>
  <si>
    <t xml:space="preserve">C0302</t>
  </si>
  <si>
    <t xml:space="preserve">C0303</t>
  </si>
  <si>
    <t xml:space="preserve">C0304</t>
  </si>
  <si>
    <t xml:space="preserve">C0305</t>
  </si>
  <si>
    <t xml:space="preserve">C0306</t>
  </si>
  <si>
    <t xml:space="preserve">C0307</t>
  </si>
  <si>
    <t xml:space="preserve">C0308</t>
  </si>
  <si>
    <t xml:space="preserve">C0309</t>
  </si>
  <si>
    <t xml:space="preserve">C0310</t>
  </si>
  <si>
    <t xml:space="preserve">C0311</t>
  </si>
  <si>
    <t xml:space="preserve">C0312</t>
  </si>
  <si>
    <t xml:space="preserve">C0313</t>
  </si>
  <si>
    <t xml:space="preserve">C0314</t>
  </si>
  <si>
    <t xml:space="preserve">C0315</t>
  </si>
  <si>
    <t xml:space="preserve">C0316</t>
  </si>
  <si>
    <t xml:space="preserve">C0317</t>
  </si>
  <si>
    <t xml:space="preserve">C0318</t>
  </si>
  <si>
    <t xml:space="preserve">C0319</t>
  </si>
  <si>
    <t xml:space="preserve">C0320</t>
  </si>
  <si>
    <t xml:space="preserve">C0321</t>
  </si>
  <si>
    <t xml:space="preserve">C0322</t>
  </si>
  <si>
    <t xml:space="preserve">C0323</t>
  </si>
  <si>
    <t xml:space="preserve">C0324</t>
  </si>
  <si>
    <t xml:space="preserve">C0325</t>
  </si>
  <si>
    <t xml:space="preserve">C0326</t>
  </si>
  <si>
    <t xml:space="preserve">C0327</t>
  </si>
  <si>
    <t xml:space="preserve">C0328</t>
  </si>
  <si>
    <t xml:space="preserve">C0329</t>
  </si>
  <si>
    <t xml:space="preserve">C0330</t>
  </si>
  <si>
    <t xml:space="preserve">C0331</t>
  </si>
  <si>
    <t xml:space="preserve">C0332</t>
  </si>
  <si>
    <t xml:space="preserve">C0333</t>
  </si>
  <si>
    <t xml:space="preserve">C0334</t>
  </si>
  <si>
    <t xml:space="preserve">C0335</t>
  </si>
  <si>
    <t xml:space="preserve">C0336</t>
  </si>
  <si>
    <t xml:space="preserve">C0337</t>
  </si>
  <si>
    <t xml:space="preserve">C0338</t>
  </si>
  <si>
    <t xml:space="preserve">C0339</t>
  </si>
  <si>
    <t xml:space="preserve">C0340</t>
  </si>
  <si>
    <t xml:space="preserve">C0341</t>
  </si>
  <si>
    <t xml:space="preserve">C0342</t>
  </si>
  <si>
    <t xml:space="preserve">C0343</t>
  </si>
  <si>
    <t xml:space="preserve">C0344</t>
  </si>
  <si>
    <t xml:space="preserve">C0345</t>
  </si>
  <si>
    <t xml:space="preserve">C0346</t>
  </si>
  <si>
    <t xml:space="preserve">C0347</t>
  </si>
  <si>
    <t xml:space="preserve">C0348</t>
  </si>
  <si>
    <t xml:space="preserve">C0349</t>
  </si>
  <si>
    <t xml:space="preserve">C0350</t>
  </si>
  <si>
    <t xml:space="preserve">C0351</t>
  </si>
  <si>
    <t xml:space="preserve">C0352</t>
  </si>
  <si>
    <t xml:space="preserve">C0353</t>
  </si>
  <si>
    <t xml:space="preserve">C0354</t>
  </si>
  <si>
    <t xml:space="preserve">C0355</t>
  </si>
  <si>
    <t xml:space="preserve">C0356</t>
  </si>
  <si>
    <t xml:space="preserve">C0357</t>
  </si>
  <si>
    <t xml:space="preserve">C0358</t>
  </si>
  <si>
    <t xml:space="preserve">C0359</t>
  </si>
  <si>
    <t xml:space="preserve">C0360</t>
  </si>
  <si>
    <t xml:space="preserve">C0361</t>
  </si>
  <si>
    <t xml:space="preserve">C0362</t>
  </si>
  <si>
    <t xml:space="preserve">C0363</t>
  </si>
  <si>
    <t xml:space="preserve">C0364</t>
  </si>
  <si>
    <t xml:space="preserve">C0365</t>
  </si>
  <si>
    <t xml:space="preserve">C0366</t>
  </si>
  <si>
    <t xml:space="preserve">C0367</t>
  </si>
  <si>
    <t xml:space="preserve">C0368</t>
  </si>
  <si>
    <t xml:space="preserve">C0369</t>
  </si>
  <si>
    <t xml:space="preserve">C0370</t>
  </si>
  <si>
    <t xml:space="preserve">C0371</t>
  </si>
  <si>
    <t xml:space="preserve">C0372</t>
  </si>
  <si>
    <t xml:space="preserve">C0373</t>
  </si>
  <si>
    <t xml:space="preserve">C0374</t>
  </si>
  <si>
    <t xml:space="preserve">C0375</t>
  </si>
  <si>
    <t xml:space="preserve">C0376</t>
  </si>
  <si>
    <t xml:space="preserve">C0377</t>
  </si>
  <si>
    <t xml:space="preserve">C0378</t>
  </si>
  <si>
    <t xml:space="preserve">C0379</t>
  </si>
  <si>
    <t xml:space="preserve">C0380</t>
  </si>
  <si>
    <t xml:space="preserve">C0381</t>
  </si>
  <si>
    <t xml:space="preserve">C0382</t>
  </si>
  <si>
    <t xml:space="preserve">C0383</t>
  </si>
  <si>
    <t xml:space="preserve">C0384</t>
  </si>
  <si>
    <t xml:space="preserve">C0385</t>
  </si>
  <si>
    <t xml:space="preserve">C0386</t>
  </si>
  <si>
    <t xml:space="preserve">C0387</t>
  </si>
  <si>
    <t xml:space="preserve">C0388</t>
  </si>
  <si>
    <t xml:space="preserve">C0389</t>
  </si>
  <si>
    <t xml:space="preserve">C0390</t>
  </si>
  <si>
    <t xml:space="preserve">C0391</t>
  </si>
  <si>
    <t xml:space="preserve">C0392</t>
  </si>
  <si>
    <t xml:space="preserve">C0393</t>
  </si>
  <si>
    <t xml:space="preserve">C0394</t>
  </si>
  <si>
    <t xml:space="preserve">C0395</t>
  </si>
  <si>
    <t xml:space="preserve">C0396</t>
  </si>
  <si>
    <t xml:space="preserve">C0397</t>
  </si>
  <si>
    <t xml:space="preserve">C0398</t>
  </si>
  <si>
    <t xml:space="preserve">C0399</t>
  </si>
  <si>
    <t xml:space="preserve">C0400</t>
  </si>
  <si>
    <t xml:space="preserve">C0401</t>
  </si>
  <si>
    <t xml:space="preserve">C0402</t>
  </si>
  <si>
    <t xml:space="preserve">C0403</t>
  </si>
  <si>
    <t xml:space="preserve">C0404</t>
  </si>
  <si>
    <t xml:space="preserve">C0405</t>
  </si>
  <si>
    <t xml:space="preserve">C0406</t>
  </si>
  <si>
    <t xml:space="preserve">C0407</t>
  </si>
  <si>
    <t xml:space="preserve">C0408</t>
  </si>
  <si>
    <t xml:space="preserve">C0409</t>
  </si>
  <si>
    <t xml:space="preserve">C0410</t>
  </si>
  <si>
    <t xml:space="preserve">C0411</t>
  </si>
  <si>
    <t xml:space="preserve">C0412</t>
  </si>
  <si>
    <t xml:space="preserve">C0413</t>
  </si>
  <si>
    <t xml:space="preserve">C0414</t>
  </si>
  <si>
    <t xml:space="preserve">C0415</t>
  </si>
  <si>
    <t xml:space="preserve">C0416</t>
  </si>
  <si>
    <t xml:space="preserve">C0417</t>
  </si>
  <si>
    <t xml:space="preserve">C0418</t>
  </si>
  <si>
    <t xml:space="preserve">C0419</t>
  </si>
  <si>
    <t xml:space="preserve">C0420</t>
  </si>
  <si>
    <t xml:space="preserve">C0421</t>
  </si>
  <si>
    <t xml:space="preserve">C0422</t>
  </si>
  <si>
    <t xml:space="preserve">C0423</t>
  </si>
  <si>
    <t xml:space="preserve">C0424</t>
  </si>
  <si>
    <t xml:space="preserve">C0425</t>
  </si>
  <si>
    <t xml:space="preserve">C0426</t>
  </si>
  <si>
    <t xml:space="preserve">C0427</t>
  </si>
  <si>
    <t xml:space="preserve">C0428</t>
  </si>
  <si>
    <t xml:space="preserve">C0429</t>
  </si>
  <si>
    <t xml:space="preserve">C0430</t>
  </si>
  <si>
    <t xml:space="preserve">C0431</t>
  </si>
  <si>
    <t xml:space="preserve">C0432</t>
  </si>
  <si>
    <t xml:space="preserve">C0433</t>
  </si>
  <si>
    <t xml:space="preserve">C0434</t>
  </si>
  <si>
    <t xml:space="preserve">C0435</t>
  </si>
  <si>
    <t xml:space="preserve">C0436</t>
  </si>
  <si>
    <t xml:space="preserve">C0437</t>
  </si>
  <si>
    <t xml:space="preserve">C0438</t>
  </si>
  <si>
    <t xml:space="preserve">C0439</t>
  </si>
  <si>
    <t xml:space="preserve">C0440</t>
  </si>
  <si>
    <t xml:space="preserve">C0441</t>
  </si>
  <si>
    <t xml:space="preserve">C0442</t>
  </si>
  <si>
    <t xml:space="preserve">C0443</t>
  </si>
  <si>
    <t xml:space="preserve">C0444</t>
  </si>
  <si>
    <t xml:space="preserve">C0445</t>
  </si>
  <si>
    <t xml:space="preserve">C0446</t>
  </si>
  <si>
    <t xml:space="preserve">C0447</t>
  </si>
  <si>
    <t xml:space="preserve">C0448</t>
  </si>
  <si>
    <t xml:space="preserve">C0449</t>
  </si>
  <si>
    <t xml:space="preserve">C0450</t>
  </si>
  <si>
    <t xml:space="preserve">C0451</t>
  </si>
  <si>
    <t xml:space="preserve">C0452</t>
  </si>
  <si>
    <t xml:space="preserve">C0453</t>
  </si>
  <si>
    <t xml:space="preserve">C0454</t>
  </si>
  <si>
    <t xml:space="preserve">C0455</t>
  </si>
  <si>
    <t xml:space="preserve">C0456</t>
  </si>
  <si>
    <t xml:space="preserve">C0457</t>
  </si>
  <si>
    <t xml:space="preserve">C0458</t>
  </si>
  <si>
    <t xml:space="preserve">C0459</t>
  </si>
  <si>
    <t xml:space="preserve">C0460</t>
  </si>
  <si>
    <t xml:space="preserve">C0461</t>
  </si>
  <si>
    <t xml:space="preserve">C0462</t>
  </si>
  <si>
    <t xml:space="preserve">C0463</t>
  </si>
  <si>
    <t xml:space="preserve">C0464</t>
  </si>
  <si>
    <t xml:space="preserve">C0465</t>
  </si>
  <si>
    <t xml:space="preserve">C0466</t>
  </si>
  <si>
    <t xml:space="preserve">C0467</t>
  </si>
  <si>
    <t xml:space="preserve">C0468</t>
  </si>
  <si>
    <t xml:space="preserve">C0469</t>
  </si>
  <si>
    <t xml:space="preserve">C0470</t>
  </si>
  <si>
    <t xml:space="preserve">C0471</t>
  </si>
  <si>
    <t xml:space="preserve">C0472</t>
  </si>
  <si>
    <t xml:space="preserve">C0473</t>
  </si>
  <si>
    <t xml:space="preserve">C0474</t>
  </si>
  <si>
    <t xml:space="preserve">C0475</t>
  </si>
  <si>
    <t xml:space="preserve">C0476</t>
  </si>
  <si>
    <t xml:space="preserve">C0477</t>
  </si>
  <si>
    <t xml:space="preserve">C0478</t>
  </si>
  <si>
    <t xml:space="preserve">C0479</t>
  </si>
  <si>
    <t xml:space="preserve">C0480</t>
  </si>
  <si>
    <t xml:space="preserve">C0481</t>
  </si>
  <si>
    <t xml:space="preserve">C0482</t>
  </si>
  <si>
    <t xml:space="preserve">C0483</t>
  </si>
  <si>
    <t xml:space="preserve">C0484</t>
  </si>
  <si>
    <t xml:space="preserve">C0485</t>
  </si>
  <si>
    <t xml:space="preserve">C0486</t>
  </si>
  <si>
    <t xml:space="preserve">C0487</t>
  </si>
  <si>
    <t xml:space="preserve">C0488</t>
  </si>
  <si>
    <t xml:space="preserve">C0489</t>
  </si>
  <si>
    <t xml:space="preserve">C0490</t>
  </si>
  <si>
    <t xml:space="preserve">C0491</t>
  </si>
  <si>
    <t xml:space="preserve">C0492</t>
  </si>
  <si>
    <t xml:space="preserve">C0493</t>
  </si>
  <si>
    <t xml:space="preserve">C0494</t>
  </si>
  <si>
    <t xml:space="preserve">C0495</t>
  </si>
  <si>
    <t xml:space="preserve">C0496</t>
  </si>
  <si>
    <t xml:space="preserve">C0497</t>
  </si>
  <si>
    <t xml:space="preserve">C0498</t>
  </si>
  <si>
    <t xml:space="preserve">C0499</t>
  </si>
  <si>
    <t xml:space="preserve">C0500</t>
  </si>
  <si>
    <t xml:space="preserve">C0501</t>
  </si>
  <si>
    <t xml:space="preserve">C0502</t>
  </si>
  <si>
    <t xml:space="preserve">C0503</t>
  </si>
  <si>
    <t xml:space="preserve">C0504</t>
  </si>
  <si>
    <t xml:space="preserve">C0505</t>
  </si>
  <si>
    <t xml:space="preserve">C0506</t>
  </si>
  <si>
    <t xml:space="preserve">C0507</t>
  </si>
  <si>
    <t xml:space="preserve">C0508</t>
  </si>
  <si>
    <t xml:space="preserve">C0509</t>
  </si>
  <si>
    <t xml:space="preserve">C0510</t>
  </si>
  <si>
    <t xml:space="preserve">C0511</t>
  </si>
  <si>
    <t xml:space="preserve">C0512</t>
  </si>
  <si>
    <t xml:space="preserve">C0513</t>
  </si>
  <si>
    <t xml:space="preserve">C0514</t>
  </si>
  <si>
    <t xml:space="preserve">C0515</t>
  </si>
  <si>
    <t xml:space="preserve">C0516</t>
  </si>
  <si>
    <t xml:space="preserve">C0517</t>
  </si>
  <si>
    <t xml:space="preserve">C0518</t>
  </si>
  <si>
    <t xml:space="preserve">C0519</t>
  </si>
  <si>
    <t xml:space="preserve">C0520</t>
  </si>
  <si>
    <t xml:space="preserve">C0521</t>
  </si>
  <si>
    <t xml:space="preserve">C0522</t>
  </si>
  <si>
    <t xml:space="preserve">C0523</t>
  </si>
  <si>
    <t xml:space="preserve">C0524</t>
  </si>
  <si>
    <t xml:space="preserve">C0525</t>
  </si>
  <si>
    <t xml:space="preserve">C0526</t>
  </si>
  <si>
    <t xml:space="preserve">C0527</t>
  </si>
  <si>
    <t xml:space="preserve">C0528</t>
  </si>
  <si>
    <t xml:space="preserve">C0529</t>
  </si>
  <si>
    <t xml:space="preserve">C0530</t>
  </si>
  <si>
    <t xml:space="preserve">C0531</t>
  </si>
  <si>
    <t xml:space="preserve">C0532</t>
  </si>
  <si>
    <t xml:space="preserve">C0533</t>
  </si>
  <si>
    <t xml:space="preserve">C0534</t>
  </si>
  <si>
    <t xml:space="preserve">C0535</t>
  </si>
  <si>
    <t xml:space="preserve">C0536</t>
  </si>
  <si>
    <t xml:space="preserve">C0537</t>
  </si>
  <si>
    <t xml:space="preserve">C0538</t>
  </si>
  <si>
    <t xml:space="preserve">C0539</t>
  </si>
  <si>
    <t xml:space="preserve">C0540</t>
  </si>
  <si>
    <t xml:space="preserve">C0541</t>
  </si>
  <si>
    <t xml:space="preserve">C0542</t>
  </si>
  <si>
    <t xml:space="preserve">C0543</t>
  </si>
  <si>
    <t xml:space="preserve">C0544</t>
  </si>
  <si>
    <t xml:space="preserve">C0545</t>
  </si>
  <si>
    <t xml:space="preserve">C0546</t>
  </si>
  <si>
    <t xml:space="preserve">C0547</t>
  </si>
  <si>
    <t xml:space="preserve">C0548</t>
  </si>
  <si>
    <t xml:space="preserve">C0549</t>
  </si>
  <si>
    <t xml:space="preserve">C0550</t>
  </si>
  <si>
    <t xml:space="preserve">C0551</t>
  </si>
  <si>
    <t xml:space="preserve">C0552</t>
  </si>
  <si>
    <t xml:space="preserve">C0553</t>
  </si>
  <si>
    <t xml:space="preserve">C0554</t>
  </si>
  <si>
    <t xml:space="preserve">C0555</t>
  </si>
  <si>
    <t xml:space="preserve">C0556</t>
  </si>
  <si>
    <t xml:space="preserve">C0557</t>
  </si>
  <si>
    <t xml:space="preserve">C0558</t>
  </si>
  <si>
    <t xml:space="preserve">C0559</t>
  </si>
  <si>
    <t xml:space="preserve">C0560</t>
  </si>
  <si>
    <t xml:space="preserve">C0561</t>
  </si>
  <si>
    <t xml:space="preserve">C0562</t>
  </si>
  <si>
    <t xml:space="preserve">C0563</t>
  </si>
  <si>
    <t xml:space="preserve">C0564</t>
  </si>
  <si>
    <t xml:space="preserve">C0565</t>
  </si>
  <si>
    <t xml:space="preserve">C0566</t>
  </si>
  <si>
    <t xml:space="preserve">C0567</t>
  </si>
  <si>
    <t xml:space="preserve">C0568</t>
  </si>
  <si>
    <t xml:space="preserve">C0569</t>
  </si>
  <si>
    <t xml:space="preserve">C0570</t>
  </si>
  <si>
    <t xml:space="preserve">C0571</t>
  </si>
  <si>
    <t xml:space="preserve">C0572</t>
  </si>
  <si>
    <t xml:space="preserve">C0573</t>
  </si>
  <si>
    <t xml:space="preserve">C0574</t>
  </si>
  <si>
    <t xml:space="preserve">C0575</t>
  </si>
  <si>
    <t xml:space="preserve">C0576</t>
  </si>
  <si>
    <t xml:space="preserve">C0577</t>
  </si>
  <si>
    <t xml:space="preserve">C0578</t>
  </si>
  <si>
    <t xml:space="preserve">C0579</t>
  </si>
  <si>
    <t xml:space="preserve">C0580</t>
  </si>
  <si>
    <t xml:space="preserve">C0581</t>
  </si>
  <si>
    <t xml:space="preserve">C0582</t>
  </si>
  <si>
    <t xml:space="preserve">C0583</t>
  </si>
  <si>
    <t xml:space="preserve">C0584</t>
  </si>
  <si>
    <t xml:space="preserve">C0585</t>
  </si>
  <si>
    <t xml:space="preserve">C0586</t>
  </si>
  <si>
    <t xml:space="preserve">C0587</t>
  </si>
  <si>
    <t xml:space="preserve">C0588</t>
  </si>
  <si>
    <t xml:space="preserve">C0589</t>
  </si>
  <si>
    <t xml:space="preserve">C0590</t>
  </si>
  <si>
    <t xml:space="preserve">C0591</t>
  </si>
  <si>
    <t xml:space="preserve">C0592</t>
  </si>
  <si>
    <t xml:space="preserve">C0593</t>
  </si>
  <si>
    <t xml:space="preserve">C0594</t>
  </si>
  <si>
    <t xml:space="preserve">C0595</t>
  </si>
  <si>
    <t xml:space="preserve">C0596</t>
  </si>
  <si>
    <t xml:space="preserve">C0597</t>
  </si>
  <si>
    <t xml:space="preserve">C0598</t>
  </si>
  <si>
    <t xml:space="preserve">C0599</t>
  </si>
  <si>
    <t xml:space="preserve">C0600</t>
  </si>
  <si>
    <t xml:space="preserve">C0601</t>
  </si>
  <si>
    <t xml:space="preserve">C0602</t>
  </si>
  <si>
    <t xml:space="preserve">C0603</t>
  </si>
  <si>
    <t xml:space="preserve">C0604</t>
  </si>
  <si>
    <t xml:space="preserve">C0605</t>
  </si>
  <si>
    <t xml:space="preserve">C0606</t>
  </si>
  <si>
    <t xml:space="preserve">C0607</t>
  </si>
  <si>
    <t xml:space="preserve">C0608</t>
  </si>
  <si>
    <t xml:space="preserve">C0609</t>
  </si>
  <si>
    <t xml:space="preserve">C0610</t>
  </si>
  <si>
    <t xml:space="preserve">C0611</t>
  </si>
  <si>
    <t xml:space="preserve">C0612</t>
  </si>
  <si>
    <t xml:space="preserve">C0613</t>
  </si>
  <si>
    <t xml:space="preserve">C0614</t>
  </si>
  <si>
    <t xml:space="preserve">C0615</t>
  </si>
  <si>
    <t xml:space="preserve">C0616</t>
  </si>
  <si>
    <t xml:space="preserve">C0617</t>
  </si>
  <si>
    <t xml:space="preserve">C0618</t>
  </si>
  <si>
    <t xml:space="preserve">C0619</t>
  </si>
  <si>
    <t xml:space="preserve">C0620</t>
  </si>
  <si>
    <t xml:space="preserve">C0621</t>
  </si>
  <si>
    <t xml:space="preserve">C0622</t>
  </si>
  <si>
    <t xml:space="preserve">C0623</t>
  </si>
  <si>
    <t xml:space="preserve">C0624</t>
  </si>
  <si>
    <t xml:space="preserve">C0625</t>
  </si>
  <si>
    <t xml:space="preserve">C0626</t>
  </si>
  <si>
    <t xml:space="preserve">C0627</t>
  </si>
  <si>
    <t xml:space="preserve">C0628</t>
  </si>
  <si>
    <t xml:space="preserve">C0629</t>
  </si>
  <si>
    <t xml:space="preserve">C0630</t>
  </si>
  <si>
    <t xml:space="preserve">C0631</t>
  </si>
  <si>
    <t xml:space="preserve">C0632</t>
  </si>
  <si>
    <t xml:space="preserve">C0633</t>
  </si>
  <si>
    <t xml:space="preserve">C0634</t>
  </si>
  <si>
    <t xml:space="preserve">C0635</t>
  </si>
  <si>
    <t xml:space="preserve">C0636</t>
  </si>
  <si>
    <t xml:space="preserve">C0637</t>
  </si>
  <si>
    <t xml:space="preserve">C0638</t>
  </si>
  <si>
    <t xml:space="preserve">C0639</t>
  </si>
  <si>
    <t xml:space="preserve">C0640</t>
  </si>
  <si>
    <t xml:space="preserve">C0641</t>
  </si>
  <si>
    <t xml:space="preserve">C0642</t>
  </si>
  <si>
    <t xml:space="preserve">C0643</t>
  </si>
  <si>
    <t xml:space="preserve">C0644</t>
  </si>
  <si>
    <t xml:space="preserve">C0645</t>
  </si>
  <si>
    <t xml:space="preserve">C0646</t>
  </si>
  <si>
    <t xml:space="preserve">C0647</t>
  </si>
  <si>
    <t xml:space="preserve">C0648</t>
  </si>
  <si>
    <t xml:space="preserve">C0649</t>
  </si>
  <si>
    <t xml:space="preserve">C0650</t>
  </si>
  <si>
    <t xml:space="preserve">C0651</t>
  </si>
  <si>
    <t xml:space="preserve">C0652</t>
  </si>
  <si>
    <t xml:space="preserve">C0653</t>
  </si>
  <si>
    <t xml:space="preserve">C0654</t>
  </si>
  <si>
    <t xml:space="preserve">C0655</t>
  </si>
  <si>
    <t xml:space="preserve">C0656</t>
  </si>
  <si>
    <t xml:space="preserve">C0657</t>
  </si>
  <si>
    <t xml:space="preserve">C0658</t>
  </si>
  <si>
    <t xml:space="preserve">C0659</t>
  </si>
  <si>
    <t xml:space="preserve">C0660</t>
  </si>
  <si>
    <t xml:space="preserve">C0661</t>
  </si>
  <si>
    <t xml:space="preserve">C0662</t>
  </si>
  <si>
    <t xml:space="preserve">C0663</t>
  </si>
  <si>
    <t xml:space="preserve">C0664</t>
  </si>
  <si>
    <t xml:space="preserve">C0665</t>
  </si>
  <si>
    <t xml:space="preserve">C0666</t>
  </si>
  <si>
    <t xml:space="preserve">C0667</t>
  </si>
  <si>
    <t xml:space="preserve">C0668</t>
  </si>
  <si>
    <t xml:space="preserve">C0669</t>
  </si>
  <si>
    <t xml:space="preserve">C0670</t>
  </si>
  <si>
    <t xml:space="preserve">C0671</t>
  </si>
  <si>
    <t xml:space="preserve">C0672</t>
  </si>
  <si>
    <t xml:space="preserve">C0673</t>
  </si>
  <si>
    <t xml:space="preserve">C0674</t>
  </si>
  <si>
    <t xml:space="preserve">C0675</t>
  </si>
  <si>
    <t xml:space="preserve">C0676</t>
  </si>
  <si>
    <t xml:space="preserve">C0677</t>
  </si>
  <si>
    <t xml:space="preserve">C0678</t>
  </si>
  <si>
    <t xml:space="preserve">C0679</t>
  </si>
  <si>
    <t xml:space="preserve">C0680</t>
  </si>
  <si>
    <t xml:space="preserve">C0681</t>
  </si>
  <si>
    <t xml:space="preserve">C0682</t>
  </si>
  <si>
    <t xml:space="preserve">C0683</t>
  </si>
  <si>
    <t xml:space="preserve">C0684</t>
  </si>
  <si>
    <t xml:space="preserve">C0685</t>
  </si>
  <si>
    <t xml:space="preserve">C0686</t>
  </si>
  <si>
    <t xml:space="preserve">C0687</t>
  </si>
  <si>
    <t xml:space="preserve">C0688</t>
  </si>
  <si>
    <t xml:space="preserve">C0689</t>
  </si>
  <si>
    <t xml:space="preserve">C0690</t>
  </si>
  <si>
    <t xml:space="preserve">C0691</t>
  </si>
  <si>
    <t xml:space="preserve">C0692</t>
  </si>
  <si>
    <t xml:space="preserve">C0693</t>
  </si>
  <si>
    <t xml:space="preserve">C0694</t>
  </si>
  <si>
    <t xml:space="preserve">C0695</t>
  </si>
  <si>
    <t xml:space="preserve">C0696</t>
  </si>
  <si>
    <t xml:space="preserve">C0697</t>
  </si>
  <si>
    <t xml:space="preserve">C0698</t>
  </si>
  <si>
    <t xml:space="preserve">C0699</t>
  </si>
  <si>
    <t xml:space="preserve">C0700</t>
  </si>
  <si>
    <t xml:space="preserve">C0701</t>
  </si>
  <si>
    <t xml:space="preserve">C0702</t>
  </si>
  <si>
    <t xml:space="preserve">C0703</t>
  </si>
  <si>
    <t xml:space="preserve">C0704</t>
  </si>
  <si>
    <t xml:space="preserve">C0705</t>
  </si>
  <si>
    <t xml:space="preserve">C0706</t>
  </si>
  <si>
    <t xml:space="preserve">C0707</t>
  </si>
  <si>
    <t xml:space="preserve">C0708</t>
  </si>
  <si>
    <t xml:space="preserve">C0709</t>
  </si>
  <si>
    <t xml:space="preserve">C0710</t>
  </si>
  <si>
    <t xml:space="preserve">C0711</t>
  </si>
  <si>
    <t xml:space="preserve">C0712</t>
  </si>
  <si>
    <t xml:space="preserve">C0713</t>
  </si>
  <si>
    <t xml:space="preserve">C0714</t>
  </si>
  <si>
    <t xml:space="preserve">C0715</t>
  </si>
  <si>
    <t xml:space="preserve">C0716</t>
  </si>
  <si>
    <t xml:space="preserve">C0717</t>
  </si>
  <si>
    <t xml:space="preserve">C0718</t>
  </si>
  <si>
    <t xml:space="preserve">C0719</t>
  </si>
  <si>
    <t xml:space="preserve">C0720</t>
  </si>
  <si>
    <t xml:space="preserve">C0721</t>
  </si>
  <si>
    <t xml:space="preserve">C0722</t>
  </si>
  <si>
    <t xml:space="preserve">C0723</t>
  </si>
  <si>
    <t xml:space="preserve">C0724</t>
  </si>
  <si>
    <t xml:space="preserve">C0725</t>
  </si>
  <si>
    <t xml:space="preserve">C0726</t>
  </si>
  <si>
    <t xml:space="preserve">C0727</t>
  </si>
  <si>
    <t xml:space="preserve">C0728</t>
  </si>
  <si>
    <t xml:space="preserve">C0729</t>
  </si>
  <si>
    <t xml:space="preserve">C0730</t>
  </si>
  <si>
    <t xml:space="preserve">C0731</t>
  </si>
  <si>
    <t xml:space="preserve">C0732</t>
  </si>
  <si>
    <t xml:space="preserve">C0733</t>
  </si>
  <si>
    <t xml:space="preserve">C0734</t>
  </si>
  <si>
    <t xml:space="preserve">C0735</t>
  </si>
  <si>
    <t xml:space="preserve">C0736</t>
  </si>
  <si>
    <t xml:space="preserve">C0737</t>
  </si>
  <si>
    <t xml:space="preserve">C0738</t>
  </si>
  <si>
    <t xml:space="preserve">C0739</t>
  </si>
  <si>
    <t xml:space="preserve">C0740</t>
  </si>
  <si>
    <t xml:space="preserve">C0741</t>
  </si>
  <si>
    <t xml:space="preserve">C0742</t>
  </si>
  <si>
    <t xml:space="preserve">C0743</t>
  </si>
  <si>
    <t xml:space="preserve">C0744</t>
  </si>
  <si>
    <t xml:space="preserve">C0745</t>
  </si>
  <si>
    <t xml:space="preserve">C0746</t>
  </si>
  <si>
    <t xml:space="preserve">C0747</t>
  </si>
  <si>
    <t xml:space="preserve">C0748</t>
  </si>
  <si>
    <t xml:space="preserve">C0749</t>
  </si>
  <si>
    <t xml:space="preserve">C0750</t>
  </si>
  <si>
    <t xml:space="preserve">C0751</t>
  </si>
  <si>
    <t xml:space="preserve">C0752</t>
  </si>
  <si>
    <t xml:space="preserve">C0753</t>
  </si>
  <si>
    <t xml:space="preserve">C0754</t>
  </si>
  <si>
    <t xml:space="preserve">C0755</t>
  </si>
  <si>
    <t xml:space="preserve">C0756</t>
  </si>
  <si>
    <t xml:space="preserve">C0757</t>
  </si>
  <si>
    <t xml:space="preserve">C0758</t>
  </si>
  <si>
    <t xml:space="preserve">C0759</t>
  </si>
  <si>
    <t xml:space="preserve">C0760</t>
  </si>
  <si>
    <t xml:space="preserve">C0761</t>
  </si>
  <si>
    <t xml:space="preserve">C0762</t>
  </si>
  <si>
    <t xml:space="preserve">C0763</t>
  </si>
  <si>
    <t xml:space="preserve">C0764</t>
  </si>
  <si>
    <t xml:space="preserve">C0765</t>
  </si>
  <si>
    <t xml:space="preserve">C0766</t>
  </si>
  <si>
    <t xml:space="preserve">C0767</t>
  </si>
  <si>
    <t xml:space="preserve">C0768</t>
  </si>
  <si>
    <t xml:space="preserve">C0769</t>
  </si>
  <si>
    <t xml:space="preserve">C0770</t>
  </si>
  <si>
    <t xml:space="preserve">C0771</t>
  </si>
  <si>
    <t xml:space="preserve">C0772</t>
  </si>
  <si>
    <t xml:space="preserve">C0773</t>
  </si>
  <si>
    <t xml:space="preserve">C0774</t>
  </si>
  <si>
    <t xml:space="preserve">C0775</t>
  </si>
  <si>
    <t xml:space="preserve">C0776</t>
  </si>
  <si>
    <t xml:space="preserve">C0777</t>
  </si>
  <si>
    <t xml:space="preserve">C0778</t>
  </si>
  <si>
    <t xml:space="preserve">C0779</t>
  </si>
  <si>
    <t xml:space="preserve">C0780</t>
  </si>
  <si>
    <t xml:space="preserve">C0781</t>
  </si>
  <si>
    <t xml:space="preserve">C0782</t>
  </si>
  <si>
    <t xml:space="preserve">C0783</t>
  </si>
  <si>
    <t xml:space="preserve">C0784</t>
  </si>
  <si>
    <t xml:space="preserve">C0785</t>
  </si>
  <si>
    <t xml:space="preserve">C0786</t>
  </si>
  <si>
    <t xml:space="preserve">C0787</t>
  </si>
  <si>
    <t xml:space="preserve">C0788</t>
  </si>
  <si>
    <t xml:space="preserve">C0789</t>
  </si>
  <si>
    <t xml:space="preserve">C0790</t>
  </si>
  <si>
    <t xml:space="preserve">C0791</t>
  </si>
  <si>
    <t xml:space="preserve">C0792</t>
  </si>
  <si>
    <t xml:space="preserve">C0793</t>
  </si>
  <si>
    <t xml:space="preserve">C0794</t>
  </si>
  <si>
    <t xml:space="preserve">C0795</t>
  </si>
  <si>
    <t xml:space="preserve">C0796</t>
  </si>
  <si>
    <t xml:space="preserve">C0797</t>
  </si>
  <si>
    <t xml:space="preserve">C0798</t>
  </si>
  <si>
    <t xml:space="preserve">C0799</t>
  </si>
  <si>
    <t xml:space="preserve">C0800</t>
  </si>
  <si>
    <t xml:space="preserve">C0801</t>
  </si>
  <si>
    <t xml:space="preserve">C0802</t>
  </si>
  <si>
    <t xml:space="preserve">C0803</t>
  </si>
  <si>
    <t xml:space="preserve">C0804</t>
  </si>
  <si>
    <t xml:space="preserve">C0805</t>
  </si>
  <si>
    <t xml:space="preserve">C0806</t>
  </si>
  <si>
    <t xml:space="preserve">C0807</t>
  </si>
  <si>
    <t xml:space="preserve">C0808</t>
  </si>
  <si>
    <t xml:space="preserve">C0809</t>
  </si>
  <si>
    <t xml:space="preserve">C0810</t>
  </si>
  <si>
    <t xml:space="preserve">C0811</t>
  </si>
  <si>
    <t xml:space="preserve">C0812</t>
  </si>
  <si>
    <t xml:space="preserve">C0813</t>
  </si>
  <si>
    <t xml:space="preserve">C0814</t>
  </si>
  <si>
    <t xml:space="preserve">C0815</t>
  </si>
  <si>
    <t xml:space="preserve">C0816</t>
  </si>
  <si>
    <t xml:space="preserve">C0817</t>
  </si>
  <si>
    <t xml:space="preserve">C0818</t>
  </si>
  <si>
    <t xml:space="preserve">C0819</t>
  </si>
  <si>
    <t xml:space="preserve">C0820</t>
  </si>
  <si>
    <t xml:space="preserve">C0821</t>
  </si>
  <si>
    <t xml:space="preserve">C0822</t>
  </si>
  <si>
    <t xml:space="preserve">C0823</t>
  </si>
  <si>
    <t xml:space="preserve">C0824</t>
  </si>
  <si>
    <t xml:space="preserve">C0825</t>
  </si>
  <si>
    <t xml:space="preserve">C0826</t>
  </si>
  <si>
    <t xml:space="preserve">C0827</t>
  </si>
  <si>
    <t xml:space="preserve">C0828</t>
  </si>
  <si>
    <t xml:space="preserve">C0829</t>
  </si>
  <si>
    <t xml:space="preserve">C0830</t>
  </si>
  <si>
    <t xml:space="preserve">C0831</t>
  </si>
  <si>
    <t xml:space="preserve">C0832</t>
  </si>
  <si>
    <t xml:space="preserve">C0833</t>
  </si>
  <si>
    <t xml:space="preserve">C0834</t>
  </si>
  <si>
    <t xml:space="preserve">C0835</t>
  </si>
  <si>
    <t xml:space="preserve">C0836</t>
  </si>
  <si>
    <t xml:space="preserve">C0837</t>
  </si>
  <si>
    <t xml:space="preserve">C0838</t>
  </si>
  <si>
    <t xml:space="preserve">C0839</t>
  </si>
  <si>
    <t xml:space="preserve">C0840</t>
  </si>
  <si>
    <t xml:space="preserve">C0841</t>
  </si>
  <si>
    <t xml:space="preserve">C0842</t>
  </si>
  <si>
    <t xml:space="preserve">C0843</t>
  </si>
  <si>
    <t xml:space="preserve">C0844</t>
  </si>
  <si>
    <t xml:space="preserve">C0845</t>
  </si>
  <si>
    <t xml:space="preserve">C0846</t>
  </si>
  <si>
    <t xml:space="preserve">C0847</t>
  </si>
  <si>
    <t xml:space="preserve">C0848</t>
  </si>
  <si>
    <t xml:space="preserve">C0849</t>
  </si>
  <si>
    <t xml:space="preserve">C0850</t>
  </si>
  <si>
    <t xml:space="preserve">C0851</t>
  </si>
  <si>
    <t xml:space="preserve">C0852</t>
  </si>
  <si>
    <t xml:space="preserve">C0853</t>
  </si>
  <si>
    <t xml:space="preserve">C0854</t>
  </si>
  <si>
    <t xml:space="preserve">C0855</t>
  </si>
  <si>
    <t xml:space="preserve">C0856</t>
  </si>
  <si>
    <t xml:space="preserve">C0857</t>
  </si>
  <si>
    <t xml:space="preserve">C0858</t>
  </si>
  <si>
    <t xml:space="preserve">C0859</t>
  </si>
  <si>
    <t xml:space="preserve">C0860</t>
  </si>
  <si>
    <t xml:space="preserve">C0861</t>
  </si>
  <si>
    <t xml:space="preserve">C0862</t>
  </si>
  <si>
    <t xml:space="preserve">C0863</t>
  </si>
  <si>
    <t xml:space="preserve">C0864</t>
  </si>
  <si>
    <t xml:space="preserve">C0865</t>
  </si>
  <si>
    <t xml:space="preserve">C0866</t>
  </si>
  <si>
    <t xml:space="preserve">C0867</t>
  </si>
  <si>
    <t xml:space="preserve">C0868</t>
  </si>
  <si>
    <t xml:space="preserve">C0869</t>
  </si>
  <si>
    <t xml:space="preserve">C0870</t>
  </si>
  <si>
    <t xml:space="preserve">C0871</t>
  </si>
  <si>
    <t xml:space="preserve">C0872</t>
  </si>
  <si>
    <t xml:space="preserve">C0873</t>
  </si>
  <si>
    <t xml:space="preserve">C0874</t>
  </si>
  <si>
    <t xml:space="preserve">C0875</t>
  </si>
  <si>
    <t xml:space="preserve">C0876</t>
  </si>
  <si>
    <t xml:space="preserve">C0877</t>
  </si>
  <si>
    <t xml:space="preserve">C0878</t>
  </si>
  <si>
    <t xml:space="preserve">C0879</t>
  </si>
  <si>
    <t xml:space="preserve">C0880</t>
  </si>
  <si>
    <t xml:space="preserve">C0881</t>
  </si>
  <si>
    <t xml:space="preserve">C0882</t>
  </si>
  <si>
    <t xml:space="preserve">C0883</t>
  </si>
  <si>
    <t xml:space="preserve">C0884</t>
  </si>
  <si>
    <t xml:space="preserve">C0885</t>
  </si>
  <si>
    <t xml:space="preserve">C0886</t>
  </si>
  <si>
    <t xml:space="preserve">C0887</t>
  </si>
  <si>
    <t xml:space="preserve">C0888</t>
  </si>
  <si>
    <t xml:space="preserve">C0889</t>
  </si>
  <si>
    <t xml:space="preserve">C0890</t>
  </si>
  <si>
    <t xml:space="preserve">C0891</t>
  </si>
  <si>
    <t xml:space="preserve">C0892</t>
  </si>
  <si>
    <t xml:space="preserve">C0893</t>
  </si>
  <si>
    <t xml:space="preserve">C0894</t>
  </si>
  <si>
    <t xml:space="preserve">C0895</t>
  </si>
  <si>
    <t xml:space="preserve">C0896</t>
  </si>
  <si>
    <t xml:space="preserve">C0897</t>
  </si>
  <si>
    <t xml:space="preserve">C0898</t>
  </si>
  <si>
    <t xml:space="preserve">C0899</t>
  </si>
  <si>
    <t xml:space="preserve">C0900</t>
  </si>
  <si>
    <t xml:space="preserve">C0901</t>
  </si>
  <si>
    <t xml:space="preserve">C0902</t>
  </si>
  <si>
    <t xml:space="preserve">C0903</t>
  </si>
  <si>
    <t xml:space="preserve">C0904</t>
  </si>
  <si>
    <t xml:space="preserve">C0905</t>
  </si>
  <si>
    <t xml:space="preserve">C0906</t>
  </si>
  <si>
    <t xml:space="preserve">C0907</t>
  </si>
  <si>
    <t xml:space="preserve">C0908</t>
  </si>
  <si>
    <t xml:space="preserve">C0909</t>
  </si>
  <si>
    <t xml:space="preserve">C0910</t>
  </si>
  <si>
    <t xml:space="preserve">C0911</t>
  </si>
  <si>
    <t xml:space="preserve">C0912</t>
  </si>
  <si>
    <t xml:space="preserve">C0913</t>
  </si>
  <si>
    <t xml:space="preserve">C0914</t>
  </si>
  <si>
    <t xml:space="preserve">C0915</t>
  </si>
  <si>
    <t xml:space="preserve">C0916</t>
  </si>
  <si>
    <t xml:space="preserve">C0917</t>
  </si>
  <si>
    <t xml:space="preserve">C0918</t>
  </si>
  <si>
    <t xml:space="preserve">C0919</t>
  </si>
  <si>
    <t xml:space="preserve">C0920</t>
  </si>
  <si>
    <t xml:space="preserve">C0921</t>
  </si>
  <si>
    <t xml:space="preserve">C0922</t>
  </si>
  <si>
    <t xml:space="preserve">C0923</t>
  </si>
  <si>
    <t xml:space="preserve">C0924</t>
  </si>
  <si>
    <t xml:space="preserve">C0925</t>
  </si>
  <si>
    <t xml:space="preserve">C0926</t>
  </si>
  <si>
    <t xml:space="preserve">C0927</t>
  </si>
  <si>
    <t xml:space="preserve">C0928</t>
  </si>
  <si>
    <t xml:space="preserve">C0929</t>
  </si>
  <si>
    <t xml:space="preserve">C0930</t>
  </si>
  <si>
    <t xml:space="preserve">C0931</t>
  </si>
  <si>
    <t xml:space="preserve">C0932</t>
  </si>
  <si>
    <t xml:space="preserve">C0933</t>
  </si>
  <si>
    <t xml:space="preserve">C0934</t>
  </si>
  <si>
    <t xml:space="preserve">C0935</t>
  </si>
  <si>
    <t xml:space="preserve">C0936</t>
  </si>
  <si>
    <t xml:space="preserve">C0937</t>
  </si>
  <si>
    <t xml:space="preserve">C0938</t>
  </si>
  <si>
    <t xml:space="preserve">C0939</t>
  </si>
  <si>
    <t xml:space="preserve">C0940</t>
  </si>
  <si>
    <t xml:space="preserve">C0941</t>
  </si>
  <si>
    <t xml:space="preserve">C0942</t>
  </si>
  <si>
    <t xml:space="preserve">C0943</t>
  </si>
  <si>
    <t xml:space="preserve">C0944</t>
  </si>
  <si>
    <t xml:space="preserve">C0945</t>
  </si>
  <si>
    <t xml:space="preserve">C0946</t>
  </si>
  <si>
    <t xml:space="preserve">C0947</t>
  </si>
  <si>
    <t xml:space="preserve">C0948</t>
  </si>
  <si>
    <t xml:space="preserve">C0949</t>
  </si>
  <si>
    <t xml:space="preserve">C0950</t>
  </si>
  <si>
    <t xml:space="preserve">C0951</t>
  </si>
  <si>
    <t xml:space="preserve">C0952</t>
  </si>
  <si>
    <t xml:space="preserve">C0953</t>
  </si>
  <si>
    <t xml:space="preserve">C0954</t>
  </si>
  <si>
    <t xml:space="preserve">C0955</t>
  </si>
  <si>
    <t xml:space="preserve">C0956</t>
  </si>
  <si>
    <t xml:space="preserve">C0957</t>
  </si>
  <si>
    <t xml:space="preserve">C0958</t>
  </si>
  <si>
    <t xml:space="preserve">C0959</t>
  </si>
  <si>
    <t xml:space="preserve">C0960</t>
  </si>
  <si>
    <t xml:space="preserve">C0961</t>
  </si>
  <si>
    <t xml:space="preserve">C0962</t>
  </si>
  <si>
    <t xml:space="preserve">C0963</t>
  </si>
  <si>
    <t xml:space="preserve">C0964</t>
  </si>
  <si>
    <t xml:space="preserve">C0965</t>
  </si>
  <si>
    <t xml:space="preserve">C0966</t>
  </si>
  <si>
    <t xml:space="preserve">C0967</t>
  </si>
  <si>
    <t xml:space="preserve">C0968</t>
  </si>
  <si>
    <t xml:space="preserve">C0969</t>
  </si>
  <si>
    <t xml:space="preserve">C0970</t>
  </si>
  <si>
    <t xml:space="preserve">C0971</t>
  </si>
  <si>
    <t xml:space="preserve">C0972</t>
  </si>
  <si>
    <t xml:space="preserve">C0973</t>
  </si>
  <si>
    <t xml:space="preserve">C0974</t>
  </si>
  <si>
    <t xml:space="preserve">C0975</t>
  </si>
  <si>
    <t xml:space="preserve">C0976</t>
  </si>
  <si>
    <t xml:space="preserve">C0977</t>
  </si>
  <si>
    <t xml:space="preserve">C0978</t>
  </si>
  <si>
    <t xml:space="preserve">C0979</t>
  </si>
  <si>
    <t xml:space="preserve">C0980</t>
  </si>
  <si>
    <t xml:space="preserve">C0981</t>
  </si>
  <si>
    <t xml:space="preserve">C0982</t>
  </si>
  <si>
    <t xml:space="preserve">C0983</t>
  </si>
  <si>
    <t xml:space="preserve">C0984</t>
  </si>
  <si>
    <t xml:space="preserve">C0985</t>
  </si>
  <si>
    <t xml:space="preserve">C0986</t>
  </si>
  <si>
    <t xml:space="preserve">C0987</t>
  </si>
  <si>
    <t xml:space="preserve">C0988</t>
  </si>
  <si>
    <t xml:space="preserve">C0989</t>
  </si>
  <si>
    <t xml:space="preserve">C0990</t>
  </si>
  <si>
    <t xml:space="preserve">C0991</t>
  </si>
  <si>
    <t xml:space="preserve">C0992</t>
  </si>
  <si>
    <t xml:space="preserve">C0993</t>
  </si>
  <si>
    <t xml:space="preserve">C0994</t>
  </si>
  <si>
    <t xml:space="preserve">C0995</t>
  </si>
  <si>
    <t xml:space="preserve">C0996</t>
  </si>
  <si>
    <t xml:space="preserve">C0997</t>
  </si>
  <si>
    <t xml:space="preserve">C0998</t>
  </si>
  <si>
    <t xml:space="preserve">C0999</t>
  </si>
  <si>
    <t xml:space="preserve">C1000</t>
  </si>
  <si>
    <t xml:space="preserve">Check: mean weight should be ≈ 1 (E_q[w] = 1). Strong deviations mean the proposal misses part of f's support.</t>
  </si>
  <si>
    <t xml:space="preserve">Gaussian copula — how the scenario parameters are coupled</t>
  </si>
  <si>
    <t xml:space="preserve">Explanation, live correlation matrix and Cholesky factor, a live 200-sample demo, and the effect on P(collision | HB).</t>
  </si>
  <si>
    <t xml:space="preserve">What it is</t>
  </si>
  <si>
    <t xml:space="preserve">A copula is a joint distribution on [0,1]^d with uniform marginals. Sklar's theorem: any joint CDF can be written F(x₁…x_d) = C(F₁(x₁),…,F_d(x_d)). The Gaussian copula is C_R(u) = Φ_R(Φ⁻¹(u₁),…,Φ⁻¹(u_d)), with Φ_R the multivariate normal CDF with correlation matrix R.</t>
  </si>
  <si>
    <t xml:space="preserve">Why for scenarios</t>
  </si>
  <si>
    <t xml:space="preserve">Each scenario parameter has its own natural marginal (uniform speed within a band, lognormal reaction time, uniform deceleration…), but parameters are not independent. The copula separates the two questions: which values does each parameter take (marginals) and how do they move together (R).</t>
  </si>
  <si>
    <t xml:space="preserve">Sampling (3 steps)</t>
  </si>
  <si>
    <t xml:space="preserve">1) ε ~ N(0, I), Z = L·ε with R = L·Lᵀ (Cholesky).  2) U_i = Φ(Z_i) — now uniform on [0,1] but correlated.  3) X_i = F_i⁻¹(U_i) — apply each marginal's inverse CDF. Live demo below (rows 66+).</t>
  </si>
  <si>
    <t xml:space="preserve">Density (needed for IS weights)</t>
  </si>
  <si>
    <t xml:space="preserve">c_R(u) = |R|^(−½) · exp(−½ zᵀ(R⁻¹ − I)z), z = Φ⁻¹(u). Joint density f(x) = c_R(F(x)) · Π f_i(x_i). The concrete-scenario weights w = f(θ)/q(θ) use this formula for both f and the proposal q.</t>
  </si>
  <si>
    <t xml:space="preserve">Fitting R from data</t>
  </si>
  <si>
    <t xml:space="preserve">Transform each parameter to pseudo-observations u = rank/(n+1), then z = Φ⁻¹(u); R = correlation matrix of z (normal scores). Alternative per pair: estimate Kendall's τ and use ρ = sin(πτ/2) (row 33). Rank-based fits are invariant to the marginals.</t>
  </si>
  <si>
    <t xml:space="preserve">Validity check</t>
  </si>
  <si>
    <t xml:space="preserve">R must be symmetric positive definite: det(R) &gt; 0 and the Cholesky factor exists (all diagonal entries of L real and &gt; 0). Pairwise-estimated correlations can violate this — then project to the nearest correlation matrix.</t>
  </si>
  <si>
    <t xml:space="preserve">Main limitation</t>
  </si>
  <si>
    <t xml:space="preserve">Zero tail dependence: joint extremes (very late reaction AND very weak braking) become asymptotically independent. If real data show joint extremes more often, the Gaussian copula under-estimates exactly the critical corner. Check with tail-dependence plots; use a t-copula (symmetric tail dependence) or vine copulas (flexible pairwise structure in high dimension).</t>
  </si>
  <si>
    <t xml:space="preserve">In this example</t>
  </si>
  <si>
    <t xml:space="preserve">R below is ILLUSTRATIVE, not measured. It couples ego speed, follower time headway, follower reaction time and follower deceleration; phantom-brake decel/duration and follower speed offset are independent. The Python simulation used the R values at build time; editing R here drives only the live demo and its correlation check.</t>
  </si>
  <si>
    <t xml:space="preserve">Correlation matrix R (edit the yellow upper triangle)</t>
  </si>
  <si>
    <t xml:space="preserve">v_e</t>
  </si>
  <si>
    <t xml:space="preserve">h</t>
  </si>
  <si>
    <t xml:space="preserve">T_r</t>
  </si>
  <si>
    <t xml:space="preserve">a_f</t>
  </si>
  <si>
    <t xml:space="preserve">v_e — Ego speed v_e</t>
  </si>
  <si>
    <t xml:space="preserve">det(R)</t>
  </si>
  <si>
    <t xml:space="preserve">h — Follower time headway h</t>
  </si>
  <si>
    <t xml:space="preserve">Valid?</t>
  </si>
  <si>
    <t xml:space="preserve">T_r — Follower reaction time T_r</t>
  </si>
  <si>
    <t xml:space="preserve">a_f — Follower deceleration a_f</t>
  </si>
  <si>
    <t xml:space="preserve">Cholesky factor L (R = L·Lᵀ), formulas</t>
  </si>
  <si>
    <t xml:space="preserve">Kendall τ → Gaussian-copula ρ</t>
  </si>
  <si>
    <t xml:space="preserve">Kendall τ (example)</t>
  </si>
  <si>
    <t xml:space="preserve">ρ = sin(π·τ/2) =</t>
  </si>
  <si>
    <t xml:space="preserve">Effect of the copula on P(collision | HB) — 20,000 runs each (ub_sim.copula_effect)</t>
  </si>
  <si>
    <t xml:space="preserve">P(coll|HB), Gaussian copula</t>
  </si>
  <si>
    <t xml:space="preserve">P(coll|HB), independent</t>
  </si>
  <si>
    <t xml:space="preserve">Ratio copula / independent</t>
  </si>
  <si>
    <t xml:space="preserve">Runs each</t>
  </si>
  <si>
    <t xml:space="preserve">Reading: with these signs, close followers react faster (h–T_r &lt; 0) but slow reactors also brake weakly (T_r–a_f &lt; 0). Ignoring dependence changes P(collision) by the factor in column E — an error that goes straight into the risk sum.</t>
  </si>
  <si>
    <t xml:space="preserve">Live sampling demo — logical scenario parameters (edit yellow)</t>
  </si>
  <si>
    <t xml:space="preserve">Speed band low [km/h]</t>
  </si>
  <si>
    <t xml:space="preserve">Speed band high [km/h]</t>
  </si>
  <si>
    <t xml:space="preserve">Headway class low [s]</t>
  </si>
  <si>
    <t xml:space="preserve">Headway class high [s]</t>
  </si>
  <si>
    <t xml:space="preserve">T_r log-median [s]</t>
  </si>
  <si>
    <t xml:space="preserve">T_r log-sd</t>
  </si>
  <si>
    <t xml:space="preserve">a_f low [m/s²]</t>
  </si>
  <si>
    <t xml:space="preserve">a_f high [m/s²]</t>
  </si>
  <si>
    <t xml:space="preserve">Sample correlation check (200 draws): target ρ vs. sample correlation of Z</t>
  </si>
  <si>
    <t xml:space="preserve">v_e–h: target</t>
  </si>
  <si>
    <t xml:space="preserve">h–T_r: target</t>
  </si>
  <si>
    <t xml:space="preserve">T_r–a_f: target</t>
  </si>
  <si>
    <t xml:space="preserve">v_e–T_r: target</t>
  </si>
  <si>
    <t xml:space="preserve">v_e–a_f: target</t>
  </si>
  <si>
    <t xml:space="preserve">h–a_f: target</t>
  </si>
  <si>
    <t xml:space="preserve">#</t>
  </si>
  <si>
    <t xml:space="preserve">ε₁</t>
  </si>
  <si>
    <t xml:space="preserve">ε₂</t>
  </si>
  <si>
    <t xml:space="preserve">ε₃</t>
  </si>
  <si>
    <t xml:space="preserve">ε₄</t>
  </si>
  <si>
    <t xml:space="preserve">Z₁ (v_e)</t>
  </si>
  <si>
    <t xml:space="preserve">Z₂ (h)</t>
  </si>
  <si>
    <t xml:space="preserve">Z₃ (T_r)</t>
  </si>
  <si>
    <t xml:space="preserve">Z₄ (a_f)</t>
  </si>
  <si>
    <t xml:space="preserve">U₁</t>
  </si>
  <si>
    <t xml:space="preserve">U₂</t>
  </si>
  <si>
    <t xml:space="preserve">U₃</t>
  </si>
  <si>
    <t xml:space="preserve">U₄</t>
  </si>
  <si>
    <t xml:space="preserve">v_e [km/h]</t>
  </si>
  <si>
    <t xml:space="preserve">h [s]</t>
  </si>
  <si>
    <t xml:space="preserve">T_r [s]</t>
  </si>
  <si>
    <t xml:space="preserve">a_f [m/s²]</t>
  </si>
  <si>
    <t xml:space="preserve">Sample correlation</t>
  </si>
  <si>
    <t xml:space="preserve">v_e–h</t>
  </si>
  <si>
    <t xml:space="preserve">h–T_r</t>
  </si>
  <si>
    <t xml:space="preserve">T_r–a_f</t>
  </si>
  <si>
    <t xml:space="preserve">v_e–T_r</t>
  </si>
  <si>
    <t xml:space="preserve">v_e–a_f</t>
  </si>
  <si>
    <t xml:space="preserve">h–a_f</t>
  </si>
  <si>
    <t xml:space="preserve">Rank (Spearman) correlation of the final parameters equals that of U; Pearson correlation of X can differ because the marginals are nonlinear.</t>
  </si>
  <si>
    <t xml:space="preserve">Summary — does the validation target hold?</t>
  </si>
  <si>
    <t xml:space="preserve">All values recalculate from Inputs, HB Evidence and Scenarios.</t>
  </si>
  <si>
    <t xml:space="preserve">Quantity</t>
  </si>
  <si>
    <t xml:space="preserve">Unit</t>
  </si>
  <si>
    <t xml:space="preserve">Verdict / note</t>
  </si>
  <si>
    <t xml:space="preserve">Scenario shares sum (partition check)</t>
  </si>
  <si>
    <t xml:space="preserve">-</t>
  </si>
  <si>
    <t xml:space="preserve">Must be 100%: logical scenarios are mutually exclusive and exhaustive within the ODD.</t>
  </si>
  <si>
    <t xml:space="preserve">Point estimate R̂</t>
  </si>
  <si>
    <t xml:space="preserve">1/h</t>
  </si>
  <si>
    <t xml:space="preserve">Not evidence by itself — no confidence.</t>
  </si>
  <si>
    <t xml:space="preserve">Bonferroni upper bound R_U</t>
  </si>
  <si>
    <t xml:space="preserve">All 120 estimated terms bounded simultaneously at C_b; products of upper bounds → conservative.</t>
  </si>
  <si>
    <t xml:space="preserve">Bayesian posterior 95% quantile</t>
  </si>
  <si>
    <t xml:space="preserve">From ub_sim.py: 200,000 posterior draws, Gamma(k+½, h) for λ, Beta(c+½, N−c+½) for P(coll). Value, not formula.</t>
  </si>
  <si>
    <t xml:space="preserve">Bayesian posterior mean</t>
  </si>
  <si>
    <t xml:space="preserve">From ub_sim.py.</t>
  </si>
  <si>
    <t xml:space="preserve">Acceptance criterion A_H</t>
  </si>
  <si>
    <t xml:space="preserve">Budget for known scenarios (1−ε)·A_H</t>
  </si>
  <si>
    <t xml:space="preserve">The remaining ε·A_H is reserved for unknown triggers (row 21).</t>
  </si>
  <si>
    <t xml:space="preserve">Verdicts against the known-scenario budget</t>
  </si>
  <si>
    <t xml:space="preserve">Link to the Annex C / lesson 1 view</t>
  </si>
  <si>
    <t xml:space="preserve">Average P(harm | HB) = R̂ / Σ share·λ̂</t>
  </si>
  <si>
    <t xml:space="preserve">This is the scenario-averaged product P(E|HB)·P(C̄|E)·P(S|C̄) of Annex C.2.</t>
  </si>
  <si>
    <t xml:space="preserve">Tolerable overall HB rate R_HB = budget / avg P(harm|HB)</t>
  </si>
  <si>
    <t xml:space="preserve">Field-only alternative: failure-free hours τ = −ln(1−C)/R_HB</t>
  </si>
  <si>
    <t xml:space="preserve">Lesson 1 approach: drive representative hours with zero unintended brakes. Compare with the replay hours in HB Evidence.</t>
  </si>
  <si>
    <t xml:space="preserve">Unknown-trigger reserve: field hours with no unexplained HB</t>
  </si>
  <si>
    <t xml:space="preserve">Every HB in this field driving must map to a known trigger; an unexplained one counts against ε·A_H.</t>
  </si>
  <si>
    <t xml:space="preserve">Replay hours used so far</t>
  </si>
  <si>
    <t xml:space="preserve">Point risk by trigger context</t>
  </si>
  <si>
    <t xml:space="preserve">R̂ [1/h]</t>
  </si>
  <si>
    <t xml:space="preserve">Share</t>
  </si>
  <si>
    <t xml:space="preserve">Share if λ were known (synthetic truth)</t>
  </si>
  <si>
    <t xml:space="preserve">Point risk by follower headway</t>
  </si>
  <si>
    <t xml:space="preserve">Point risk by speed band</t>
  </si>
  <si>
    <t xml:space="preserve">Screening: scenarios whose bound share·λ_U ≤ 0.1% of budget (safe to skip simulation)</t>
  </si>
  <si>
    <t xml:space="preserve">Sum of their screening bounds</t>
  </si>
  <si>
    <t xml:space="preserve">Reality check (synthetic truth — unknowable in practice)</t>
  </si>
  <si>
    <t xml:space="preserve">Risk if λ were known exactly</t>
  </si>
  <si>
    <t xml:space="preserve">True overall HB rate Σ share·λ</t>
  </si>
  <si>
    <t xml:space="preserve">P(field-only zero-failure test of row 21 passes)</t>
  </si>
  <si>
    <t xml:space="preserve">The field-only target looks cheap, but at the true HB rate it is close to a coin flip; a k &gt; 0 plan costs more hours (lesson 1). It also needs avg P(harm|HB), which only the scenario model provides.</t>
  </si>
  <si>
    <t xml:space="preserve">Same calculation from the 1,000 concrete scenarios only</t>
  </si>
  <si>
    <t xml:space="preserve">Point estimate R̂ from 1,000 importance-sampled concrete runs</t>
  </si>
  <si>
    <t xml:space="preserve">Uses λ̂ from HB Evidence and the weighted concrete outcomes: Σ share·λ̂·(1/10)Σ w·1{coll}·P(MAIS2+).</t>
  </si>
  <si>
    <t xml:space="preserve">Ratio to the 200,000-run plain Monte Carlo estimate (row 6)</t>
  </si>
  <si>
    <t xml:space="preserve">Same order of magnitude from 200× fewer simulations — that is what importance sampling buys. Plain MC with 10 runs per scenario would almost always see zero collisions.</t>
  </si>
  <si>
    <t xml:space="preserve">Collisions among the 1,000 concrete scenarios</t>
  </si>
  <si>
    <t xml:space="preserve">Median effective sample size per logical scenario (of 10)</t>
  </si>
  <si>
    <t xml:space="preserve">Low ESS means a few heavy weights dominate: the proposal q is too far from f for that scenario. Report ESS with every IS estimate.</t>
  </si>
  <si>
    <t xml:space="preserve">Validation targets per evidence cell</t>
  </si>
  <si>
    <t xml:space="preserve">How many replay hours each cell needs so the Bonferroni bound fits the budget.</t>
  </si>
  <si>
    <t xml:space="preserve">Optimal allocation: minimise total hours Σ λ_k,j·G_j/B_j subject to Σ B_j = budget ⇒ B_j ∝ √(λ_k,j·G_j) (Lagrange multiplier; λ_k,j = ½χ²_2(k_j+1)(C_b) differs per cell because k_j differs). Required hours assume no further events (observed k kept).</t>
  </si>
  <si>
    <t xml:space="preserve">Harm weight G_j</t>
  </si>
  <si>
    <t xml:space="preserve">Events k so far</t>
  </si>
  <si>
    <t xml:space="preserve">Hours so far</t>
  </si>
  <si>
    <t xml:space="preserve">Budget B_j (optimal, ∝ √(λ_k·G))</t>
  </si>
  <si>
    <t xml:space="preserve">λ target = B_j/G_j [1/h]</t>
  </si>
  <si>
    <t xml:space="preserve">Required hours (optimal)</t>
  </si>
  <si>
    <t xml:space="preserve">Additional hours</t>
  </si>
  <si>
    <t xml:space="preserve">Budget B_j (equal split)</t>
  </si>
  <si>
    <t xml:space="preserve">Required hours (equal)</t>
  </si>
  <si>
    <t xml:space="preserve">λ_k,j(C_b) = ½χ²</t>
  </si>
  <si>
    <t xml:space="preserve">Caveats</t>
  </si>
  <si>
    <t xml:space="preserve">1. G_j uses the Bonferroni upper collision probability, so it also shrinks as you add simulation runs — the two evidence types trade off.</t>
  </si>
  <si>
    <t xml:space="preserve">2. Required hours assume the observed k stays fixed; new events raise the requirement. Plan with margin and fix the plan before testing (lesson 1).</t>
  </si>
  <si>
    <t xml:space="preserve">3. Replay hours only count if the replayed software equals the release candidate and replay (open loop) reproduces the brake decision faithfully.</t>
  </si>
  <si>
    <t xml:space="preserve">4. The Bayesian route (Summary row 8) needs far less evidence but must defend its prior; Jeffreys is the usual 'minimally informative' choice.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</si>
</sst>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E+00"/>
    <numFmt numFmtId="166" formatCode="0.00"/>
    <numFmt numFmtId="167" formatCode="0.0%"/>
    <numFmt numFmtId="168" formatCode="0"/>
    <numFmt numFmtId="169" formatCode="0.000000"/>
    <numFmt numFmtId="170" formatCode="0.0"/>
    <numFmt numFmtId="171" formatCode="#,##0"/>
    <numFmt numFmtId="172" formatCode="0.000%"/>
    <numFmt numFmtId="173" formatCode="0.0000"/>
    <numFmt numFmtId="174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E6B63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63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6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39.55" hidden="false" customHeight="false" outlineLevel="0" collapsed="false">
      <c r="A9" s="3" t="s">
        <v>12</v>
      </c>
      <c r="B9" s="4" t="s">
        <v>13</v>
      </c>
    </row>
    <row r="10" customFormat="false" ht="26.85" hidden="false" customHeight="false" outlineLevel="0" collapsed="false">
      <c r="A10" s="3" t="s">
        <v>14</v>
      </c>
      <c r="B10" s="4" t="s">
        <v>15</v>
      </c>
    </row>
    <row r="11" customFormat="false" ht="26.85" hidden="false" customHeight="false" outlineLevel="0" collapsed="false">
      <c r="A11" s="3" t="s">
        <v>16</v>
      </c>
      <c r="B11" s="4" t="s">
        <v>17</v>
      </c>
    </row>
    <row r="12" customFormat="false" ht="39.55" hidden="false" customHeight="false" outlineLevel="0" collapsed="false">
      <c r="A12" s="3" t="s">
        <v>18</v>
      </c>
      <c r="B12" s="4" t="s">
        <v>19</v>
      </c>
    </row>
    <row r="13" customFormat="false" ht="26.85" hidden="false" customHeight="false" outlineLevel="0" collapsed="false">
      <c r="A13" s="3" t="s">
        <v>20</v>
      </c>
      <c r="B13" s="4" t="s">
        <v>21</v>
      </c>
    </row>
    <row r="14" customFormat="false" ht="26.85" hidden="false" customHeight="false" outlineLevel="0" collapsed="false">
      <c r="A14" s="3" t="s">
        <v>22</v>
      </c>
      <c r="B14" s="4" t="s">
        <v>23</v>
      </c>
    </row>
    <row r="15" customFormat="false" ht="26.8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</row>
    <row r="17" customFormat="false" ht="15" hidden="false" customHeight="false" outlineLevel="0" collapsed="false">
      <c r="A17" s="5" t="s">
        <v>27</v>
      </c>
      <c r="B17" s="6" t="str">
        <f aca="false">Summary!D14</f>
        <v>meets budget (point only — not a valid claim)</v>
      </c>
    </row>
    <row r="18" customFormat="false" ht="15" hidden="false" customHeight="false" outlineLevel="0" collapsed="false">
      <c r="A18" s="5" t="s">
        <v>28</v>
      </c>
      <c r="B18" s="6" t="str">
        <f aca="false">Summary!D15</f>
        <v>FAIL — evidence insufficient, see Validation Targets</v>
      </c>
    </row>
    <row r="19" customFormat="false" ht="15" hidden="false" customHeight="false" outlineLevel="0" collapsed="false">
      <c r="A19" s="5" t="s">
        <v>29</v>
      </c>
      <c r="B19" s="6" t="str">
        <f aca="false">Summary!D16</f>
        <v>PASS at 95% posterior (prior must be justified to the assessor)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45" hidden="false" customHeight="true" outlineLevel="0" collapsed="false">
      <c r="A4" s="7" t="s">
        <v>32</v>
      </c>
      <c r="B4" s="7" t="s">
        <v>33</v>
      </c>
      <c r="C4" s="7" t="s">
        <v>34</v>
      </c>
    </row>
    <row r="5" customFormat="false" ht="15" hidden="false" customHeight="false" outlineLevel="0" collapsed="false">
      <c r="A5" s="5" t="s">
        <v>35</v>
      </c>
      <c r="B5" s="8" t="n">
        <v>1E-007</v>
      </c>
      <c r="C5" s="5" t="s">
        <v>36</v>
      </c>
    </row>
    <row r="6" customFormat="false" ht="15" hidden="false" customHeight="false" outlineLevel="0" collapsed="false">
      <c r="A6" s="5" t="s">
        <v>37</v>
      </c>
      <c r="B6" s="9" t="n">
        <v>0.95</v>
      </c>
      <c r="C6" s="5" t="s">
        <v>38</v>
      </c>
    </row>
    <row r="7" customFormat="false" ht="15" hidden="false" customHeight="false" outlineLevel="0" collapsed="false">
      <c r="A7" s="5" t="s">
        <v>39</v>
      </c>
      <c r="B7" s="10" t="n">
        <v>0.1</v>
      </c>
      <c r="C7" s="5" t="s">
        <v>40</v>
      </c>
    </row>
    <row r="8" customFormat="false" ht="15" hidden="false" customHeight="false" outlineLevel="0" collapsed="false">
      <c r="A8" s="5" t="s">
        <v>41</v>
      </c>
      <c r="B8" s="11" t="n">
        <f aca="false">COUNTA('HB Evidence'!A6:A25)</f>
        <v>20</v>
      </c>
      <c r="C8" s="5" t="s">
        <v>42</v>
      </c>
    </row>
    <row r="9" customFormat="false" ht="15" hidden="false" customHeight="false" outlineLevel="0" collapsed="false">
      <c r="A9" s="5" t="s">
        <v>43</v>
      </c>
      <c r="B9" s="11" t="n">
        <f aca="false">COUNTA(Scenarios!A6:A105)</f>
        <v>100</v>
      </c>
      <c r="C9" s="5" t="s">
        <v>42</v>
      </c>
    </row>
    <row r="10" customFormat="false" ht="15" hidden="false" customHeight="false" outlineLevel="0" collapsed="false">
      <c r="A10" s="5" t="s">
        <v>44</v>
      </c>
      <c r="B10" s="12" t="n">
        <f aca="false">1-(1-B6)/(B8+B9)</f>
        <v>0.999583333333333</v>
      </c>
      <c r="C10" s="5" t="s">
        <v>45</v>
      </c>
    </row>
    <row r="11" customFormat="false" ht="15" hidden="false" customHeight="false" outlineLevel="0" collapsed="false">
      <c r="A11" s="5" t="s">
        <v>46</v>
      </c>
      <c r="B11" s="13" t="n">
        <f aca="false">(1-B7)*B5</f>
        <v>9E-008</v>
      </c>
      <c r="C11" s="5" t="s">
        <v>42</v>
      </c>
    </row>
    <row r="12" customFormat="false" ht="15" hidden="false" customHeight="false" outlineLevel="0" collapsed="false">
      <c r="A12" s="5" t="s">
        <v>47</v>
      </c>
      <c r="B12" s="14" t="n">
        <v>45</v>
      </c>
      <c r="C12" s="5" t="s">
        <v>48</v>
      </c>
    </row>
    <row r="13" customFormat="false" ht="15" hidden="false" customHeight="false" outlineLevel="0" collapsed="false">
      <c r="A13" s="5" t="s">
        <v>49</v>
      </c>
      <c r="B13" s="14" t="n">
        <v>7</v>
      </c>
      <c r="C13" s="5" t="s">
        <v>50</v>
      </c>
    </row>
    <row r="14" customFormat="false" ht="15" hidden="false" customHeight="false" outlineLevel="0" collapsed="false">
      <c r="A14" s="3" t="s">
        <v>51</v>
      </c>
      <c r="B14" s="3" t="s">
        <v>52</v>
      </c>
      <c r="C14" s="3" t="s">
        <v>53</v>
      </c>
    </row>
    <row r="15" customFormat="false" ht="15" hidden="false" customHeight="false" outlineLevel="0" collapsed="false">
      <c r="A15" s="5" t="s">
        <v>54</v>
      </c>
      <c r="B15" s="10" t="n">
        <v>0.8</v>
      </c>
      <c r="C15" s="5" t="s">
        <v>55</v>
      </c>
    </row>
    <row r="16" customFormat="false" ht="15" hidden="false" customHeight="false" outlineLevel="0" collapsed="false">
      <c r="A16" s="5" t="s">
        <v>56</v>
      </c>
      <c r="B16" s="10" t="n">
        <v>0.05</v>
      </c>
      <c r="C16" s="5" t="s">
        <v>55</v>
      </c>
    </row>
    <row r="17" customFormat="false" ht="15" hidden="false" customHeight="false" outlineLevel="0" collapsed="false">
      <c r="A17" s="5" t="s">
        <v>57</v>
      </c>
      <c r="B17" s="10" t="n">
        <v>0.07</v>
      </c>
      <c r="C17" s="5" t="s">
        <v>55</v>
      </c>
    </row>
    <row r="18" customFormat="false" ht="15" hidden="false" customHeight="false" outlineLevel="0" collapsed="false">
      <c r="A18" s="5" t="s">
        <v>58</v>
      </c>
      <c r="B18" s="10" t="n">
        <v>0.05</v>
      </c>
      <c r="C18" s="5" t="s">
        <v>55</v>
      </c>
    </row>
    <row r="19" customFormat="false" ht="15" hidden="false" customHeight="false" outlineLevel="0" collapsed="false">
      <c r="A19" s="5" t="s">
        <v>59</v>
      </c>
      <c r="B19" s="10" t="n">
        <v>0.03</v>
      </c>
      <c r="C19" s="5" t="s">
        <v>55</v>
      </c>
    </row>
    <row r="20" customFormat="false" ht="15" hidden="false" customHeight="false" outlineLevel="0" collapsed="false">
      <c r="A20" s="3" t="s">
        <v>60</v>
      </c>
      <c r="B20" s="15" t="n">
        <f aca="false">SUM(B15:B19)</f>
        <v>1</v>
      </c>
    </row>
    <row r="22" customFormat="false" ht="15" hidden="false" customHeight="false" outlineLevel="0" collapsed="false">
      <c r="A22" s="3" t="s">
        <v>61</v>
      </c>
      <c r="B22" s="3" t="s">
        <v>52</v>
      </c>
    </row>
    <row r="23" customFormat="false" ht="15" hidden="false" customHeight="false" outlineLevel="0" collapsed="false">
      <c r="A23" s="5" t="s">
        <v>62</v>
      </c>
      <c r="B23" s="10" t="n">
        <v>0.35</v>
      </c>
      <c r="C23" s="5" t="s">
        <v>63</v>
      </c>
    </row>
    <row r="24" customFormat="false" ht="15" hidden="false" customHeight="false" outlineLevel="0" collapsed="false">
      <c r="A24" s="5" t="s">
        <v>64</v>
      </c>
      <c r="B24" s="10" t="n">
        <v>0.4</v>
      </c>
      <c r="C24" s="5" t="s">
        <v>63</v>
      </c>
    </row>
    <row r="25" customFormat="false" ht="15" hidden="false" customHeight="false" outlineLevel="0" collapsed="false">
      <c r="A25" s="5" t="s">
        <v>65</v>
      </c>
      <c r="B25" s="10" t="n">
        <v>0.15</v>
      </c>
      <c r="C25" s="5" t="s">
        <v>63</v>
      </c>
    </row>
    <row r="26" customFormat="false" ht="15" hidden="false" customHeight="false" outlineLevel="0" collapsed="false">
      <c r="A26" s="5" t="s">
        <v>66</v>
      </c>
      <c r="B26" s="10" t="n">
        <v>0.1</v>
      </c>
      <c r="C26" s="5" t="s">
        <v>63</v>
      </c>
    </row>
    <row r="27" customFormat="false" ht="15" hidden="false" customHeight="false" outlineLevel="0" collapsed="false">
      <c r="A27" s="3" t="s">
        <v>60</v>
      </c>
      <c r="B27" s="15" t="n">
        <f aca="false">SUM(B23:B26)</f>
        <v>1</v>
      </c>
    </row>
    <row r="29" customFormat="false" ht="15" hidden="false" customHeight="false" outlineLevel="0" collapsed="false">
      <c r="A29" s="3" t="s">
        <v>67</v>
      </c>
      <c r="B29" s="3" t="s">
        <v>52</v>
      </c>
    </row>
    <row r="30" customFormat="false" ht="15" hidden="false" customHeight="false" outlineLevel="0" collapsed="false">
      <c r="A30" s="5" t="s">
        <v>68</v>
      </c>
      <c r="B30" s="10" t="n">
        <v>0.45</v>
      </c>
      <c r="C30" s="5" t="s">
        <v>69</v>
      </c>
    </row>
    <row r="31" customFormat="false" ht="15" hidden="false" customHeight="false" outlineLevel="0" collapsed="false">
      <c r="A31" s="5" t="s">
        <v>70</v>
      </c>
      <c r="B31" s="10" t="n">
        <v>0.2</v>
      </c>
      <c r="C31" s="5" t="s">
        <v>69</v>
      </c>
    </row>
    <row r="32" customFormat="false" ht="15" hidden="false" customHeight="false" outlineLevel="0" collapsed="false">
      <c r="A32" s="5" t="s">
        <v>71</v>
      </c>
      <c r="B32" s="10" t="n">
        <v>0.15</v>
      </c>
      <c r="C32" s="5" t="s">
        <v>69</v>
      </c>
    </row>
    <row r="33" customFormat="false" ht="15" hidden="false" customHeight="false" outlineLevel="0" collapsed="false">
      <c r="A33" s="5" t="s">
        <v>72</v>
      </c>
      <c r="B33" s="10" t="n">
        <v>0.13</v>
      </c>
      <c r="C33" s="5" t="s">
        <v>69</v>
      </c>
    </row>
    <row r="34" customFormat="false" ht="15" hidden="false" customHeight="false" outlineLevel="0" collapsed="false">
      <c r="A34" s="5" t="s">
        <v>73</v>
      </c>
      <c r="B34" s="10" t="n">
        <v>0.07</v>
      </c>
      <c r="C34" s="5" t="s">
        <v>69</v>
      </c>
    </row>
    <row r="35" customFormat="false" ht="15" hidden="false" customHeight="false" outlineLevel="0" collapsed="false">
      <c r="A35" s="3" t="s">
        <v>60</v>
      </c>
      <c r="B35" s="15" t="n">
        <f aca="false">SUM(B30:B34)</f>
        <v>1</v>
      </c>
    </row>
    <row r="37" customFormat="false" ht="26.85" hidden="false" customHeight="true" outlineLevel="0" collapsed="false">
      <c r="A37" s="3" t="s">
        <v>74</v>
      </c>
      <c r="B37" s="4" t="s">
        <v>75</v>
      </c>
      <c r="C37" s="4"/>
    </row>
  </sheetData>
  <mergeCells count="1"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5" customFormat="false" ht="45" hidden="false" customHeight="true" outlineLevel="0" collapsed="false">
      <c r="A5" s="7" t="s">
        <v>78</v>
      </c>
      <c r="B5" s="7" t="s">
        <v>51</v>
      </c>
      <c r="C5" s="7" t="s">
        <v>79</v>
      </c>
      <c r="D5" s="7" t="s">
        <v>80</v>
      </c>
      <c r="E5" s="7" t="s">
        <v>81</v>
      </c>
      <c r="F5" s="7" t="s">
        <v>82</v>
      </c>
      <c r="G5" s="7" t="s">
        <v>83</v>
      </c>
      <c r="H5" s="7" t="s">
        <v>84</v>
      </c>
      <c r="I5" s="7" t="s">
        <v>85</v>
      </c>
      <c r="J5" s="7" t="s">
        <v>86</v>
      </c>
      <c r="K5" s="7" t="s">
        <v>87</v>
      </c>
    </row>
    <row r="6" customFormat="false" ht="15" hidden="false" customHeight="false" outlineLevel="0" collapsed="false">
      <c r="A6" s="5" t="s">
        <v>88</v>
      </c>
      <c r="B6" s="5" t="s">
        <v>54</v>
      </c>
      <c r="C6" s="5" t="s">
        <v>62</v>
      </c>
      <c r="D6" s="16" t="n">
        <v>12000</v>
      </c>
      <c r="E6" s="17" t="n">
        <v>0</v>
      </c>
      <c r="F6" s="13" t="n">
        <f aca="false">E6/D6</f>
        <v>0</v>
      </c>
      <c r="G6" s="13" t="n">
        <f aca="false">CHIINV(1-Inputs!$B$6,2*(E6+1))/2/D6</f>
        <v>0.000249644356129499</v>
      </c>
      <c r="H6" s="13" t="n">
        <f aca="false">CHIINV(1-Inputs!$B$10,2*(E6+1))/2/D6</f>
        <v>0.000648602001361346</v>
      </c>
      <c r="I6" s="18" t="n">
        <v>2E-005</v>
      </c>
      <c r="J6" s="13" t="n">
        <f aca="false">SUMIF(Scenarios!$E$6:$E$105,A6,Scenarios!$V$6:$V$105)</f>
        <v>0.000179619870160129</v>
      </c>
      <c r="K6" s="13" t="n">
        <f aca="false">SUMIF(Scenarios!$E$6:$E$105,A6,Scenarios!$R$6:$R$105)</f>
        <v>0</v>
      </c>
    </row>
    <row r="7" customFormat="false" ht="15" hidden="false" customHeight="false" outlineLevel="0" collapsed="false">
      <c r="A7" s="5" t="s">
        <v>89</v>
      </c>
      <c r="B7" s="5" t="s">
        <v>54</v>
      </c>
      <c r="C7" s="5" t="s">
        <v>64</v>
      </c>
      <c r="D7" s="16" t="n">
        <v>14000</v>
      </c>
      <c r="E7" s="17" t="n">
        <v>0</v>
      </c>
      <c r="F7" s="13" t="n">
        <f aca="false">E7/D7</f>
        <v>0</v>
      </c>
      <c r="G7" s="13" t="n">
        <f aca="false">CHIINV(1-Inputs!$B$6,2*(E7+1))/2/D7</f>
        <v>0.000213980876682428</v>
      </c>
      <c r="H7" s="13" t="n">
        <f aca="false">CHIINV(1-Inputs!$B$10,2*(E7+1))/2/D7</f>
        <v>0.000555944572595439</v>
      </c>
      <c r="I7" s="18" t="n">
        <v>2E-005</v>
      </c>
      <c r="J7" s="13" t="n">
        <f aca="false">SUMIF(Scenarios!$E$6:$E$105,A7,Scenarios!$V$6:$V$105)</f>
        <v>0.000183684718747151</v>
      </c>
      <c r="K7" s="13" t="n">
        <f aca="false">SUMIF(Scenarios!$E$6:$E$105,A7,Scenarios!$R$6:$R$105)</f>
        <v>0</v>
      </c>
    </row>
    <row r="8" customFormat="false" ht="15" hidden="false" customHeight="false" outlineLevel="0" collapsed="false">
      <c r="A8" s="5" t="s">
        <v>90</v>
      </c>
      <c r="B8" s="5" t="s">
        <v>54</v>
      </c>
      <c r="C8" s="5" t="s">
        <v>65</v>
      </c>
      <c r="D8" s="16" t="n">
        <v>6000</v>
      </c>
      <c r="E8" s="17" t="n">
        <v>0</v>
      </c>
      <c r="F8" s="13" t="n">
        <f aca="false">E8/D8</f>
        <v>0</v>
      </c>
      <c r="G8" s="13" t="n">
        <f aca="false">CHIINV(1-Inputs!$B$6,2*(E8+1))/2/D8</f>
        <v>0.000499288712258998</v>
      </c>
      <c r="H8" s="13" t="n">
        <f aca="false">CHIINV(1-Inputs!$B$10,2*(E8+1))/2/D8</f>
        <v>0.00129720400272269</v>
      </c>
      <c r="I8" s="18" t="n">
        <v>2.4E-005</v>
      </c>
      <c r="J8" s="13" t="n">
        <f aca="false">SUMIF(Scenarios!$E$6:$E$105,A8,Scenarios!$V$6:$V$105)</f>
        <v>3.82325867721137E-005</v>
      </c>
      <c r="K8" s="13" t="n">
        <f aca="false">SUMIF(Scenarios!$E$6:$E$105,A8,Scenarios!$R$6:$R$105)</f>
        <v>0</v>
      </c>
    </row>
    <row r="9" customFormat="false" ht="15" hidden="false" customHeight="false" outlineLevel="0" collapsed="false">
      <c r="A9" s="5" t="s">
        <v>91</v>
      </c>
      <c r="B9" s="5" t="s">
        <v>54</v>
      </c>
      <c r="C9" s="5" t="s">
        <v>66</v>
      </c>
      <c r="D9" s="16" t="n">
        <v>4000</v>
      </c>
      <c r="E9" s="17" t="n">
        <v>0</v>
      </c>
      <c r="F9" s="13" t="n">
        <f aca="false">E9/D9</f>
        <v>0</v>
      </c>
      <c r="G9" s="13" t="n">
        <f aca="false">CHIINV(1-Inputs!$B$6,2*(E9+1))/2/D9</f>
        <v>0.000748933068388497</v>
      </c>
      <c r="H9" s="13" t="n">
        <f aca="false">CHIINV(1-Inputs!$B$10,2*(E9+1))/2/D9</f>
        <v>0.00194580600408404</v>
      </c>
      <c r="I9" s="18" t="n">
        <v>3E-005</v>
      </c>
      <c r="J9" s="13" t="n">
        <f aca="false">SUMIF(Scenarios!$E$6:$E$105,A9,Scenarios!$V$6:$V$105)</f>
        <v>4.39092825555339E-005</v>
      </c>
      <c r="K9" s="13" t="n">
        <f aca="false">SUMIF(Scenarios!$E$6:$E$105,A9,Scenarios!$R$6:$R$105)</f>
        <v>0</v>
      </c>
    </row>
    <row r="10" customFormat="false" ht="15" hidden="false" customHeight="false" outlineLevel="0" collapsed="false">
      <c r="A10" s="5" t="s">
        <v>92</v>
      </c>
      <c r="B10" s="5" t="s">
        <v>56</v>
      </c>
      <c r="C10" s="5" t="s">
        <v>62</v>
      </c>
      <c r="D10" s="16" t="n">
        <v>3000</v>
      </c>
      <c r="E10" s="17" t="n">
        <v>1</v>
      </c>
      <c r="F10" s="13" t="n">
        <f aca="false">E10/D10</f>
        <v>0.000333333333333333</v>
      </c>
      <c r="G10" s="13" t="n">
        <f aca="false">CHIINV(1-Inputs!$B$6,2*(E10+1))/2/D10</f>
        <v>0.00158128817279686</v>
      </c>
      <c r="H10" s="13" t="n">
        <f aca="false">CHIINV(1-Inputs!$B$10,2*(E10+1))/2/D10</f>
        <v>0.00339968442025883</v>
      </c>
      <c r="I10" s="18" t="n">
        <v>0.0004</v>
      </c>
      <c r="J10" s="13" t="n">
        <f aca="false">SUMIF(Scenarios!$E$6:$E$105,A10,Scenarios!$V$6:$V$105)</f>
        <v>1.11905655120448E-005</v>
      </c>
      <c r="K10" s="13" t="n">
        <f aca="false">SUMIF(Scenarios!$E$6:$E$105,A10,Scenarios!$R$6:$R$105)</f>
        <v>2.89878152083333E-009</v>
      </c>
    </row>
    <row r="11" customFormat="false" ht="15" hidden="false" customHeight="false" outlineLevel="0" collapsed="false">
      <c r="A11" s="5" t="s">
        <v>93</v>
      </c>
      <c r="B11" s="5" t="s">
        <v>56</v>
      </c>
      <c r="C11" s="5" t="s">
        <v>64</v>
      </c>
      <c r="D11" s="16" t="n">
        <v>4000</v>
      </c>
      <c r="E11" s="17" t="n">
        <v>1</v>
      </c>
      <c r="F11" s="13" t="n">
        <f aca="false">E11/D11</f>
        <v>0.00025</v>
      </c>
      <c r="G11" s="13" t="n">
        <f aca="false">CHIINV(1-Inputs!$B$6,2*(E11+1))/2/D11</f>
        <v>0.00118596612959764</v>
      </c>
      <c r="H11" s="13" t="n">
        <f aca="false">CHIINV(1-Inputs!$B$10,2*(E11+1))/2/D11</f>
        <v>0.00254976331519412</v>
      </c>
      <c r="I11" s="18" t="n">
        <v>0.0004</v>
      </c>
      <c r="J11" s="13" t="n">
        <f aca="false">SUMIF(Scenarios!$E$6:$E$105,A11,Scenarios!$V$6:$V$105)</f>
        <v>1.01055887178537E-005</v>
      </c>
      <c r="K11" s="13" t="n">
        <f aca="false">SUMIF(Scenarios!$E$6:$E$105,A11,Scenarios!$R$6:$R$105)</f>
        <v>1.6843687E-009</v>
      </c>
    </row>
    <row r="12" customFormat="false" ht="15" hidden="false" customHeight="false" outlineLevel="0" collapsed="false">
      <c r="A12" s="5" t="s">
        <v>94</v>
      </c>
      <c r="B12" s="5" t="s">
        <v>56</v>
      </c>
      <c r="C12" s="5" t="s">
        <v>65</v>
      </c>
      <c r="D12" s="16" t="n">
        <v>2500</v>
      </c>
      <c r="E12" s="17" t="n">
        <v>1</v>
      </c>
      <c r="F12" s="13" t="n">
        <f aca="false">E12/D12</f>
        <v>0.0004</v>
      </c>
      <c r="G12" s="13" t="n">
        <f aca="false">CHIINV(1-Inputs!$B$6,2*(E12+1))/2/D12</f>
        <v>0.00189754580735623</v>
      </c>
      <c r="H12" s="13" t="n">
        <f aca="false">CHIINV(1-Inputs!$B$10,2*(E12+1))/2/D12</f>
        <v>0.0040796213043106</v>
      </c>
      <c r="I12" s="18" t="n">
        <v>0.00048</v>
      </c>
      <c r="J12" s="13" t="n">
        <f aca="false">SUMIF(Scenarios!$E$6:$E$105,A12,Scenarios!$V$6:$V$105)</f>
        <v>1.72910488641431E-006</v>
      </c>
      <c r="K12" s="13" t="n">
        <f aca="false">SUMIF(Scenarios!$E$6:$E$105,A12,Scenarios!$R$6:$R$105)</f>
        <v>3.49227255E-010</v>
      </c>
    </row>
    <row r="13" customFormat="false" ht="15" hidden="false" customHeight="false" outlineLevel="0" collapsed="false">
      <c r="A13" s="5" t="s">
        <v>95</v>
      </c>
      <c r="B13" s="5" t="s">
        <v>56</v>
      </c>
      <c r="C13" s="5" t="s">
        <v>66</v>
      </c>
      <c r="D13" s="16" t="n">
        <v>2000</v>
      </c>
      <c r="E13" s="17" t="n">
        <v>4</v>
      </c>
      <c r="F13" s="13" t="n">
        <f aca="false">E13/D13</f>
        <v>0.002</v>
      </c>
      <c r="G13" s="13" t="n">
        <f aca="false">CHIINV(1-Inputs!$B$6,2*(E13+1))/2/D13</f>
        <v>0.00457675951331879</v>
      </c>
      <c r="H13" s="13" t="n">
        <f aca="false">CHIINV(1-Inputs!$B$10,2*(E13+1))/2/D13</f>
        <v>0.0079741032346939</v>
      </c>
      <c r="I13" s="18" t="n">
        <v>0.0006</v>
      </c>
      <c r="J13" s="13" t="n">
        <f aca="false">SUMIF(Scenarios!$E$6:$E$105,A13,Scenarios!$V$6:$V$105)</f>
        <v>4.14013083505067E-007</v>
      </c>
      <c r="K13" s="13" t="n">
        <f aca="false">SUMIF(Scenarios!$E$6:$E$105,A13,Scenarios!$R$6:$R$105)</f>
        <v>2.8640795E-010</v>
      </c>
    </row>
    <row r="14" customFormat="false" ht="15" hidden="false" customHeight="false" outlineLevel="0" collapsed="false">
      <c r="A14" s="5" t="s">
        <v>96</v>
      </c>
      <c r="B14" s="5" t="s">
        <v>57</v>
      </c>
      <c r="C14" s="5" t="s">
        <v>62</v>
      </c>
      <c r="D14" s="16" t="n">
        <v>3000</v>
      </c>
      <c r="E14" s="17" t="n">
        <v>1</v>
      </c>
      <c r="F14" s="13" t="n">
        <f aca="false">E14/D14</f>
        <v>0.000333333333333333</v>
      </c>
      <c r="G14" s="13" t="n">
        <f aca="false">CHIINV(1-Inputs!$B$6,2*(E14+1))/2/D14</f>
        <v>0.00158128817279686</v>
      </c>
      <c r="H14" s="13" t="n">
        <f aca="false">CHIINV(1-Inputs!$B$10,2*(E14+1))/2/D14</f>
        <v>0.00339968442025883</v>
      </c>
      <c r="I14" s="18" t="n">
        <v>0.0002</v>
      </c>
      <c r="J14" s="13" t="n">
        <f aca="false">SUMIF(Scenarios!$E$6:$E$105,A14,Scenarios!$V$6:$V$105)</f>
        <v>1.55663624052224E-005</v>
      </c>
      <c r="K14" s="13" t="n">
        <f aca="false">SUMIF(Scenarios!$E$6:$E$105,A14,Scenarios!$R$6:$R$105)</f>
        <v>3.95779851833333E-009</v>
      </c>
    </row>
    <row r="15" customFormat="false" ht="15" hidden="false" customHeight="false" outlineLevel="0" collapsed="false">
      <c r="A15" s="5" t="s">
        <v>97</v>
      </c>
      <c r="B15" s="5" t="s">
        <v>57</v>
      </c>
      <c r="C15" s="5" t="s">
        <v>64</v>
      </c>
      <c r="D15" s="16" t="n">
        <v>3500</v>
      </c>
      <c r="E15" s="17" t="n">
        <v>0</v>
      </c>
      <c r="F15" s="13" t="n">
        <f aca="false">E15/D15</f>
        <v>0</v>
      </c>
      <c r="G15" s="13" t="n">
        <f aca="false">CHIINV(1-Inputs!$B$6,2*(E15+1))/2/D15</f>
        <v>0.000855923506729711</v>
      </c>
      <c r="H15" s="13" t="n">
        <f aca="false">CHIINV(1-Inputs!$B$10,2*(E15+1))/2/D15</f>
        <v>0.00222377829038176</v>
      </c>
      <c r="I15" s="18" t="n">
        <v>0.0002</v>
      </c>
      <c r="J15" s="13" t="n">
        <f aca="false">SUMIF(Scenarios!$E$6:$E$105,A15,Scenarios!$V$6:$V$105)</f>
        <v>1.66474788072477E-005</v>
      </c>
      <c r="K15" s="13" t="n">
        <f aca="false">SUMIF(Scenarios!$E$6:$E$105,A15,Scenarios!$R$6:$R$105)</f>
        <v>0</v>
      </c>
    </row>
    <row r="16" customFormat="false" ht="15" hidden="false" customHeight="false" outlineLevel="0" collapsed="false">
      <c r="A16" s="5" t="s">
        <v>98</v>
      </c>
      <c r="B16" s="5" t="s">
        <v>57</v>
      </c>
      <c r="C16" s="5" t="s">
        <v>65</v>
      </c>
      <c r="D16" s="16" t="n">
        <v>2000</v>
      </c>
      <c r="E16" s="17" t="n">
        <v>0</v>
      </c>
      <c r="F16" s="13" t="n">
        <f aca="false">E16/D16</f>
        <v>0</v>
      </c>
      <c r="G16" s="13" t="n">
        <f aca="false">CHIINV(1-Inputs!$B$6,2*(E16+1))/2/D16</f>
        <v>0.00149786613677699</v>
      </c>
      <c r="H16" s="13" t="n">
        <f aca="false">CHIINV(1-Inputs!$B$10,2*(E16+1))/2/D16</f>
        <v>0.00389161200816807</v>
      </c>
      <c r="I16" s="18" t="n">
        <v>0.00024</v>
      </c>
      <c r="J16" s="13" t="n">
        <f aca="false">SUMIF(Scenarios!$E$6:$E$105,A16,Scenarios!$V$6:$V$105)</f>
        <v>4.75644765517173E-006</v>
      </c>
      <c r="K16" s="13" t="n">
        <f aca="false">SUMIF(Scenarios!$E$6:$E$105,A16,Scenarios!$R$6:$R$105)</f>
        <v>0</v>
      </c>
    </row>
    <row r="17" customFormat="false" ht="15" hidden="false" customHeight="false" outlineLevel="0" collapsed="false">
      <c r="A17" s="5" t="s">
        <v>99</v>
      </c>
      <c r="B17" s="5" t="s">
        <v>57</v>
      </c>
      <c r="C17" s="5" t="s">
        <v>66</v>
      </c>
      <c r="D17" s="16" t="n">
        <v>1500</v>
      </c>
      <c r="E17" s="17" t="n">
        <v>0</v>
      </c>
      <c r="F17" s="13" t="n">
        <f aca="false">E17/D17</f>
        <v>0</v>
      </c>
      <c r="G17" s="13" t="n">
        <f aca="false">CHIINV(1-Inputs!$B$6,2*(E17+1))/2/D17</f>
        <v>0.00199715484903599</v>
      </c>
      <c r="H17" s="13" t="n">
        <f aca="false">CHIINV(1-Inputs!$B$10,2*(E17+1))/2/D17</f>
        <v>0.00518881601089077</v>
      </c>
      <c r="I17" s="18" t="n">
        <v>0.0003</v>
      </c>
      <c r="J17" s="13" t="n">
        <f aca="false">SUMIF(Scenarios!$E$6:$E$105,A17,Scenarios!$V$6:$V$105)</f>
        <v>3.19742265801939E-006</v>
      </c>
      <c r="K17" s="13" t="n">
        <f aca="false">SUMIF(Scenarios!$E$6:$E$105,A17,Scenarios!$R$6:$R$105)</f>
        <v>0</v>
      </c>
    </row>
    <row r="18" customFormat="false" ht="15" hidden="false" customHeight="false" outlineLevel="0" collapsed="false">
      <c r="A18" s="5" t="s">
        <v>100</v>
      </c>
      <c r="B18" s="5" t="s">
        <v>58</v>
      </c>
      <c r="C18" s="5" t="s">
        <v>62</v>
      </c>
      <c r="D18" s="16" t="n">
        <v>2500</v>
      </c>
      <c r="E18" s="17" t="n">
        <v>2</v>
      </c>
      <c r="F18" s="13" t="n">
        <f aca="false">E18/D18</f>
        <v>0.0008</v>
      </c>
      <c r="G18" s="13" t="n">
        <f aca="false">CHIINV(1-Inputs!$B$6,2*(E18+1))/2/D18</f>
        <v>0.0025183174487488</v>
      </c>
      <c r="H18" s="13" t="n">
        <f aca="false">CHIINV(1-Inputs!$B$10,2*(E18+1))/2/D18</f>
        <v>0.00490647139970048</v>
      </c>
      <c r="I18" s="18" t="n">
        <v>0.0006</v>
      </c>
      <c r="J18" s="13" t="n">
        <f aca="false">SUMIF(Scenarios!$E$6:$E$105,A18,Scenarios!$V$6:$V$105)</f>
        <v>1.11643704958337E-005</v>
      </c>
      <c r="K18" s="13" t="n">
        <f aca="false">SUMIF(Scenarios!$E$6:$E$105,A18,Scenarios!$R$6:$R$105)</f>
        <v>7.12804596E-009</v>
      </c>
    </row>
    <row r="19" customFormat="false" ht="15" hidden="false" customHeight="false" outlineLevel="0" collapsed="false">
      <c r="A19" s="5" t="s">
        <v>101</v>
      </c>
      <c r="B19" s="5" t="s">
        <v>58</v>
      </c>
      <c r="C19" s="5" t="s">
        <v>64</v>
      </c>
      <c r="D19" s="16" t="n">
        <v>3000</v>
      </c>
      <c r="E19" s="17" t="n">
        <v>0</v>
      </c>
      <c r="F19" s="13" t="n">
        <f aca="false">E19/D19</f>
        <v>0</v>
      </c>
      <c r="G19" s="13" t="n">
        <f aca="false">CHIINV(1-Inputs!$B$6,2*(E19+1))/2/D19</f>
        <v>0.000998577424517997</v>
      </c>
      <c r="H19" s="13" t="n">
        <f aca="false">CHIINV(1-Inputs!$B$10,2*(E19+1))/2/D19</f>
        <v>0.00259440800544538</v>
      </c>
      <c r="I19" s="18" t="n">
        <v>0.0006</v>
      </c>
      <c r="J19" s="13" t="n">
        <f aca="false">SUMIF(Scenarios!$E$6:$E$105,A19,Scenarios!$V$6:$V$105)</f>
        <v>1.13105731395719E-005</v>
      </c>
      <c r="K19" s="13" t="n">
        <f aca="false">SUMIF(Scenarios!$E$6:$E$105,A19,Scenarios!$R$6:$R$105)</f>
        <v>0</v>
      </c>
    </row>
    <row r="20" customFormat="false" ht="15" hidden="false" customHeight="false" outlineLevel="0" collapsed="false">
      <c r="A20" s="5" t="s">
        <v>102</v>
      </c>
      <c r="B20" s="5" t="s">
        <v>58</v>
      </c>
      <c r="C20" s="5" t="s">
        <v>65</v>
      </c>
      <c r="D20" s="16" t="n">
        <v>2000</v>
      </c>
      <c r="E20" s="17" t="n">
        <v>1</v>
      </c>
      <c r="F20" s="13" t="n">
        <f aca="false">E20/D20</f>
        <v>0.0005</v>
      </c>
      <c r="G20" s="13" t="n">
        <f aca="false">CHIINV(1-Inputs!$B$6,2*(E20+1))/2/D20</f>
        <v>0.00237193225919529</v>
      </c>
      <c r="H20" s="13" t="n">
        <f aca="false">CHIINV(1-Inputs!$B$10,2*(E20+1))/2/D20</f>
        <v>0.00509952663038825</v>
      </c>
      <c r="I20" s="18" t="n">
        <v>0.00072</v>
      </c>
      <c r="J20" s="13" t="n">
        <f aca="false">SUMIF(Scenarios!$E$6:$E$105,A20,Scenarios!$V$6:$V$105)</f>
        <v>3.16062216585139E-006</v>
      </c>
      <c r="K20" s="13" t="n">
        <f aca="false">SUMIF(Scenarios!$E$6:$E$105,A20,Scenarios!$R$6:$R$105)</f>
        <v>7.906372125E-010</v>
      </c>
    </row>
    <row r="21" customFormat="false" ht="15" hidden="false" customHeight="false" outlineLevel="0" collapsed="false">
      <c r="A21" s="5" t="s">
        <v>103</v>
      </c>
      <c r="B21" s="5" t="s">
        <v>58</v>
      </c>
      <c r="C21" s="5" t="s">
        <v>66</v>
      </c>
      <c r="D21" s="16" t="n">
        <v>1500</v>
      </c>
      <c r="E21" s="17" t="n">
        <v>0</v>
      </c>
      <c r="F21" s="13" t="n">
        <f aca="false">E21/D21</f>
        <v>0</v>
      </c>
      <c r="G21" s="13" t="n">
        <f aca="false">CHIINV(1-Inputs!$B$6,2*(E21+1))/2/D21</f>
        <v>0.00199715484903599</v>
      </c>
      <c r="H21" s="13" t="n">
        <f aca="false">CHIINV(1-Inputs!$B$10,2*(E21+1))/2/D21</f>
        <v>0.00518881601089077</v>
      </c>
      <c r="I21" s="18" t="n">
        <v>0.0009</v>
      </c>
      <c r="J21" s="13" t="n">
        <f aca="false">SUMIF(Scenarios!$E$6:$E$105,A21,Scenarios!$V$6:$V$105)</f>
        <v>5.97638812602743E-007</v>
      </c>
      <c r="K21" s="13" t="n">
        <f aca="false">SUMIF(Scenarios!$E$6:$E$105,A21,Scenarios!$R$6:$R$105)</f>
        <v>0</v>
      </c>
    </row>
    <row r="22" customFormat="false" ht="15" hidden="false" customHeight="false" outlineLevel="0" collapsed="false">
      <c r="A22" s="5" t="s">
        <v>104</v>
      </c>
      <c r="B22" s="5" t="s">
        <v>59</v>
      </c>
      <c r="C22" s="5" t="s">
        <v>62</v>
      </c>
      <c r="D22" s="16" t="n">
        <v>2000</v>
      </c>
      <c r="E22" s="17" t="n">
        <v>1</v>
      </c>
      <c r="F22" s="13" t="n">
        <f aca="false">E22/D22</f>
        <v>0.0005</v>
      </c>
      <c r="G22" s="13" t="n">
        <f aca="false">CHIINV(1-Inputs!$B$6,2*(E22+1))/2/D22</f>
        <v>0.00237193225919529</v>
      </c>
      <c r="H22" s="13" t="n">
        <f aca="false">CHIINV(1-Inputs!$B$10,2*(E22+1))/2/D22</f>
        <v>0.00509952663038825</v>
      </c>
      <c r="I22" s="18" t="n">
        <v>0.0003</v>
      </c>
      <c r="J22" s="13" t="n">
        <f aca="false">SUMIF(Scenarios!$E$6:$E$105,A22,Scenarios!$V$6:$V$105)</f>
        <v>7.56687854588731E-006</v>
      </c>
      <c r="K22" s="13" t="n">
        <f aca="false">SUMIF(Scenarios!$E$6:$E$105,A22,Scenarios!$R$6:$R$105)</f>
        <v>3.02382318E-009</v>
      </c>
    </row>
    <row r="23" customFormat="false" ht="15" hidden="false" customHeight="false" outlineLevel="0" collapsed="false">
      <c r="A23" s="5" t="s">
        <v>105</v>
      </c>
      <c r="B23" s="5" t="s">
        <v>59</v>
      </c>
      <c r="C23" s="5" t="s">
        <v>64</v>
      </c>
      <c r="D23" s="16" t="n">
        <v>2500</v>
      </c>
      <c r="E23" s="17" t="n">
        <v>0</v>
      </c>
      <c r="F23" s="13" t="n">
        <f aca="false">E23/D23</f>
        <v>0</v>
      </c>
      <c r="G23" s="13" t="n">
        <f aca="false">CHIINV(1-Inputs!$B$6,2*(E23+1))/2/D23</f>
        <v>0.0011982929094216</v>
      </c>
      <c r="H23" s="13" t="n">
        <f aca="false">CHIINV(1-Inputs!$B$10,2*(E23+1))/2/D23</f>
        <v>0.00311328960653446</v>
      </c>
      <c r="I23" s="18" t="n">
        <v>0.0003</v>
      </c>
      <c r="J23" s="13" t="n">
        <f aca="false">SUMIF(Scenarios!$E$6:$E$105,A23,Scenarios!$V$6:$V$105)</f>
        <v>6.56277832928037E-006</v>
      </c>
      <c r="K23" s="13" t="n">
        <f aca="false">SUMIF(Scenarios!$E$6:$E$105,A23,Scenarios!$R$6:$R$105)</f>
        <v>0</v>
      </c>
    </row>
    <row r="24" customFormat="false" ht="15" hidden="false" customHeight="false" outlineLevel="0" collapsed="false">
      <c r="A24" s="5" t="s">
        <v>106</v>
      </c>
      <c r="B24" s="5" t="s">
        <v>59</v>
      </c>
      <c r="C24" s="5" t="s">
        <v>65</v>
      </c>
      <c r="D24" s="16" t="n">
        <v>1500</v>
      </c>
      <c r="E24" s="17" t="n">
        <v>0</v>
      </c>
      <c r="F24" s="13" t="n">
        <f aca="false">E24/D24</f>
        <v>0</v>
      </c>
      <c r="G24" s="13" t="n">
        <f aca="false">CHIINV(1-Inputs!$B$6,2*(E24+1))/2/D24</f>
        <v>0.00199715484903599</v>
      </c>
      <c r="H24" s="13" t="n">
        <f aca="false">CHIINV(1-Inputs!$B$10,2*(E24+1))/2/D24</f>
        <v>0.00518881601089077</v>
      </c>
      <c r="I24" s="18" t="n">
        <v>0.00036</v>
      </c>
      <c r="J24" s="13" t="n">
        <f aca="false">SUMIF(Scenarios!$E$6:$E$105,A24,Scenarios!$V$6:$V$105)</f>
        <v>1.62825014106754E-006</v>
      </c>
      <c r="K24" s="13" t="n">
        <f aca="false">SUMIF(Scenarios!$E$6:$E$105,A24,Scenarios!$R$6:$R$105)</f>
        <v>0</v>
      </c>
    </row>
    <row r="25" customFormat="false" ht="15" hidden="false" customHeight="false" outlineLevel="0" collapsed="false">
      <c r="A25" s="5" t="s">
        <v>107</v>
      </c>
      <c r="B25" s="5" t="s">
        <v>59</v>
      </c>
      <c r="C25" s="5" t="s">
        <v>66</v>
      </c>
      <c r="D25" s="16" t="n">
        <v>1000</v>
      </c>
      <c r="E25" s="17" t="n">
        <v>2</v>
      </c>
      <c r="F25" s="13" t="n">
        <f aca="false">E25/D25</f>
        <v>0.002</v>
      </c>
      <c r="G25" s="13" t="n">
        <f aca="false">CHIINV(1-Inputs!$B$6,2*(E25+1))/2/D25</f>
        <v>0.00629579362187199</v>
      </c>
      <c r="H25" s="13" t="n">
        <f aca="false">CHIINV(1-Inputs!$B$10,2*(E25+1))/2/D25</f>
        <v>0.0122661784992512</v>
      </c>
      <c r="I25" s="18" t="n">
        <v>0.00045</v>
      </c>
      <c r="J25" s="13" t="n">
        <f aca="false">SUMIF(Scenarios!$E$6:$E$105,A25,Scenarios!$V$6:$V$105)</f>
        <v>8.91510660826107E-007</v>
      </c>
      <c r="K25" s="13" t="n">
        <f aca="false">SUMIF(Scenarios!$E$6:$E$105,A25,Scenarios!$R$6:$R$105)</f>
        <v>5.5695345E-010</v>
      </c>
    </row>
    <row r="27" customFormat="false" ht="15" hidden="false" customHeight="false" outlineLevel="0" collapsed="false">
      <c r="C27" s="3" t="s">
        <v>108</v>
      </c>
      <c r="D27" s="19" t="n">
        <f aca="false">SUM(D6:D25)</f>
        <v>73500</v>
      </c>
      <c r="E27" s="11" t="n">
        <f aca="false">SUM(E6:E25)</f>
        <v>14</v>
      </c>
    </row>
    <row r="29" customFormat="false" ht="15" hidden="false" customHeight="false" outlineLevel="0" collapsed="false">
      <c r="A29" s="2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7" min="14" style="0" width="10"/>
    <col collapsed="false" customWidth="true" hidden="false" outlineLevel="0" max="19" min="18" style="0" width="12"/>
    <col collapsed="false" customWidth="true" hidden="false" outlineLevel="0" max="20" min="20" style="0" width="9"/>
    <col collapsed="false" customWidth="true" hidden="false" outlineLevel="0" max="24" min="21" style="0" width="12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0"/>
    <col collapsed="false" customWidth="true" hidden="false" outlineLevel="0" max="29" min="28" style="0" width="12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5" customFormat="false" ht="45" hidden="false" customHeight="true" outlineLevel="0" collapsed="false">
      <c r="A5" s="7" t="s">
        <v>112</v>
      </c>
      <c r="B5" s="7" t="s">
        <v>51</v>
      </c>
      <c r="C5" s="7" t="s">
        <v>79</v>
      </c>
      <c r="D5" s="7" t="s">
        <v>113</v>
      </c>
      <c r="E5" s="7" t="s">
        <v>114</v>
      </c>
      <c r="F5" s="7" t="s">
        <v>115</v>
      </c>
      <c r="G5" s="7" t="s">
        <v>116</v>
      </c>
      <c r="H5" s="7" t="s">
        <v>117</v>
      </c>
      <c r="I5" s="7" t="s">
        <v>118</v>
      </c>
      <c r="J5" s="7" t="s">
        <v>119</v>
      </c>
      <c r="K5" s="7" t="s">
        <v>120</v>
      </c>
      <c r="L5" s="7" t="s">
        <v>121</v>
      </c>
      <c r="M5" s="7" t="s">
        <v>122</v>
      </c>
      <c r="N5" s="7" t="s">
        <v>123</v>
      </c>
      <c r="O5" s="7" t="s">
        <v>124</v>
      </c>
      <c r="P5" s="7" t="s">
        <v>125</v>
      </c>
      <c r="Q5" s="7" t="s">
        <v>126</v>
      </c>
      <c r="R5" s="7" t="s">
        <v>127</v>
      </c>
      <c r="S5" s="7" t="s">
        <v>128</v>
      </c>
      <c r="T5" s="7" t="s">
        <v>129</v>
      </c>
      <c r="U5" s="7" t="s">
        <v>130</v>
      </c>
      <c r="V5" s="7" t="s">
        <v>131</v>
      </c>
      <c r="W5" s="7" t="s">
        <v>85</v>
      </c>
      <c r="X5" s="7" t="s">
        <v>132</v>
      </c>
      <c r="Y5" s="7" t="s">
        <v>133</v>
      </c>
      <c r="Z5" s="7" t="s">
        <v>134</v>
      </c>
      <c r="AA5" s="7" t="s">
        <v>135</v>
      </c>
      <c r="AB5" s="7" t="s">
        <v>136</v>
      </c>
      <c r="AC5" s="7" t="s">
        <v>137</v>
      </c>
    </row>
    <row r="6" customFormat="false" ht="15" hidden="false" customHeight="false" outlineLevel="0" collapsed="false">
      <c r="A6" s="5" t="s">
        <v>138</v>
      </c>
      <c r="B6" s="5" t="s">
        <v>54</v>
      </c>
      <c r="C6" s="5" t="s">
        <v>62</v>
      </c>
      <c r="D6" s="5" t="s">
        <v>68</v>
      </c>
      <c r="E6" s="5" t="s">
        <v>88</v>
      </c>
      <c r="F6" s="21" t="n">
        <f aca="false">INDEX(Inputs!$B$15:$B$19,MATCH(B6,Inputs!$A$15:$A$19,0))</f>
        <v>0.8</v>
      </c>
      <c r="G6" s="21" t="n">
        <f aca="false">INDEX(Inputs!$B$23:$B$26,MATCH(C6,Inputs!$A$23:$A$26,0))</f>
        <v>0.35</v>
      </c>
      <c r="H6" s="21" t="n">
        <f aca="false">INDEX(Inputs!$B$30:$B$34,MATCH(D6,Inputs!$A$30:$A$34,0))</f>
        <v>0.45</v>
      </c>
      <c r="I6" s="22" t="n">
        <f aca="false">F6*G6*H6</f>
        <v>0.126</v>
      </c>
      <c r="J6" s="23" t="n">
        <f aca="false">INDEX('HB Evidence'!$F$6:$F$25,MATCH(E6,'HB Evidence'!$A$6:$A$25,0))</f>
        <v>0</v>
      </c>
      <c r="K6" s="23" t="n">
        <f aca="false">INDEX('HB Evidence'!$H$6:$H$25,MATCH(E6,'HB Evidence'!$A$6:$A$25,0))</f>
        <v>0.000648602001361346</v>
      </c>
      <c r="L6" s="16" t="n">
        <v>2000</v>
      </c>
      <c r="M6" s="16" t="n">
        <v>0</v>
      </c>
      <c r="N6" s="24" t="n">
        <f aca="false">M6/L6</f>
        <v>0</v>
      </c>
      <c r="O6" s="24" t="n">
        <f aca="false">IF(M6=L6,1,BETAINV(Inputs!$B$10,M6+1,L6-M6))</f>
        <v>0.00388404949945426</v>
      </c>
      <c r="P6" s="25" t="n">
        <v>0</v>
      </c>
      <c r="Q6" s="26" t="n">
        <v>0</v>
      </c>
      <c r="R6" s="13" t="n">
        <f aca="false">I6*J6*N6*P6</f>
        <v>0</v>
      </c>
      <c r="S6" s="13" t="n">
        <f aca="false">I6*K6*O6*P6</f>
        <v>0</v>
      </c>
      <c r="T6" s="15" t="n">
        <f aca="false">IF(Summary!$B$6&gt;0,R6/Summary!$B$6,0)</f>
        <v>0</v>
      </c>
      <c r="U6" s="13" t="n">
        <f aca="false">I6*K6</f>
        <v>8.17238521715296E-005</v>
      </c>
      <c r="V6" s="13" t="n">
        <f aca="false">I6*O6*P6</f>
        <v>0</v>
      </c>
      <c r="W6" s="18" t="n">
        <f aca="false">INDEX('HB Evidence'!$I$6:$I$25,MATCH(E6,'HB Evidence'!$A$6:$A$25,0))</f>
        <v>2E-005</v>
      </c>
      <c r="X6" s="18" t="n">
        <f aca="false">I6*W6*N6*P6</f>
        <v>0</v>
      </c>
      <c r="Y6" s="27" t="n">
        <f aca="false">SUMIF('Concrete Scenarios'!$B$6:$B$1005,A6,'Concrete Scenarios'!$N$6:$N$1005)</f>
        <v>6.16829470980387</v>
      </c>
      <c r="Z6" s="28" t="n">
        <f aca="false">IF(SUMIF('Concrete Scenarios'!$B$6:$B$1005,A6,'Concrete Scenarios'!$T$6:$T$1005)&gt;0,Y6^2/SUMIF('Concrete Scenarios'!$B$6:$B$1005,A6,'Concrete Scenarios'!$T$6:$T$1005),0)</f>
        <v>4.50009869987978</v>
      </c>
      <c r="AA6" s="29" t="n">
        <f aca="false">SUMIF('Concrete Scenarios'!$B$6:$B$1005,A6,'Concrete Scenarios'!$O$6:$O$1005)</f>
        <v>0</v>
      </c>
      <c r="AB6" s="23" t="n">
        <f aca="false">SUMIF('Concrete Scenarios'!$B$6:$B$1005,A6,'Concrete Scenarios'!$S$6:$S$1005)/COUNTIF('Concrete Scenarios'!$B$6:$B$1005,A6)</f>
        <v>0</v>
      </c>
      <c r="AC6" s="13" t="n">
        <f aca="false">I6*J6*AB6</f>
        <v>0</v>
      </c>
    </row>
    <row r="7" customFormat="false" ht="15" hidden="false" customHeight="false" outlineLevel="0" collapsed="false">
      <c r="A7" s="5" t="s">
        <v>139</v>
      </c>
      <c r="B7" s="5" t="s">
        <v>54</v>
      </c>
      <c r="C7" s="5" t="s">
        <v>62</v>
      </c>
      <c r="D7" s="5" t="s">
        <v>70</v>
      </c>
      <c r="E7" s="5" t="s">
        <v>88</v>
      </c>
      <c r="F7" s="21" t="n">
        <f aca="false">INDEX(Inputs!$B$15:$B$19,MATCH(B7,Inputs!$A$15:$A$19,0))</f>
        <v>0.8</v>
      </c>
      <c r="G7" s="21" t="n">
        <f aca="false">INDEX(Inputs!$B$23:$B$26,MATCH(C7,Inputs!$A$23:$A$26,0))</f>
        <v>0.35</v>
      </c>
      <c r="H7" s="21" t="n">
        <f aca="false">INDEX(Inputs!$B$30:$B$34,MATCH(D7,Inputs!$A$30:$A$34,0))</f>
        <v>0.2</v>
      </c>
      <c r="I7" s="22" t="n">
        <f aca="false">F7*G7*H7</f>
        <v>0.056</v>
      </c>
      <c r="J7" s="23" t="n">
        <f aca="false">INDEX('HB Evidence'!$F$6:$F$25,MATCH(E7,'HB Evidence'!$A$6:$A$25,0))</f>
        <v>0</v>
      </c>
      <c r="K7" s="23" t="n">
        <f aca="false">INDEX('HB Evidence'!$H$6:$H$25,MATCH(E7,'HB Evidence'!$A$6:$A$25,0))</f>
        <v>0.000648602001361346</v>
      </c>
      <c r="L7" s="16" t="n">
        <v>2000</v>
      </c>
      <c r="M7" s="16" t="n">
        <v>1</v>
      </c>
      <c r="N7" s="24" t="n">
        <f aca="false">M7/L7</f>
        <v>0.0005</v>
      </c>
      <c r="O7" s="24" t="n">
        <f aca="false">IF(M7=L7,1,BETAINV(Inputs!$B$10,M7+1,L7-M7))</f>
        <v>0.00508781553003008</v>
      </c>
      <c r="P7" s="25" t="n">
        <v>0.0151</v>
      </c>
      <c r="Q7" s="26" t="n">
        <v>15.76</v>
      </c>
      <c r="R7" s="13" t="n">
        <f aca="false">I7*J7*N7*P7</f>
        <v>0</v>
      </c>
      <c r="S7" s="13" t="n">
        <f aca="false">I7*K7*O7*P7</f>
        <v>2.79045237875915E-009</v>
      </c>
      <c r="T7" s="15" t="n">
        <f aca="false">IF(Summary!$B$6&gt;0,R7/Summary!$B$6,0)</f>
        <v>0</v>
      </c>
      <c r="U7" s="13" t="n">
        <f aca="false">I7*K7</f>
        <v>3.63217120762354E-005</v>
      </c>
      <c r="V7" s="13" t="n">
        <f aca="false">I7*O7*P7</f>
        <v>4.30225681219344E-006</v>
      </c>
      <c r="W7" s="18" t="n">
        <f aca="false">INDEX('HB Evidence'!$I$6:$I$25,MATCH(E7,'HB Evidence'!$A$6:$A$25,0))</f>
        <v>2E-005</v>
      </c>
      <c r="X7" s="18" t="n">
        <f aca="false">I7*W7*N7*P7</f>
        <v>8.456E-012</v>
      </c>
      <c r="Y7" s="27" t="n">
        <f aca="false">SUMIF('Concrete Scenarios'!$B$6:$B$1005,A7,'Concrete Scenarios'!$N$6:$N$1005)</f>
        <v>23.404668555642</v>
      </c>
      <c r="Z7" s="28" t="n">
        <f aca="false">IF(SUMIF('Concrete Scenarios'!$B$6:$B$1005,A7,'Concrete Scenarios'!$T$6:$T$1005)&gt;0,Y7^2/SUMIF('Concrete Scenarios'!$B$6:$B$1005,A7,'Concrete Scenarios'!$T$6:$T$1005),0)</f>
        <v>2.51647032541911</v>
      </c>
      <c r="AA7" s="29" t="n">
        <f aca="false">SUMIF('Concrete Scenarios'!$B$6:$B$1005,A7,'Concrete Scenarios'!$O$6:$O$1005)</f>
        <v>0</v>
      </c>
      <c r="AB7" s="23" t="n">
        <f aca="false">SUMIF('Concrete Scenarios'!$B$6:$B$1005,A7,'Concrete Scenarios'!$S$6:$S$1005)/COUNTIF('Concrete Scenarios'!$B$6:$B$1005,A7)</f>
        <v>0</v>
      </c>
      <c r="AC7" s="13" t="n">
        <f aca="false">I7*J7*AB7</f>
        <v>0</v>
      </c>
    </row>
    <row r="8" customFormat="false" ht="15" hidden="false" customHeight="false" outlineLevel="0" collapsed="false">
      <c r="A8" s="5" t="s">
        <v>140</v>
      </c>
      <c r="B8" s="5" t="s">
        <v>54</v>
      </c>
      <c r="C8" s="5" t="s">
        <v>62</v>
      </c>
      <c r="D8" s="5" t="s">
        <v>71</v>
      </c>
      <c r="E8" s="5" t="s">
        <v>88</v>
      </c>
      <c r="F8" s="21" t="n">
        <f aca="false">INDEX(Inputs!$B$15:$B$19,MATCH(B8,Inputs!$A$15:$A$19,0))</f>
        <v>0.8</v>
      </c>
      <c r="G8" s="21" t="n">
        <f aca="false">INDEX(Inputs!$B$23:$B$26,MATCH(C8,Inputs!$A$23:$A$26,0))</f>
        <v>0.35</v>
      </c>
      <c r="H8" s="21" t="n">
        <f aca="false">INDEX(Inputs!$B$30:$B$34,MATCH(D8,Inputs!$A$30:$A$34,0))</f>
        <v>0.15</v>
      </c>
      <c r="I8" s="22" t="n">
        <f aca="false">F8*G8*H8</f>
        <v>0.042</v>
      </c>
      <c r="J8" s="23" t="n">
        <f aca="false">INDEX('HB Evidence'!$F$6:$F$25,MATCH(E8,'HB Evidence'!$A$6:$A$25,0))</f>
        <v>0</v>
      </c>
      <c r="K8" s="23" t="n">
        <f aca="false">INDEX('HB Evidence'!$H$6:$H$25,MATCH(E8,'HB Evidence'!$A$6:$A$25,0))</f>
        <v>0.000648602001361346</v>
      </c>
      <c r="L8" s="16" t="n">
        <v>2000</v>
      </c>
      <c r="M8" s="16" t="n">
        <v>30</v>
      </c>
      <c r="N8" s="24" t="n">
        <f aca="false">M8/L8</f>
        <v>0.015</v>
      </c>
      <c r="O8" s="24" t="n">
        <f aca="false">IF(M8=L8,1,BETAINV(Inputs!$B$10,M8+1,L8-M8))</f>
        <v>0.0263705989840948</v>
      </c>
      <c r="P8" s="25" t="n">
        <v>0.011874</v>
      </c>
      <c r="Q8" s="26" t="n">
        <v>11.26</v>
      </c>
      <c r="R8" s="13" t="n">
        <f aca="false">I8*J8*N8*P8</f>
        <v>0</v>
      </c>
      <c r="S8" s="13" t="n">
        <f aca="false">I8*K8*O8*P8</f>
        <v>8.52991324101525E-009</v>
      </c>
      <c r="T8" s="15" t="n">
        <f aca="false">IF(Summary!$B$6&gt;0,R8/Summary!$B$6,0)</f>
        <v>0</v>
      </c>
      <c r="U8" s="13" t="n">
        <f aca="false">I8*K8</f>
        <v>2.72412840571765E-005</v>
      </c>
      <c r="V8" s="13" t="n">
        <f aca="false">I8*O8*P8</f>
        <v>1.31512286781599E-005</v>
      </c>
      <c r="W8" s="18" t="n">
        <f aca="false">INDEX('HB Evidence'!$I$6:$I$25,MATCH(E8,'HB Evidence'!$A$6:$A$25,0))</f>
        <v>2E-005</v>
      </c>
      <c r="X8" s="18" t="n">
        <f aca="false">I8*W8*N8*P8</f>
        <v>1.496124E-010</v>
      </c>
      <c r="Y8" s="27" t="n">
        <f aca="false">SUMIF('Concrete Scenarios'!$B$6:$B$1005,A8,'Concrete Scenarios'!$N$6:$N$1005)</f>
        <v>7.62447333045066</v>
      </c>
      <c r="Z8" s="28" t="n">
        <f aca="false">IF(SUMIF('Concrete Scenarios'!$B$6:$B$1005,A8,'Concrete Scenarios'!$T$6:$T$1005)&gt;0,Y8^2/SUMIF('Concrete Scenarios'!$B$6:$B$1005,A8,'Concrete Scenarios'!$T$6:$T$1005),0)</f>
        <v>2.50180192447823</v>
      </c>
      <c r="AA8" s="29" t="n">
        <f aca="false">SUMIF('Concrete Scenarios'!$B$6:$B$1005,A8,'Concrete Scenarios'!$O$6:$O$1005)</f>
        <v>3</v>
      </c>
      <c r="AB8" s="23" t="n">
        <f aca="false">SUMIF('Concrete Scenarios'!$B$6:$B$1005,A8,'Concrete Scenarios'!$S$6:$S$1005)/COUNTIF('Concrete Scenarios'!$B$6:$B$1005,A8)</f>
        <v>0.000122969134560224</v>
      </c>
      <c r="AC8" s="13" t="n">
        <f aca="false">I8*J8*AB8</f>
        <v>0</v>
      </c>
    </row>
    <row r="9" customFormat="false" ht="15" hidden="false" customHeight="false" outlineLevel="0" collapsed="false">
      <c r="A9" s="5" t="s">
        <v>141</v>
      </c>
      <c r="B9" s="5" t="s">
        <v>54</v>
      </c>
      <c r="C9" s="5" t="s">
        <v>62</v>
      </c>
      <c r="D9" s="5" t="s">
        <v>72</v>
      </c>
      <c r="E9" s="5" t="s">
        <v>88</v>
      </c>
      <c r="F9" s="21" t="n">
        <f aca="false">INDEX(Inputs!$B$15:$B$19,MATCH(B9,Inputs!$A$15:$A$19,0))</f>
        <v>0.8</v>
      </c>
      <c r="G9" s="21" t="n">
        <f aca="false">INDEX(Inputs!$B$23:$B$26,MATCH(C9,Inputs!$A$23:$A$26,0))</f>
        <v>0.35</v>
      </c>
      <c r="H9" s="21" t="n">
        <f aca="false">INDEX(Inputs!$B$30:$B$34,MATCH(D9,Inputs!$A$30:$A$34,0))</f>
        <v>0.13</v>
      </c>
      <c r="I9" s="22" t="n">
        <f aca="false">F9*G9*H9</f>
        <v>0.0364</v>
      </c>
      <c r="J9" s="23" t="n">
        <f aca="false">INDEX('HB Evidence'!$F$6:$F$25,MATCH(E9,'HB Evidence'!$A$6:$A$25,0))</f>
        <v>0</v>
      </c>
      <c r="K9" s="23" t="n">
        <f aca="false">INDEX('HB Evidence'!$H$6:$H$25,MATCH(E9,'HB Evidence'!$A$6:$A$25,0))</f>
        <v>0.000648602001361346</v>
      </c>
      <c r="L9" s="16" t="n">
        <v>2000</v>
      </c>
      <c r="M9" s="16" t="n">
        <v>121</v>
      </c>
      <c r="N9" s="24" t="n">
        <f aca="false">M9/L9</f>
        <v>0.0605</v>
      </c>
      <c r="O9" s="24" t="n">
        <f aca="false">IF(M9=L9,1,BETAINV(Inputs!$B$10,M9+1,L9-M9))</f>
        <v>0.080318058573139</v>
      </c>
      <c r="P9" s="25" t="n">
        <v>0.02077</v>
      </c>
      <c r="Q9" s="26" t="n">
        <v>15.01</v>
      </c>
      <c r="R9" s="13" t="n">
        <f aca="false">I9*J9*N9*P9</f>
        <v>0</v>
      </c>
      <c r="S9" s="13" t="n">
        <f aca="false">I9*K9*O9*P9</f>
        <v>3.93848655179118E-008</v>
      </c>
      <c r="T9" s="15" t="n">
        <f aca="false">IF(Summary!$B$6&gt;0,R9/Summary!$B$6,0)</f>
        <v>0</v>
      </c>
      <c r="U9" s="13" t="n">
        <f aca="false">I9*K9</f>
        <v>2.3609112849553E-005</v>
      </c>
      <c r="V9" s="13" t="n">
        <f aca="false">I9*O9*P9</f>
        <v>6.07227011869331E-005</v>
      </c>
      <c r="W9" s="18" t="n">
        <f aca="false">INDEX('HB Evidence'!$I$6:$I$25,MATCH(E9,'HB Evidence'!$A$6:$A$25,0))</f>
        <v>2E-005</v>
      </c>
      <c r="X9" s="18" t="n">
        <f aca="false">I9*W9*N9*P9</f>
        <v>9.1479388E-010</v>
      </c>
      <c r="Y9" s="27" t="n">
        <f aca="false">SUMIF('Concrete Scenarios'!$B$6:$B$1005,A9,'Concrete Scenarios'!$N$6:$N$1005)</f>
        <v>5.121735549666</v>
      </c>
      <c r="Z9" s="28" t="n">
        <f aca="false">IF(SUMIF('Concrete Scenarios'!$B$6:$B$1005,A9,'Concrete Scenarios'!$T$6:$T$1005)&gt;0,Y9^2/SUMIF('Concrete Scenarios'!$B$6:$B$1005,A9,'Concrete Scenarios'!$T$6:$T$1005),0)</f>
        <v>4.44812229959253</v>
      </c>
      <c r="AA9" s="29" t="n">
        <f aca="false">SUMIF('Concrete Scenarios'!$B$6:$B$1005,A9,'Concrete Scenarios'!$O$6:$O$1005)</f>
        <v>3</v>
      </c>
      <c r="AB9" s="23" t="n">
        <f aca="false">SUMIF('Concrete Scenarios'!$B$6:$B$1005,A9,'Concrete Scenarios'!$S$6:$S$1005)/COUNTIF('Concrete Scenarios'!$B$6:$B$1005,A9)</f>
        <v>0.000243395477423533</v>
      </c>
      <c r="AC9" s="13" t="n">
        <f aca="false">I9*J9*AB9</f>
        <v>0</v>
      </c>
    </row>
    <row r="10" customFormat="false" ht="15" hidden="false" customHeight="false" outlineLevel="0" collapsed="false">
      <c r="A10" s="5" t="s">
        <v>142</v>
      </c>
      <c r="B10" s="5" t="s">
        <v>54</v>
      </c>
      <c r="C10" s="5" t="s">
        <v>62</v>
      </c>
      <c r="D10" s="5" t="s">
        <v>73</v>
      </c>
      <c r="E10" s="5" t="s">
        <v>88</v>
      </c>
      <c r="F10" s="21" t="n">
        <f aca="false">INDEX(Inputs!$B$15:$B$19,MATCH(B10,Inputs!$A$15:$A$19,0))</f>
        <v>0.8</v>
      </c>
      <c r="G10" s="21" t="n">
        <f aca="false">INDEX(Inputs!$B$23:$B$26,MATCH(C10,Inputs!$A$23:$A$26,0))</f>
        <v>0.35</v>
      </c>
      <c r="H10" s="21" t="n">
        <f aca="false">INDEX(Inputs!$B$30:$B$34,MATCH(D10,Inputs!$A$30:$A$34,0))</f>
        <v>0.07</v>
      </c>
      <c r="I10" s="22" t="n">
        <f aca="false">F10*G10*H10</f>
        <v>0.0196</v>
      </c>
      <c r="J10" s="23" t="n">
        <f aca="false">INDEX('HB Evidence'!$F$6:$F$25,MATCH(E10,'HB Evidence'!$A$6:$A$25,0))</f>
        <v>0</v>
      </c>
      <c r="K10" s="23" t="n">
        <f aca="false">INDEX('HB Evidence'!$H$6:$H$25,MATCH(E10,'HB Evidence'!$A$6:$A$25,0))</f>
        <v>0.000648602001361346</v>
      </c>
      <c r="L10" s="16" t="n">
        <v>2000</v>
      </c>
      <c r="M10" s="16" t="n">
        <v>469</v>
      </c>
      <c r="N10" s="24" t="n">
        <f aca="false">M10/L10</f>
        <v>0.2345</v>
      </c>
      <c r="O10" s="24" t="n">
        <f aca="false">IF(M10=L10,1,BETAINV(Inputs!$B$10,M10+1,L10-M10))</f>
        <v>0.267408841998436</v>
      </c>
      <c r="P10" s="25" t="n">
        <v>0.019355</v>
      </c>
      <c r="Q10" s="26" t="n">
        <v>14.86</v>
      </c>
      <c r="R10" s="13" t="n">
        <f aca="false">I10*J10*N10*P10</f>
        <v>0</v>
      </c>
      <c r="S10" s="13" t="n">
        <f aca="false">I10*K10*O10*P10</f>
        <v>6.57965761324386E-008</v>
      </c>
      <c r="T10" s="15" t="n">
        <f aca="false">IF(Summary!$B$6&gt;0,R10/Summary!$B$6,0)</f>
        <v>0</v>
      </c>
      <c r="U10" s="13" t="n">
        <f aca="false">I10*K10</f>
        <v>1.27125992266824E-005</v>
      </c>
      <c r="V10" s="13" t="n">
        <f aca="false">I10*O10*P10</f>
        <v>0.000101443683482843</v>
      </c>
      <c r="W10" s="18" t="n">
        <f aca="false">INDEX('HB Evidence'!$I$6:$I$25,MATCH(E10,'HB Evidence'!$A$6:$A$25,0))</f>
        <v>2E-005</v>
      </c>
      <c r="X10" s="18" t="n">
        <f aca="false">I10*W10*N10*P10</f>
        <v>1.77918902E-009</v>
      </c>
      <c r="Y10" s="27" t="n">
        <f aca="false">SUMIF('Concrete Scenarios'!$B$6:$B$1005,A10,'Concrete Scenarios'!$N$6:$N$1005)</f>
        <v>8.36081728195911</v>
      </c>
      <c r="Z10" s="28" t="n">
        <f aca="false">IF(SUMIF('Concrete Scenarios'!$B$6:$B$1005,A10,'Concrete Scenarios'!$T$6:$T$1005)&gt;0,Y10^2/SUMIF('Concrete Scenarios'!$B$6:$B$1005,A10,'Concrete Scenarios'!$T$6:$T$1005),0)</f>
        <v>1.78929150733272</v>
      </c>
      <c r="AA10" s="29" t="n">
        <f aca="false">SUMIF('Concrete Scenarios'!$B$6:$B$1005,A10,'Concrete Scenarios'!$O$6:$O$1005)</f>
        <v>6</v>
      </c>
      <c r="AB10" s="23" t="n">
        <f aca="false">SUMIF('Concrete Scenarios'!$B$6:$B$1005,A10,'Concrete Scenarios'!$S$6:$S$1005)/COUNTIF('Concrete Scenarios'!$B$6:$B$1005,A10)</f>
        <v>0.00297458807040056</v>
      </c>
      <c r="AC10" s="13" t="n">
        <f aca="false">I10*J10*AB10</f>
        <v>0</v>
      </c>
    </row>
    <row r="11" customFormat="false" ht="15" hidden="false" customHeight="false" outlineLevel="0" collapsed="false">
      <c r="A11" s="5" t="s">
        <v>143</v>
      </c>
      <c r="B11" s="5" t="s">
        <v>54</v>
      </c>
      <c r="C11" s="5" t="s">
        <v>64</v>
      </c>
      <c r="D11" s="5" t="s">
        <v>68</v>
      </c>
      <c r="E11" s="5" t="s">
        <v>89</v>
      </c>
      <c r="F11" s="21" t="n">
        <f aca="false">INDEX(Inputs!$B$15:$B$19,MATCH(B11,Inputs!$A$15:$A$19,0))</f>
        <v>0.8</v>
      </c>
      <c r="G11" s="21" t="n">
        <f aca="false">INDEX(Inputs!$B$23:$B$26,MATCH(C11,Inputs!$A$23:$A$26,0))</f>
        <v>0.4</v>
      </c>
      <c r="H11" s="21" t="n">
        <f aca="false">INDEX(Inputs!$B$30:$B$34,MATCH(D11,Inputs!$A$30:$A$34,0))</f>
        <v>0.45</v>
      </c>
      <c r="I11" s="22" t="n">
        <f aca="false">F11*G11*H11</f>
        <v>0.144</v>
      </c>
      <c r="J11" s="23" t="n">
        <f aca="false">INDEX('HB Evidence'!$F$6:$F$25,MATCH(E11,'HB Evidence'!$A$6:$A$25,0))</f>
        <v>0</v>
      </c>
      <c r="K11" s="23" t="n">
        <f aca="false">INDEX('HB Evidence'!$H$6:$H$25,MATCH(E11,'HB Evidence'!$A$6:$A$25,0))</f>
        <v>0.000555944572595439</v>
      </c>
      <c r="L11" s="16" t="n">
        <v>2000</v>
      </c>
      <c r="M11" s="16" t="n">
        <v>0</v>
      </c>
      <c r="N11" s="24" t="n">
        <f aca="false">M11/L11</f>
        <v>0</v>
      </c>
      <c r="O11" s="24" t="n">
        <f aca="false">IF(M11=L11,1,BETAINV(Inputs!$B$10,M11+1,L11-M11))</f>
        <v>0.00388404949945426</v>
      </c>
      <c r="P11" s="25" t="n">
        <v>0</v>
      </c>
      <c r="Q11" s="26" t="n">
        <v>0</v>
      </c>
      <c r="R11" s="13" t="n">
        <f aca="false">I11*J11*N11*P11</f>
        <v>0</v>
      </c>
      <c r="S11" s="13" t="n">
        <f aca="false">I11*K11*O11*P11</f>
        <v>0</v>
      </c>
      <c r="T11" s="15" t="n">
        <f aca="false">IF(Summary!$B$6&gt;0,R11/Summary!$B$6,0)</f>
        <v>0</v>
      </c>
      <c r="U11" s="13" t="n">
        <f aca="false">I11*K11</f>
        <v>8.00560184537433E-005</v>
      </c>
      <c r="V11" s="13" t="n">
        <f aca="false">I11*O11*P11</f>
        <v>0</v>
      </c>
      <c r="W11" s="18" t="n">
        <f aca="false">INDEX('HB Evidence'!$I$6:$I$25,MATCH(E11,'HB Evidence'!$A$6:$A$25,0))</f>
        <v>2E-005</v>
      </c>
      <c r="X11" s="18" t="n">
        <f aca="false">I11*W11*N11*P11</f>
        <v>0</v>
      </c>
      <c r="Y11" s="27" t="n">
        <f aca="false">SUMIF('Concrete Scenarios'!$B$6:$B$1005,A11,'Concrete Scenarios'!$N$6:$N$1005)</f>
        <v>2.04435992814132</v>
      </c>
      <c r="Z11" s="28" t="n">
        <f aca="false">IF(SUMIF('Concrete Scenarios'!$B$6:$B$1005,A11,'Concrete Scenarios'!$T$6:$T$1005)&gt;0,Y11^2/SUMIF('Concrete Scenarios'!$B$6:$B$1005,A11,'Concrete Scenarios'!$T$6:$T$1005),0)</f>
        <v>5.96591710095414</v>
      </c>
      <c r="AA11" s="29" t="n">
        <f aca="false">SUMIF('Concrete Scenarios'!$B$6:$B$1005,A11,'Concrete Scenarios'!$O$6:$O$1005)</f>
        <v>0</v>
      </c>
      <c r="AB11" s="23" t="n">
        <f aca="false">SUMIF('Concrete Scenarios'!$B$6:$B$1005,A11,'Concrete Scenarios'!$S$6:$S$1005)/COUNTIF('Concrete Scenarios'!$B$6:$B$1005,A11)</f>
        <v>0</v>
      </c>
      <c r="AC11" s="13" t="n">
        <f aca="false">I11*J11*AB11</f>
        <v>0</v>
      </c>
    </row>
    <row r="12" customFormat="false" ht="15" hidden="false" customHeight="false" outlineLevel="0" collapsed="false">
      <c r="A12" s="5" t="s">
        <v>144</v>
      </c>
      <c r="B12" s="5" t="s">
        <v>54</v>
      </c>
      <c r="C12" s="5" t="s">
        <v>64</v>
      </c>
      <c r="D12" s="5" t="s">
        <v>70</v>
      </c>
      <c r="E12" s="5" t="s">
        <v>89</v>
      </c>
      <c r="F12" s="21" t="n">
        <f aca="false">INDEX(Inputs!$B$15:$B$19,MATCH(B12,Inputs!$A$15:$A$19,0))</f>
        <v>0.8</v>
      </c>
      <c r="G12" s="21" t="n">
        <f aca="false">INDEX(Inputs!$B$23:$B$26,MATCH(C12,Inputs!$A$23:$A$26,0))</f>
        <v>0.4</v>
      </c>
      <c r="H12" s="21" t="n">
        <f aca="false">INDEX(Inputs!$B$30:$B$34,MATCH(D12,Inputs!$A$30:$A$34,0))</f>
        <v>0.2</v>
      </c>
      <c r="I12" s="22" t="n">
        <f aca="false">F12*G12*H12</f>
        <v>0.064</v>
      </c>
      <c r="J12" s="23" t="n">
        <f aca="false">INDEX('HB Evidence'!$F$6:$F$25,MATCH(E12,'HB Evidence'!$A$6:$A$25,0))</f>
        <v>0</v>
      </c>
      <c r="K12" s="23" t="n">
        <f aca="false">INDEX('HB Evidence'!$H$6:$H$25,MATCH(E12,'HB Evidence'!$A$6:$A$25,0))</f>
        <v>0.000555944572595439</v>
      </c>
      <c r="L12" s="16" t="n">
        <v>2000</v>
      </c>
      <c r="M12" s="16" t="n">
        <v>1</v>
      </c>
      <c r="N12" s="24" t="n">
        <f aca="false">M12/L12</f>
        <v>0.0005</v>
      </c>
      <c r="O12" s="24" t="n">
        <f aca="false">IF(M12=L12,1,BETAINV(Inputs!$B$10,M12+1,L12-M12))</f>
        <v>0.00508781553003008</v>
      </c>
      <c r="P12" s="25" t="n">
        <v>0.070485</v>
      </c>
      <c r="Q12" s="26" t="n">
        <v>26.95</v>
      </c>
      <c r="R12" s="13" t="n">
        <f aca="false">I12*J12*N12*P12</f>
        <v>0</v>
      </c>
      <c r="S12" s="13" t="n">
        <f aca="false">I12*K12*O12*P12</f>
        <v>1.27596725557619E-008</v>
      </c>
      <c r="T12" s="15" t="n">
        <f aca="false">IF(Summary!$B$6&gt;0,R12/Summary!$B$6,0)</f>
        <v>0</v>
      </c>
      <c r="U12" s="13" t="n">
        <f aca="false">I12*K12</f>
        <v>3.55804526461081E-005</v>
      </c>
      <c r="V12" s="13" t="n">
        <f aca="false">I12*O12*P12</f>
        <v>2.29513393685869E-005</v>
      </c>
      <c r="W12" s="18" t="n">
        <f aca="false">INDEX('HB Evidence'!$I$6:$I$25,MATCH(E12,'HB Evidence'!$A$6:$A$25,0))</f>
        <v>2E-005</v>
      </c>
      <c r="X12" s="18" t="n">
        <f aca="false">I12*W12*N12*P12</f>
        <v>4.51104E-011</v>
      </c>
      <c r="Y12" s="27" t="n">
        <f aca="false">SUMIF('Concrete Scenarios'!$B$6:$B$1005,A12,'Concrete Scenarios'!$N$6:$N$1005)</f>
        <v>4.54937882591854</v>
      </c>
      <c r="Z12" s="28" t="n">
        <f aca="false">IF(SUMIF('Concrete Scenarios'!$B$6:$B$1005,A12,'Concrete Scenarios'!$T$6:$T$1005)&gt;0,Y12^2/SUMIF('Concrete Scenarios'!$B$6:$B$1005,A12,'Concrete Scenarios'!$T$6:$T$1005),0)</f>
        <v>4.65176707076748</v>
      </c>
      <c r="AA12" s="29" t="n">
        <f aca="false">SUMIF('Concrete Scenarios'!$B$6:$B$1005,A12,'Concrete Scenarios'!$O$6:$O$1005)</f>
        <v>0</v>
      </c>
      <c r="AB12" s="23" t="n">
        <f aca="false">SUMIF('Concrete Scenarios'!$B$6:$B$1005,A12,'Concrete Scenarios'!$S$6:$S$1005)/COUNTIF('Concrete Scenarios'!$B$6:$B$1005,A12)</f>
        <v>0</v>
      </c>
      <c r="AC12" s="13" t="n">
        <f aca="false">I12*J12*AB12</f>
        <v>0</v>
      </c>
    </row>
    <row r="13" customFormat="false" ht="15" hidden="false" customHeight="false" outlineLevel="0" collapsed="false">
      <c r="A13" s="5" t="s">
        <v>145</v>
      </c>
      <c r="B13" s="5" t="s">
        <v>54</v>
      </c>
      <c r="C13" s="5" t="s">
        <v>64</v>
      </c>
      <c r="D13" s="5" t="s">
        <v>71</v>
      </c>
      <c r="E13" s="5" t="s">
        <v>89</v>
      </c>
      <c r="F13" s="21" t="n">
        <f aca="false">INDEX(Inputs!$B$15:$B$19,MATCH(B13,Inputs!$A$15:$A$19,0))</f>
        <v>0.8</v>
      </c>
      <c r="G13" s="21" t="n">
        <f aca="false">INDEX(Inputs!$B$23:$B$26,MATCH(C13,Inputs!$A$23:$A$26,0))</f>
        <v>0.4</v>
      </c>
      <c r="H13" s="21" t="n">
        <f aca="false">INDEX(Inputs!$B$30:$B$34,MATCH(D13,Inputs!$A$30:$A$34,0))</f>
        <v>0.15</v>
      </c>
      <c r="I13" s="22" t="n">
        <f aca="false">F13*G13*H13</f>
        <v>0.048</v>
      </c>
      <c r="J13" s="23" t="n">
        <f aca="false">INDEX('HB Evidence'!$F$6:$F$25,MATCH(E13,'HB Evidence'!$A$6:$A$25,0))</f>
        <v>0</v>
      </c>
      <c r="K13" s="23" t="n">
        <f aca="false">INDEX('HB Evidence'!$H$6:$H$25,MATCH(E13,'HB Evidence'!$A$6:$A$25,0))</f>
        <v>0.000555944572595439</v>
      </c>
      <c r="L13" s="16" t="n">
        <v>2000</v>
      </c>
      <c r="M13" s="16" t="n">
        <v>7</v>
      </c>
      <c r="N13" s="24" t="n">
        <f aca="false">M13/L13</f>
        <v>0.0035</v>
      </c>
      <c r="O13" s="24" t="n">
        <f aca="false">IF(M13=L13,1,BETAINV(Inputs!$B$10,M13+1,L13-M13))</f>
        <v>0.0104239949167629</v>
      </c>
      <c r="P13" s="25" t="n">
        <v>0.035504</v>
      </c>
      <c r="Q13" s="26" t="n">
        <v>20.01</v>
      </c>
      <c r="R13" s="13" t="n">
        <f aca="false">I13*J13*N13*P13</f>
        <v>0</v>
      </c>
      <c r="S13" s="13" t="n">
        <f aca="false">I13*K13*O13*P13</f>
        <v>9.87607110282007E-009</v>
      </c>
      <c r="T13" s="15" t="n">
        <f aca="false">IF(Summary!$B$6&gt;0,R13/Summary!$B$6,0)</f>
        <v>0</v>
      </c>
      <c r="U13" s="13" t="n">
        <f aca="false">I13*K13</f>
        <v>2.66853394845811E-005</v>
      </c>
      <c r="V13" s="13" t="n">
        <f aca="false">I13*O13*P13</f>
        <v>1.77644887451881E-005</v>
      </c>
      <c r="W13" s="18" t="n">
        <f aca="false">INDEX('HB Evidence'!$I$6:$I$25,MATCH(E13,'HB Evidence'!$A$6:$A$25,0))</f>
        <v>2E-005</v>
      </c>
      <c r="X13" s="18" t="n">
        <f aca="false">I13*W13*N13*P13</f>
        <v>1.1929344E-010</v>
      </c>
      <c r="Y13" s="27" t="n">
        <f aca="false">SUMIF('Concrete Scenarios'!$B$6:$B$1005,A13,'Concrete Scenarios'!$N$6:$N$1005)</f>
        <v>5.72310756517647</v>
      </c>
      <c r="Z13" s="28" t="n">
        <f aca="false">IF(SUMIF('Concrete Scenarios'!$B$6:$B$1005,A13,'Concrete Scenarios'!$T$6:$T$1005)&gt;0,Y13^2/SUMIF('Concrete Scenarios'!$B$6:$B$1005,A13,'Concrete Scenarios'!$T$6:$T$1005),0)</f>
        <v>3.33358052059189</v>
      </c>
      <c r="AA13" s="29" t="n">
        <f aca="false">SUMIF('Concrete Scenarios'!$B$6:$B$1005,A13,'Concrete Scenarios'!$O$6:$O$1005)</f>
        <v>1</v>
      </c>
      <c r="AB13" s="23" t="n">
        <f aca="false">SUMIF('Concrete Scenarios'!$B$6:$B$1005,A13,'Concrete Scenarios'!$S$6:$S$1005)/COUNTIF('Concrete Scenarios'!$B$6:$B$1005,A13)</f>
        <v>0.000156804660818447</v>
      </c>
      <c r="AC13" s="13" t="n">
        <f aca="false">I13*J13*AB13</f>
        <v>0</v>
      </c>
    </row>
    <row r="14" customFormat="false" ht="15" hidden="false" customHeight="false" outlineLevel="0" collapsed="false">
      <c r="A14" s="5" t="s">
        <v>146</v>
      </c>
      <c r="B14" s="5" t="s">
        <v>54</v>
      </c>
      <c r="C14" s="5" t="s">
        <v>64</v>
      </c>
      <c r="D14" s="5" t="s">
        <v>72</v>
      </c>
      <c r="E14" s="5" t="s">
        <v>89</v>
      </c>
      <c r="F14" s="21" t="n">
        <f aca="false">INDEX(Inputs!$B$15:$B$19,MATCH(B14,Inputs!$A$15:$A$19,0))</f>
        <v>0.8</v>
      </c>
      <c r="G14" s="21" t="n">
        <f aca="false">INDEX(Inputs!$B$23:$B$26,MATCH(C14,Inputs!$A$23:$A$26,0))</f>
        <v>0.4</v>
      </c>
      <c r="H14" s="21" t="n">
        <f aca="false">INDEX(Inputs!$B$30:$B$34,MATCH(D14,Inputs!$A$30:$A$34,0))</f>
        <v>0.13</v>
      </c>
      <c r="I14" s="22" t="n">
        <f aca="false">F14*G14*H14</f>
        <v>0.0416</v>
      </c>
      <c r="J14" s="23" t="n">
        <f aca="false">INDEX('HB Evidence'!$F$6:$F$25,MATCH(E14,'HB Evidence'!$A$6:$A$25,0))</f>
        <v>0</v>
      </c>
      <c r="K14" s="23" t="n">
        <f aca="false">INDEX('HB Evidence'!$H$6:$H$25,MATCH(E14,'HB Evidence'!$A$6:$A$25,0))</f>
        <v>0.000555944572595439</v>
      </c>
      <c r="L14" s="16" t="n">
        <v>2000</v>
      </c>
      <c r="M14" s="16" t="n">
        <v>29</v>
      </c>
      <c r="N14" s="24" t="n">
        <f aca="false">M14/L14</f>
        <v>0.0145</v>
      </c>
      <c r="O14" s="24" t="n">
        <f aca="false">IF(M14=L14,1,BETAINV(Inputs!$B$10,M14+1,L14-M14))</f>
        <v>0.0257253699946604</v>
      </c>
      <c r="P14" s="25" t="n">
        <v>0.047174</v>
      </c>
      <c r="Q14" s="26" t="n">
        <v>18.98</v>
      </c>
      <c r="R14" s="13" t="n">
        <f aca="false">I14*J14*N14*P14</f>
        <v>0</v>
      </c>
      <c r="S14" s="13" t="n">
        <f aca="false">I14*K14*O14*P14</f>
        <v>2.80665581637894E-008</v>
      </c>
      <c r="T14" s="15" t="n">
        <f aca="false">IF(Summary!$B$6&gt;0,R14/Summary!$B$6,0)</f>
        <v>0</v>
      </c>
      <c r="U14" s="13" t="n">
        <f aca="false">I14*K14</f>
        <v>2.31272942199703E-005</v>
      </c>
      <c r="V14" s="13" t="n">
        <f aca="false">I14*O14*P14</f>
        <v>5.04844539317293E-005</v>
      </c>
      <c r="W14" s="18" t="n">
        <f aca="false">INDEX('HB Evidence'!$I$6:$I$25,MATCH(E14,'HB Evidence'!$A$6:$A$25,0))</f>
        <v>2E-005</v>
      </c>
      <c r="X14" s="18" t="n">
        <f aca="false">I14*W14*N14*P14</f>
        <v>5.69107136E-010</v>
      </c>
      <c r="Y14" s="27" t="n">
        <f aca="false">SUMIF('Concrete Scenarios'!$B$6:$B$1005,A14,'Concrete Scenarios'!$N$6:$N$1005)</f>
        <v>5.78428548401164</v>
      </c>
      <c r="Z14" s="28" t="n">
        <f aca="false">IF(SUMIF('Concrete Scenarios'!$B$6:$B$1005,A14,'Concrete Scenarios'!$T$6:$T$1005)&gt;0,Y14^2/SUMIF('Concrete Scenarios'!$B$6:$B$1005,A14,'Concrete Scenarios'!$T$6:$T$1005),0)</f>
        <v>3.62565645504143</v>
      </c>
      <c r="AA14" s="29" t="n">
        <f aca="false">SUMIF('Concrete Scenarios'!$B$6:$B$1005,A14,'Concrete Scenarios'!$O$6:$O$1005)</f>
        <v>0</v>
      </c>
      <c r="AB14" s="23" t="n">
        <f aca="false">SUMIF('Concrete Scenarios'!$B$6:$B$1005,A14,'Concrete Scenarios'!$S$6:$S$1005)/COUNTIF('Concrete Scenarios'!$B$6:$B$1005,A14)</f>
        <v>0</v>
      </c>
      <c r="AC14" s="13" t="n">
        <f aca="false">I14*J14*AB14</f>
        <v>0</v>
      </c>
    </row>
    <row r="15" customFormat="false" ht="15" hidden="false" customHeight="false" outlineLevel="0" collapsed="false">
      <c r="A15" s="5" t="s">
        <v>147</v>
      </c>
      <c r="B15" s="5" t="s">
        <v>54</v>
      </c>
      <c r="C15" s="5" t="s">
        <v>64</v>
      </c>
      <c r="D15" s="5" t="s">
        <v>73</v>
      </c>
      <c r="E15" s="5" t="s">
        <v>89</v>
      </c>
      <c r="F15" s="21" t="n">
        <f aca="false">INDEX(Inputs!$B$15:$B$19,MATCH(B15,Inputs!$A$15:$A$19,0))</f>
        <v>0.8</v>
      </c>
      <c r="G15" s="21" t="n">
        <f aca="false">INDEX(Inputs!$B$23:$B$26,MATCH(C15,Inputs!$A$23:$A$26,0))</f>
        <v>0.4</v>
      </c>
      <c r="H15" s="21" t="n">
        <f aca="false">INDEX(Inputs!$B$30:$B$34,MATCH(D15,Inputs!$A$30:$A$34,0))</f>
        <v>0.07</v>
      </c>
      <c r="I15" s="22" t="n">
        <f aca="false">F15*G15*H15</f>
        <v>0.0224</v>
      </c>
      <c r="J15" s="23" t="n">
        <f aca="false">INDEX('HB Evidence'!$F$6:$F$25,MATCH(E15,'HB Evidence'!$A$6:$A$25,0))</f>
        <v>0</v>
      </c>
      <c r="K15" s="23" t="n">
        <f aca="false">INDEX('HB Evidence'!$H$6:$H$25,MATCH(E15,'HB Evidence'!$A$6:$A$25,0))</f>
        <v>0.000555944572595439</v>
      </c>
      <c r="L15" s="16" t="n">
        <v>2000</v>
      </c>
      <c r="M15" s="16" t="n">
        <v>179</v>
      </c>
      <c r="N15" s="24" t="n">
        <f aca="false">M15/L15</f>
        <v>0.0895</v>
      </c>
      <c r="O15" s="24" t="n">
        <f aca="false">IF(M15=L15,1,BETAINV(Inputs!$B$10,M15+1,L15-M15))</f>
        <v>0.11269706014874</v>
      </c>
      <c r="P15" s="25" t="n">
        <v>0.036636</v>
      </c>
      <c r="Q15" s="26" t="n">
        <v>17.86</v>
      </c>
      <c r="R15" s="13" t="n">
        <f aca="false">I15*J15*N15*P15</f>
        <v>0</v>
      </c>
      <c r="S15" s="13" t="n">
        <f aca="false">I15*K15*O15*P15</f>
        <v>5.14162206338271E-008</v>
      </c>
      <c r="T15" s="15" t="n">
        <f aca="false">IF(Summary!$B$6&gt;0,R15/Summary!$B$6,0)</f>
        <v>0</v>
      </c>
      <c r="U15" s="13" t="n">
        <f aca="false">I15*K15</f>
        <v>1.24531584261378E-005</v>
      </c>
      <c r="V15" s="13" t="n">
        <f aca="false">I15*O15*P15</f>
        <v>9.24844367016471E-005</v>
      </c>
      <c r="W15" s="18" t="n">
        <f aca="false">INDEX('HB Evidence'!$I$6:$I$25,MATCH(E15,'HB Evidence'!$A$6:$A$25,0))</f>
        <v>2E-005</v>
      </c>
      <c r="X15" s="18" t="n">
        <f aca="false">I15*W15*N15*P15</f>
        <v>1.468957056E-009</v>
      </c>
      <c r="Y15" s="27" t="n">
        <f aca="false">SUMIF('Concrete Scenarios'!$B$6:$B$1005,A15,'Concrete Scenarios'!$N$6:$N$1005)</f>
        <v>7.18591591296732</v>
      </c>
      <c r="Z15" s="28" t="n">
        <f aca="false">IF(SUMIF('Concrete Scenarios'!$B$6:$B$1005,A15,'Concrete Scenarios'!$T$6:$T$1005)&gt;0,Y15^2/SUMIF('Concrete Scenarios'!$B$6:$B$1005,A15,'Concrete Scenarios'!$T$6:$T$1005),0)</f>
        <v>3.37632002437035</v>
      </c>
      <c r="AA15" s="29" t="n">
        <f aca="false">SUMIF('Concrete Scenarios'!$B$6:$B$1005,A15,'Concrete Scenarios'!$O$6:$O$1005)</f>
        <v>6</v>
      </c>
      <c r="AB15" s="23" t="n">
        <f aca="false">SUMIF('Concrete Scenarios'!$B$6:$B$1005,A15,'Concrete Scenarios'!$S$6:$S$1005)/COUNTIF('Concrete Scenarios'!$B$6:$B$1005,A15)</f>
        <v>0.00442139661177721</v>
      </c>
      <c r="AC15" s="13" t="n">
        <f aca="false">I15*J15*AB15</f>
        <v>0</v>
      </c>
    </row>
    <row r="16" customFormat="false" ht="15" hidden="false" customHeight="false" outlineLevel="0" collapsed="false">
      <c r="A16" s="5" t="s">
        <v>148</v>
      </c>
      <c r="B16" s="5" t="s">
        <v>54</v>
      </c>
      <c r="C16" s="5" t="s">
        <v>65</v>
      </c>
      <c r="D16" s="5" t="s">
        <v>68</v>
      </c>
      <c r="E16" s="5" t="s">
        <v>90</v>
      </c>
      <c r="F16" s="21" t="n">
        <f aca="false">INDEX(Inputs!$B$15:$B$19,MATCH(B16,Inputs!$A$15:$A$19,0))</f>
        <v>0.8</v>
      </c>
      <c r="G16" s="21" t="n">
        <f aca="false">INDEX(Inputs!$B$23:$B$26,MATCH(C16,Inputs!$A$23:$A$26,0))</f>
        <v>0.15</v>
      </c>
      <c r="H16" s="21" t="n">
        <f aca="false">INDEX(Inputs!$B$30:$B$34,MATCH(D16,Inputs!$A$30:$A$34,0))</f>
        <v>0.45</v>
      </c>
      <c r="I16" s="22" t="n">
        <f aca="false">F16*G16*H16</f>
        <v>0.054</v>
      </c>
      <c r="J16" s="23" t="n">
        <f aca="false">INDEX('HB Evidence'!$F$6:$F$25,MATCH(E16,'HB Evidence'!$A$6:$A$25,0))</f>
        <v>0</v>
      </c>
      <c r="K16" s="23" t="n">
        <f aca="false">INDEX('HB Evidence'!$H$6:$H$25,MATCH(E16,'HB Evidence'!$A$6:$A$25,0))</f>
        <v>0.00129720400272269</v>
      </c>
      <c r="L16" s="16" t="n">
        <v>2000</v>
      </c>
      <c r="M16" s="16" t="n">
        <v>0</v>
      </c>
      <c r="N16" s="24" t="n">
        <f aca="false">M16/L16</f>
        <v>0</v>
      </c>
      <c r="O16" s="24" t="n">
        <f aca="false">IF(M16=L16,1,BETAINV(Inputs!$B$10,M16+1,L16-M16))</f>
        <v>0.00388404949945426</v>
      </c>
      <c r="P16" s="25" t="n">
        <v>0</v>
      </c>
      <c r="Q16" s="26" t="n">
        <v>0</v>
      </c>
      <c r="R16" s="13" t="n">
        <f aca="false">I16*J16*N16*P16</f>
        <v>0</v>
      </c>
      <c r="S16" s="13" t="n">
        <f aca="false">I16*K16*O16*P16</f>
        <v>0</v>
      </c>
      <c r="T16" s="15" t="n">
        <f aca="false">IF(Summary!$B$6&gt;0,R16/Summary!$B$6,0)</f>
        <v>0</v>
      </c>
      <c r="U16" s="13" t="n">
        <f aca="false">I16*K16</f>
        <v>7.00490161470253E-005</v>
      </c>
      <c r="V16" s="13" t="n">
        <f aca="false">I16*O16*P16</f>
        <v>0</v>
      </c>
      <c r="W16" s="18" t="n">
        <f aca="false">INDEX('HB Evidence'!$I$6:$I$25,MATCH(E16,'HB Evidence'!$A$6:$A$25,0))</f>
        <v>2.4E-005</v>
      </c>
      <c r="X16" s="18" t="n">
        <f aca="false">I16*W16*N16*P16</f>
        <v>0</v>
      </c>
      <c r="Y16" s="27" t="n">
        <f aca="false">SUMIF('Concrete Scenarios'!$B$6:$B$1005,A16,'Concrete Scenarios'!$N$6:$N$1005)</f>
        <v>8.50548738262729</v>
      </c>
      <c r="Z16" s="28" t="n">
        <f aca="false">IF(SUMIF('Concrete Scenarios'!$B$6:$B$1005,A16,'Concrete Scenarios'!$T$6:$T$1005)&gt;0,Y16^2/SUMIF('Concrete Scenarios'!$B$6:$B$1005,A16,'Concrete Scenarios'!$T$6:$T$1005),0)</f>
        <v>2.18040682241761</v>
      </c>
      <c r="AA16" s="29" t="n">
        <f aca="false">SUMIF('Concrete Scenarios'!$B$6:$B$1005,A16,'Concrete Scenarios'!$O$6:$O$1005)</f>
        <v>0</v>
      </c>
      <c r="AB16" s="23" t="n">
        <f aca="false">SUMIF('Concrete Scenarios'!$B$6:$B$1005,A16,'Concrete Scenarios'!$S$6:$S$1005)/COUNTIF('Concrete Scenarios'!$B$6:$B$1005,A16)</f>
        <v>0</v>
      </c>
      <c r="AC16" s="13" t="n">
        <f aca="false">I16*J16*AB16</f>
        <v>0</v>
      </c>
    </row>
    <row r="17" customFormat="false" ht="15" hidden="false" customHeight="false" outlineLevel="0" collapsed="false">
      <c r="A17" s="5" t="s">
        <v>149</v>
      </c>
      <c r="B17" s="5" t="s">
        <v>54</v>
      </c>
      <c r="C17" s="5" t="s">
        <v>65</v>
      </c>
      <c r="D17" s="5" t="s">
        <v>70</v>
      </c>
      <c r="E17" s="5" t="s">
        <v>90</v>
      </c>
      <c r="F17" s="21" t="n">
        <f aca="false">INDEX(Inputs!$B$15:$B$19,MATCH(B17,Inputs!$A$15:$A$19,0))</f>
        <v>0.8</v>
      </c>
      <c r="G17" s="21" t="n">
        <f aca="false">INDEX(Inputs!$B$23:$B$26,MATCH(C17,Inputs!$A$23:$A$26,0))</f>
        <v>0.15</v>
      </c>
      <c r="H17" s="21" t="n">
        <f aca="false">INDEX(Inputs!$B$30:$B$34,MATCH(D17,Inputs!$A$30:$A$34,0))</f>
        <v>0.2</v>
      </c>
      <c r="I17" s="22" t="n">
        <f aca="false">F17*G17*H17</f>
        <v>0.024</v>
      </c>
      <c r="J17" s="23" t="n">
        <f aca="false">INDEX('HB Evidence'!$F$6:$F$25,MATCH(E17,'HB Evidence'!$A$6:$A$25,0))</f>
        <v>0</v>
      </c>
      <c r="K17" s="23" t="n">
        <f aca="false">INDEX('HB Evidence'!$H$6:$H$25,MATCH(E17,'HB Evidence'!$A$6:$A$25,0))</f>
        <v>0.00129720400272269</v>
      </c>
      <c r="L17" s="16" t="n">
        <v>2000</v>
      </c>
      <c r="M17" s="16" t="n">
        <v>0</v>
      </c>
      <c r="N17" s="24" t="n">
        <f aca="false">M17/L17</f>
        <v>0</v>
      </c>
      <c r="O17" s="24" t="n">
        <f aca="false">IF(M17=L17,1,BETAINV(Inputs!$B$10,M17+1,L17-M17))</f>
        <v>0.00388404949945426</v>
      </c>
      <c r="P17" s="25" t="n">
        <v>0</v>
      </c>
      <c r="Q17" s="26" t="n">
        <v>0</v>
      </c>
      <c r="R17" s="13" t="n">
        <f aca="false">I17*J17*N17*P17</f>
        <v>0</v>
      </c>
      <c r="S17" s="13" t="n">
        <f aca="false">I17*K17*O17*P17</f>
        <v>0</v>
      </c>
      <c r="T17" s="15" t="n">
        <f aca="false">IF(Summary!$B$6&gt;0,R17/Summary!$B$6,0)</f>
        <v>0</v>
      </c>
      <c r="U17" s="13" t="n">
        <f aca="false">I17*K17</f>
        <v>3.11328960653446E-005</v>
      </c>
      <c r="V17" s="13" t="n">
        <f aca="false">I17*O17*P17</f>
        <v>0</v>
      </c>
      <c r="W17" s="18" t="n">
        <f aca="false">INDEX('HB Evidence'!$I$6:$I$25,MATCH(E17,'HB Evidence'!$A$6:$A$25,0))</f>
        <v>2.4E-005</v>
      </c>
      <c r="X17" s="18" t="n">
        <f aca="false">I17*W17*N17*P17</f>
        <v>0</v>
      </c>
      <c r="Y17" s="27" t="n">
        <f aca="false">SUMIF('Concrete Scenarios'!$B$6:$B$1005,A17,'Concrete Scenarios'!$N$6:$N$1005)</f>
        <v>5.44548458762627</v>
      </c>
      <c r="Z17" s="28" t="n">
        <f aca="false">IF(SUMIF('Concrete Scenarios'!$B$6:$B$1005,A17,'Concrete Scenarios'!$T$6:$T$1005)&gt;0,Y17^2/SUMIF('Concrete Scenarios'!$B$6:$B$1005,A17,'Concrete Scenarios'!$T$6:$T$1005),0)</f>
        <v>4.93284607353416</v>
      </c>
      <c r="AA17" s="29" t="n">
        <f aca="false">SUMIF('Concrete Scenarios'!$B$6:$B$1005,A17,'Concrete Scenarios'!$O$6:$O$1005)</f>
        <v>1</v>
      </c>
      <c r="AB17" s="23" t="n">
        <f aca="false">SUMIF('Concrete Scenarios'!$B$6:$B$1005,A17,'Concrete Scenarios'!$S$6:$S$1005)/COUNTIF('Concrete Scenarios'!$B$6:$B$1005,A17)</f>
        <v>5.89069749641603E-005</v>
      </c>
      <c r="AC17" s="13" t="n">
        <f aca="false">I17*J17*AB17</f>
        <v>0</v>
      </c>
    </row>
    <row r="18" customFormat="false" ht="15" hidden="false" customHeight="false" outlineLevel="0" collapsed="false">
      <c r="A18" s="5" t="s">
        <v>150</v>
      </c>
      <c r="B18" s="5" t="s">
        <v>54</v>
      </c>
      <c r="C18" s="5" t="s">
        <v>65</v>
      </c>
      <c r="D18" s="5" t="s">
        <v>71</v>
      </c>
      <c r="E18" s="5" t="s">
        <v>90</v>
      </c>
      <c r="F18" s="21" t="n">
        <f aca="false">INDEX(Inputs!$B$15:$B$19,MATCH(B18,Inputs!$A$15:$A$19,0))</f>
        <v>0.8</v>
      </c>
      <c r="G18" s="21" t="n">
        <f aca="false">INDEX(Inputs!$B$23:$B$26,MATCH(C18,Inputs!$A$23:$A$26,0))</f>
        <v>0.15</v>
      </c>
      <c r="H18" s="21" t="n">
        <f aca="false">INDEX(Inputs!$B$30:$B$34,MATCH(D18,Inputs!$A$30:$A$34,0))</f>
        <v>0.15</v>
      </c>
      <c r="I18" s="22" t="n">
        <f aca="false">F18*G18*H18</f>
        <v>0.018</v>
      </c>
      <c r="J18" s="23" t="n">
        <f aca="false">INDEX('HB Evidence'!$F$6:$F$25,MATCH(E18,'HB Evidence'!$A$6:$A$25,0))</f>
        <v>0</v>
      </c>
      <c r="K18" s="23" t="n">
        <f aca="false">INDEX('HB Evidence'!$H$6:$H$25,MATCH(E18,'HB Evidence'!$A$6:$A$25,0))</f>
        <v>0.00129720400272269</v>
      </c>
      <c r="L18" s="16" t="n">
        <v>2000</v>
      </c>
      <c r="M18" s="16" t="n">
        <v>1</v>
      </c>
      <c r="N18" s="24" t="n">
        <f aca="false">M18/L18</f>
        <v>0.0005</v>
      </c>
      <c r="O18" s="24" t="n">
        <f aca="false">IF(M18=L18,1,BETAINV(Inputs!$B$10,M18+1,L18-M18))</f>
        <v>0.00508781553003008</v>
      </c>
      <c r="P18" s="25" t="n">
        <v>0.075795</v>
      </c>
      <c r="Q18" s="26" t="n">
        <v>27.49</v>
      </c>
      <c r="R18" s="13" t="n">
        <f aca="false">I18*J18*N18*P18</f>
        <v>0</v>
      </c>
      <c r="S18" s="13" t="n">
        <f aca="false">I18*K18*O18*P18</f>
        <v>9.00435687054137E-009</v>
      </c>
      <c r="T18" s="15" t="n">
        <f aca="false">IF(Summary!$B$6&gt;0,R18/Summary!$B$6,0)</f>
        <v>0</v>
      </c>
      <c r="U18" s="13" t="n">
        <f aca="false">I18*K18</f>
        <v>2.33496720490084E-005</v>
      </c>
      <c r="V18" s="13" t="n">
        <f aca="false">I18*O18*P18</f>
        <v>6.94135760577534E-006</v>
      </c>
      <c r="W18" s="18" t="n">
        <f aca="false">INDEX('HB Evidence'!$I$6:$I$25,MATCH(E18,'HB Evidence'!$A$6:$A$25,0))</f>
        <v>2.4E-005</v>
      </c>
      <c r="X18" s="18" t="n">
        <f aca="false">I18*W18*N18*P18</f>
        <v>1.637172E-011</v>
      </c>
      <c r="Y18" s="27" t="n">
        <f aca="false">SUMIF('Concrete Scenarios'!$B$6:$B$1005,A18,'Concrete Scenarios'!$N$6:$N$1005)</f>
        <v>2.77110200718148</v>
      </c>
      <c r="Z18" s="28" t="n">
        <f aca="false">IF(SUMIF('Concrete Scenarios'!$B$6:$B$1005,A18,'Concrete Scenarios'!$T$6:$T$1005)&gt;0,Y18^2/SUMIF('Concrete Scenarios'!$B$6:$B$1005,A18,'Concrete Scenarios'!$T$6:$T$1005),0)</f>
        <v>5.24816904518724</v>
      </c>
      <c r="AA18" s="29" t="n">
        <f aca="false">SUMIF('Concrete Scenarios'!$B$6:$B$1005,A18,'Concrete Scenarios'!$O$6:$O$1005)</f>
        <v>0</v>
      </c>
      <c r="AB18" s="23" t="n">
        <f aca="false">SUMIF('Concrete Scenarios'!$B$6:$B$1005,A18,'Concrete Scenarios'!$S$6:$S$1005)/COUNTIF('Concrete Scenarios'!$B$6:$B$1005,A18)</f>
        <v>0</v>
      </c>
      <c r="AC18" s="13" t="n">
        <f aca="false">I18*J18*AB18</f>
        <v>0</v>
      </c>
    </row>
    <row r="19" customFormat="false" ht="15" hidden="false" customHeight="false" outlineLevel="0" collapsed="false">
      <c r="A19" s="5" t="s">
        <v>151</v>
      </c>
      <c r="B19" s="5" t="s">
        <v>54</v>
      </c>
      <c r="C19" s="5" t="s">
        <v>65</v>
      </c>
      <c r="D19" s="5" t="s">
        <v>72</v>
      </c>
      <c r="E19" s="5" t="s">
        <v>90</v>
      </c>
      <c r="F19" s="21" t="n">
        <f aca="false">INDEX(Inputs!$B$15:$B$19,MATCH(B19,Inputs!$A$15:$A$19,0))</f>
        <v>0.8</v>
      </c>
      <c r="G19" s="21" t="n">
        <f aca="false">INDEX(Inputs!$B$23:$B$26,MATCH(C19,Inputs!$A$23:$A$26,0))</f>
        <v>0.15</v>
      </c>
      <c r="H19" s="21" t="n">
        <f aca="false">INDEX(Inputs!$B$30:$B$34,MATCH(D19,Inputs!$A$30:$A$34,0))</f>
        <v>0.13</v>
      </c>
      <c r="I19" s="22" t="n">
        <f aca="false">F19*G19*H19</f>
        <v>0.0156</v>
      </c>
      <c r="J19" s="23" t="n">
        <f aca="false">INDEX('HB Evidence'!$F$6:$F$25,MATCH(E19,'HB Evidence'!$A$6:$A$25,0))</f>
        <v>0</v>
      </c>
      <c r="K19" s="23" t="n">
        <f aca="false">INDEX('HB Evidence'!$H$6:$H$25,MATCH(E19,'HB Evidence'!$A$6:$A$25,0))</f>
        <v>0.00129720400272269</v>
      </c>
      <c r="L19" s="16" t="n">
        <v>2000</v>
      </c>
      <c r="M19" s="16" t="n">
        <v>5</v>
      </c>
      <c r="N19" s="24" t="n">
        <f aca="false">M19/L19</f>
        <v>0.0025</v>
      </c>
      <c r="O19" s="24" t="n">
        <f aca="false">IF(M19=L19,1,BETAINV(Inputs!$B$10,M19+1,L19-M19))</f>
        <v>0.00880163963799943</v>
      </c>
      <c r="P19" s="25" t="n">
        <v>0.080717</v>
      </c>
      <c r="Q19" s="26" t="n">
        <v>21.2</v>
      </c>
      <c r="R19" s="13" t="n">
        <f aca="false">I19*J19*N19*P19</f>
        <v>0</v>
      </c>
      <c r="S19" s="13" t="n">
        <f aca="false">I19*K19*O19*P19</f>
        <v>1.43767749357956E-008</v>
      </c>
      <c r="T19" s="15" t="n">
        <f aca="false">IF(Summary!$B$6&gt;0,R19/Summary!$B$6,0)</f>
        <v>0</v>
      </c>
      <c r="U19" s="13" t="n">
        <f aca="false">I19*K19</f>
        <v>2.0236382442474E-005</v>
      </c>
      <c r="V19" s="13" t="n">
        <f aca="false">I19*O19*P19</f>
        <v>1.10828943679022E-005</v>
      </c>
      <c r="W19" s="18" t="n">
        <f aca="false">INDEX('HB Evidence'!$I$6:$I$25,MATCH(E19,'HB Evidence'!$A$6:$A$25,0))</f>
        <v>2.4E-005</v>
      </c>
      <c r="X19" s="18" t="n">
        <f aca="false">I19*W19*N19*P19</f>
        <v>7.5551112E-011</v>
      </c>
      <c r="Y19" s="27" t="n">
        <f aca="false">SUMIF('Concrete Scenarios'!$B$6:$B$1005,A19,'Concrete Scenarios'!$N$6:$N$1005)</f>
        <v>7.70247649419852</v>
      </c>
      <c r="Z19" s="28" t="n">
        <f aca="false">IF(SUMIF('Concrete Scenarios'!$B$6:$B$1005,A19,'Concrete Scenarios'!$T$6:$T$1005)&gt;0,Y19^2/SUMIF('Concrete Scenarios'!$B$6:$B$1005,A19,'Concrete Scenarios'!$T$6:$T$1005),0)</f>
        <v>2.43135916915619</v>
      </c>
      <c r="AA19" s="29" t="n">
        <f aca="false">SUMIF('Concrete Scenarios'!$B$6:$B$1005,A19,'Concrete Scenarios'!$O$6:$O$1005)</f>
        <v>0</v>
      </c>
      <c r="AB19" s="23" t="n">
        <f aca="false">SUMIF('Concrete Scenarios'!$B$6:$B$1005,A19,'Concrete Scenarios'!$S$6:$S$1005)/COUNTIF('Concrete Scenarios'!$B$6:$B$1005,A19)</f>
        <v>0</v>
      </c>
      <c r="AC19" s="13" t="n">
        <f aca="false">I19*J19*AB19</f>
        <v>0</v>
      </c>
    </row>
    <row r="20" customFormat="false" ht="15" hidden="false" customHeight="false" outlineLevel="0" collapsed="false">
      <c r="A20" s="5" t="s">
        <v>152</v>
      </c>
      <c r="B20" s="5" t="s">
        <v>54</v>
      </c>
      <c r="C20" s="5" t="s">
        <v>65</v>
      </c>
      <c r="D20" s="5" t="s">
        <v>73</v>
      </c>
      <c r="E20" s="5" t="s">
        <v>90</v>
      </c>
      <c r="F20" s="21" t="n">
        <f aca="false">INDEX(Inputs!$B$15:$B$19,MATCH(B20,Inputs!$A$15:$A$19,0))</f>
        <v>0.8</v>
      </c>
      <c r="G20" s="21" t="n">
        <f aca="false">INDEX(Inputs!$B$23:$B$26,MATCH(C20,Inputs!$A$23:$A$26,0))</f>
        <v>0.15</v>
      </c>
      <c r="H20" s="21" t="n">
        <f aca="false">INDEX(Inputs!$B$30:$B$34,MATCH(D20,Inputs!$A$30:$A$34,0))</f>
        <v>0.07</v>
      </c>
      <c r="I20" s="22" t="n">
        <f aca="false">F20*G20*H20</f>
        <v>0.0084</v>
      </c>
      <c r="J20" s="23" t="n">
        <f aca="false">INDEX('HB Evidence'!$F$6:$F$25,MATCH(E20,'HB Evidence'!$A$6:$A$25,0))</f>
        <v>0</v>
      </c>
      <c r="K20" s="23" t="n">
        <f aca="false">INDEX('HB Evidence'!$H$6:$H$25,MATCH(E20,'HB Evidence'!$A$6:$A$25,0))</f>
        <v>0.00129720400272269</v>
      </c>
      <c r="L20" s="16" t="n">
        <v>2000</v>
      </c>
      <c r="M20" s="16" t="n">
        <v>66</v>
      </c>
      <c r="N20" s="24" t="n">
        <f aca="false">M20/L20</f>
        <v>0.033</v>
      </c>
      <c r="O20" s="24" t="n">
        <f aca="false">IF(M20=L20,1,BETAINV(Inputs!$B$10,M20+1,L20-M20))</f>
        <v>0.0485001742368601</v>
      </c>
      <c r="P20" s="25" t="n">
        <v>0.049603</v>
      </c>
      <c r="Q20" s="26" t="n">
        <v>19.27</v>
      </c>
      <c r="R20" s="13" t="n">
        <f aca="false">I20*J20*N20*P20</f>
        <v>0</v>
      </c>
      <c r="S20" s="13" t="n">
        <f aca="false">I20*K20*O20*P20</f>
        <v>2.62143327888917E-008</v>
      </c>
      <c r="T20" s="15" t="n">
        <f aca="false">IF(Summary!$B$6&gt;0,R20/Summary!$B$6,0)</f>
        <v>0</v>
      </c>
      <c r="U20" s="13" t="n">
        <f aca="false">I20*K20</f>
        <v>1.08965136228706E-005</v>
      </c>
      <c r="V20" s="13" t="n">
        <f aca="false">I20*O20*P20</f>
        <v>2.02083347984362E-005</v>
      </c>
      <c r="W20" s="18" t="n">
        <f aca="false">INDEX('HB Evidence'!$I$6:$I$25,MATCH(E20,'HB Evidence'!$A$6:$A$25,0))</f>
        <v>2.4E-005</v>
      </c>
      <c r="X20" s="18" t="n">
        <f aca="false">I20*W20*N20*P20</f>
        <v>3.299988384E-010</v>
      </c>
      <c r="Y20" s="27" t="n">
        <f aca="false">SUMIF('Concrete Scenarios'!$B$6:$B$1005,A20,'Concrete Scenarios'!$N$6:$N$1005)</f>
        <v>19.7342153732728</v>
      </c>
      <c r="Z20" s="28" t="n">
        <f aca="false">IF(SUMIF('Concrete Scenarios'!$B$6:$B$1005,A20,'Concrete Scenarios'!$T$6:$T$1005)&gt;0,Y20^2/SUMIF('Concrete Scenarios'!$B$6:$B$1005,A20,'Concrete Scenarios'!$T$6:$T$1005),0)</f>
        <v>4.00154727594003</v>
      </c>
      <c r="AA20" s="29" t="n">
        <f aca="false">SUMIF('Concrete Scenarios'!$B$6:$B$1005,A20,'Concrete Scenarios'!$O$6:$O$1005)</f>
        <v>1</v>
      </c>
      <c r="AB20" s="23" t="n">
        <f aca="false">SUMIF('Concrete Scenarios'!$B$6:$B$1005,A20,'Concrete Scenarios'!$S$6:$S$1005)/COUNTIF('Concrete Scenarios'!$B$6:$B$1005,A20)</f>
        <v>0.000153318471722073</v>
      </c>
      <c r="AC20" s="13" t="n">
        <f aca="false">I20*J20*AB20</f>
        <v>0</v>
      </c>
    </row>
    <row r="21" customFormat="false" ht="15" hidden="false" customHeight="false" outlineLevel="0" collapsed="false">
      <c r="A21" s="5" t="s">
        <v>153</v>
      </c>
      <c r="B21" s="5" t="s">
        <v>54</v>
      </c>
      <c r="C21" s="5" t="s">
        <v>66</v>
      </c>
      <c r="D21" s="5" t="s">
        <v>68</v>
      </c>
      <c r="E21" s="5" t="s">
        <v>91</v>
      </c>
      <c r="F21" s="21" t="n">
        <f aca="false">INDEX(Inputs!$B$15:$B$19,MATCH(B21,Inputs!$A$15:$A$19,0))</f>
        <v>0.8</v>
      </c>
      <c r="G21" s="21" t="n">
        <f aca="false">INDEX(Inputs!$B$23:$B$26,MATCH(C21,Inputs!$A$23:$A$26,0))</f>
        <v>0.1</v>
      </c>
      <c r="H21" s="21" t="n">
        <f aca="false">INDEX(Inputs!$B$30:$B$34,MATCH(D21,Inputs!$A$30:$A$34,0))</f>
        <v>0.45</v>
      </c>
      <c r="I21" s="22" t="n">
        <f aca="false">F21*G21*H21</f>
        <v>0.036</v>
      </c>
      <c r="J21" s="23" t="n">
        <f aca="false">INDEX('HB Evidence'!$F$6:$F$25,MATCH(E21,'HB Evidence'!$A$6:$A$25,0))</f>
        <v>0</v>
      </c>
      <c r="K21" s="23" t="n">
        <f aca="false">INDEX('HB Evidence'!$H$6:$H$25,MATCH(E21,'HB Evidence'!$A$6:$A$25,0))</f>
        <v>0.00194580600408404</v>
      </c>
      <c r="L21" s="16" t="n">
        <v>2000</v>
      </c>
      <c r="M21" s="16" t="n">
        <v>0</v>
      </c>
      <c r="N21" s="24" t="n">
        <f aca="false">M21/L21</f>
        <v>0</v>
      </c>
      <c r="O21" s="24" t="n">
        <f aca="false">IF(M21=L21,1,BETAINV(Inputs!$B$10,M21+1,L21-M21))</f>
        <v>0.00388404949945426</v>
      </c>
      <c r="P21" s="25" t="n">
        <v>0</v>
      </c>
      <c r="Q21" s="26" t="n">
        <v>0</v>
      </c>
      <c r="R21" s="13" t="n">
        <f aca="false">I21*J21*N21*P21</f>
        <v>0</v>
      </c>
      <c r="S21" s="13" t="n">
        <f aca="false">I21*K21*O21*P21</f>
        <v>0</v>
      </c>
      <c r="T21" s="15" t="n">
        <f aca="false">IF(Summary!$B$6&gt;0,R21/Summary!$B$6,0)</f>
        <v>0</v>
      </c>
      <c r="U21" s="13" t="n">
        <f aca="false">I21*K21</f>
        <v>7.00490161470254E-005</v>
      </c>
      <c r="V21" s="13" t="n">
        <f aca="false">I21*O21*P21</f>
        <v>0</v>
      </c>
      <c r="W21" s="18" t="n">
        <f aca="false">INDEX('HB Evidence'!$I$6:$I$25,MATCH(E21,'HB Evidence'!$A$6:$A$25,0))</f>
        <v>3E-005</v>
      </c>
      <c r="X21" s="18" t="n">
        <f aca="false">I21*W21*N21*P21</f>
        <v>0</v>
      </c>
      <c r="Y21" s="27" t="n">
        <f aca="false">SUMIF('Concrete Scenarios'!$B$6:$B$1005,A21,'Concrete Scenarios'!$N$6:$N$1005)</f>
        <v>3.86034001444407</v>
      </c>
      <c r="Z21" s="28" t="n">
        <f aca="false">IF(SUMIF('Concrete Scenarios'!$B$6:$B$1005,A21,'Concrete Scenarios'!$T$6:$T$1005)&gt;0,Y21^2/SUMIF('Concrete Scenarios'!$B$6:$B$1005,A21,'Concrete Scenarios'!$T$6:$T$1005),0)</f>
        <v>7.49989051789603</v>
      </c>
      <c r="AA21" s="29" t="n">
        <f aca="false">SUMIF('Concrete Scenarios'!$B$6:$B$1005,A21,'Concrete Scenarios'!$O$6:$O$1005)</f>
        <v>0</v>
      </c>
      <c r="AB21" s="23" t="n">
        <f aca="false">SUMIF('Concrete Scenarios'!$B$6:$B$1005,A21,'Concrete Scenarios'!$S$6:$S$1005)/COUNTIF('Concrete Scenarios'!$B$6:$B$1005,A21)</f>
        <v>0</v>
      </c>
      <c r="AC21" s="13" t="n">
        <f aca="false">I21*J21*AB21</f>
        <v>0</v>
      </c>
    </row>
    <row r="22" customFormat="false" ht="15" hidden="false" customHeight="false" outlineLevel="0" collapsed="false">
      <c r="A22" s="5" t="s">
        <v>154</v>
      </c>
      <c r="B22" s="5" t="s">
        <v>54</v>
      </c>
      <c r="C22" s="5" t="s">
        <v>66</v>
      </c>
      <c r="D22" s="5" t="s">
        <v>70</v>
      </c>
      <c r="E22" s="5" t="s">
        <v>91</v>
      </c>
      <c r="F22" s="21" t="n">
        <f aca="false">INDEX(Inputs!$B$15:$B$19,MATCH(B22,Inputs!$A$15:$A$19,0))</f>
        <v>0.8</v>
      </c>
      <c r="G22" s="21" t="n">
        <f aca="false">INDEX(Inputs!$B$23:$B$26,MATCH(C22,Inputs!$A$23:$A$26,0))</f>
        <v>0.1</v>
      </c>
      <c r="H22" s="21" t="n">
        <f aca="false">INDEX(Inputs!$B$30:$B$34,MATCH(D22,Inputs!$A$30:$A$34,0))</f>
        <v>0.2</v>
      </c>
      <c r="I22" s="22" t="n">
        <f aca="false">F22*G22*H22</f>
        <v>0.016</v>
      </c>
      <c r="J22" s="23" t="n">
        <f aca="false">INDEX('HB Evidence'!$F$6:$F$25,MATCH(E22,'HB Evidence'!$A$6:$A$25,0))</f>
        <v>0</v>
      </c>
      <c r="K22" s="23" t="n">
        <f aca="false">INDEX('HB Evidence'!$H$6:$H$25,MATCH(E22,'HB Evidence'!$A$6:$A$25,0))</f>
        <v>0.00194580600408404</v>
      </c>
      <c r="L22" s="16" t="n">
        <v>2000</v>
      </c>
      <c r="M22" s="16" t="n">
        <v>0</v>
      </c>
      <c r="N22" s="24" t="n">
        <f aca="false">M22/L22</f>
        <v>0</v>
      </c>
      <c r="O22" s="24" t="n">
        <f aca="false">IF(M22=L22,1,BETAINV(Inputs!$B$10,M22+1,L22-M22))</f>
        <v>0.00388404949945426</v>
      </c>
      <c r="P22" s="25" t="n">
        <v>0</v>
      </c>
      <c r="Q22" s="26" t="n">
        <v>0</v>
      </c>
      <c r="R22" s="13" t="n">
        <f aca="false">I22*J22*N22*P22</f>
        <v>0</v>
      </c>
      <c r="S22" s="13" t="n">
        <f aca="false">I22*K22*O22*P22</f>
        <v>0</v>
      </c>
      <c r="T22" s="15" t="n">
        <f aca="false">IF(Summary!$B$6&gt;0,R22/Summary!$B$6,0)</f>
        <v>0</v>
      </c>
      <c r="U22" s="13" t="n">
        <f aca="false">I22*K22</f>
        <v>3.11328960653446E-005</v>
      </c>
      <c r="V22" s="13" t="n">
        <f aca="false">I22*O22*P22</f>
        <v>0</v>
      </c>
      <c r="W22" s="18" t="n">
        <f aca="false">INDEX('HB Evidence'!$I$6:$I$25,MATCH(E22,'HB Evidence'!$A$6:$A$25,0))</f>
        <v>3E-005</v>
      </c>
      <c r="X22" s="18" t="n">
        <f aca="false">I22*W22*N22*P22</f>
        <v>0</v>
      </c>
      <c r="Y22" s="27" t="n">
        <f aca="false">SUMIF('Concrete Scenarios'!$B$6:$B$1005,A22,'Concrete Scenarios'!$N$6:$N$1005)</f>
        <v>4.38512722247337</v>
      </c>
      <c r="Z22" s="28" t="n">
        <f aca="false">IF(SUMIF('Concrete Scenarios'!$B$6:$B$1005,A22,'Concrete Scenarios'!$T$6:$T$1005)&gt;0,Y22^2/SUMIF('Concrete Scenarios'!$B$6:$B$1005,A22,'Concrete Scenarios'!$T$6:$T$1005),0)</f>
        <v>6.06625213408835</v>
      </c>
      <c r="AA22" s="29" t="n">
        <f aca="false">SUMIF('Concrete Scenarios'!$B$6:$B$1005,A22,'Concrete Scenarios'!$O$6:$O$1005)</f>
        <v>0</v>
      </c>
      <c r="AB22" s="23" t="n">
        <f aca="false">SUMIF('Concrete Scenarios'!$B$6:$B$1005,A22,'Concrete Scenarios'!$S$6:$S$1005)/COUNTIF('Concrete Scenarios'!$B$6:$B$1005,A22)</f>
        <v>0</v>
      </c>
      <c r="AC22" s="13" t="n">
        <f aca="false">I22*J22*AB22</f>
        <v>0</v>
      </c>
    </row>
    <row r="23" customFormat="false" ht="15" hidden="false" customHeight="false" outlineLevel="0" collapsed="false">
      <c r="A23" s="5" t="s">
        <v>155</v>
      </c>
      <c r="B23" s="5" t="s">
        <v>54</v>
      </c>
      <c r="C23" s="5" t="s">
        <v>66</v>
      </c>
      <c r="D23" s="5" t="s">
        <v>71</v>
      </c>
      <c r="E23" s="5" t="s">
        <v>91</v>
      </c>
      <c r="F23" s="21" t="n">
        <f aca="false">INDEX(Inputs!$B$15:$B$19,MATCH(B23,Inputs!$A$15:$A$19,0))</f>
        <v>0.8</v>
      </c>
      <c r="G23" s="21" t="n">
        <f aca="false">INDEX(Inputs!$B$23:$B$26,MATCH(C23,Inputs!$A$23:$A$26,0))</f>
        <v>0.1</v>
      </c>
      <c r="H23" s="21" t="n">
        <f aca="false">INDEX(Inputs!$B$30:$B$34,MATCH(D23,Inputs!$A$30:$A$34,0))</f>
        <v>0.15</v>
      </c>
      <c r="I23" s="22" t="n">
        <f aca="false">F23*G23*H23</f>
        <v>0.012</v>
      </c>
      <c r="J23" s="23" t="n">
        <f aca="false">INDEX('HB Evidence'!$F$6:$F$25,MATCH(E23,'HB Evidence'!$A$6:$A$25,0))</f>
        <v>0</v>
      </c>
      <c r="K23" s="23" t="n">
        <f aca="false">INDEX('HB Evidence'!$H$6:$H$25,MATCH(E23,'HB Evidence'!$A$6:$A$25,0))</f>
        <v>0.00194580600408404</v>
      </c>
      <c r="L23" s="16" t="n">
        <v>2000</v>
      </c>
      <c r="M23" s="16" t="n">
        <v>1</v>
      </c>
      <c r="N23" s="24" t="n">
        <f aca="false">M23/L23</f>
        <v>0.0005</v>
      </c>
      <c r="O23" s="24" t="n">
        <f aca="false">IF(M23=L23,1,BETAINV(Inputs!$B$10,M23+1,L23-M23))</f>
        <v>0.00508781553003008</v>
      </c>
      <c r="P23" s="25" t="n">
        <v>0.088433</v>
      </c>
      <c r="Q23" s="26" t="n">
        <v>28.67</v>
      </c>
      <c r="R23" s="13" t="n">
        <f aca="false">I23*J23*N23*P23</f>
        <v>0</v>
      </c>
      <c r="S23" s="13" t="n">
        <f aca="false">I23*K23*O23*P23</f>
        <v>1.0505736409164E-008</v>
      </c>
      <c r="T23" s="15" t="n">
        <f aca="false">IF(Summary!$B$6&gt;0,R23/Summary!$B$6,0)</f>
        <v>0</v>
      </c>
      <c r="U23" s="13" t="n">
        <f aca="false">I23*K23</f>
        <v>2.33496720490084E-005</v>
      </c>
      <c r="V23" s="13" t="n">
        <f aca="false">I23*O23*P23</f>
        <v>5.3991694892058E-006</v>
      </c>
      <c r="W23" s="18" t="n">
        <f aca="false">INDEX('HB Evidence'!$I$6:$I$25,MATCH(E23,'HB Evidence'!$A$6:$A$25,0))</f>
        <v>3E-005</v>
      </c>
      <c r="X23" s="18" t="n">
        <f aca="false">I23*W23*N23*P23</f>
        <v>1.591794E-011</v>
      </c>
      <c r="Y23" s="27" t="n">
        <f aca="false">SUMIF('Concrete Scenarios'!$B$6:$B$1005,A23,'Concrete Scenarios'!$N$6:$N$1005)</f>
        <v>2.73497912783962</v>
      </c>
      <c r="Z23" s="28" t="n">
        <f aca="false">IF(SUMIF('Concrete Scenarios'!$B$6:$B$1005,A23,'Concrete Scenarios'!$T$6:$T$1005)&gt;0,Y23^2/SUMIF('Concrete Scenarios'!$B$6:$B$1005,A23,'Concrete Scenarios'!$T$6:$T$1005),0)</f>
        <v>2.4925074680246</v>
      </c>
      <c r="AA23" s="29" t="n">
        <f aca="false">SUMIF('Concrete Scenarios'!$B$6:$B$1005,A23,'Concrete Scenarios'!$O$6:$O$1005)</f>
        <v>0</v>
      </c>
      <c r="AB23" s="23" t="n">
        <f aca="false">SUMIF('Concrete Scenarios'!$B$6:$B$1005,A23,'Concrete Scenarios'!$S$6:$S$1005)/COUNTIF('Concrete Scenarios'!$B$6:$B$1005,A23)</f>
        <v>0</v>
      </c>
      <c r="AC23" s="13" t="n">
        <f aca="false">I23*J23*AB23</f>
        <v>0</v>
      </c>
    </row>
    <row r="24" customFormat="false" ht="15" hidden="false" customHeight="false" outlineLevel="0" collapsed="false">
      <c r="A24" s="5" t="s">
        <v>156</v>
      </c>
      <c r="B24" s="5" t="s">
        <v>54</v>
      </c>
      <c r="C24" s="5" t="s">
        <v>66</v>
      </c>
      <c r="D24" s="5" t="s">
        <v>72</v>
      </c>
      <c r="E24" s="5" t="s">
        <v>91</v>
      </c>
      <c r="F24" s="21" t="n">
        <f aca="false">INDEX(Inputs!$B$15:$B$19,MATCH(B24,Inputs!$A$15:$A$19,0))</f>
        <v>0.8</v>
      </c>
      <c r="G24" s="21" t="n">
        <f aca="false">INDEX(Inputs!$B$23:$B$26,MATCH(C24,Inputs!$A$23:$A$26,0))</f>
        <v>0.1</v>
      </c>
      <c r="H24" s="21" t="n">
        <f aca="false">INDEX(Inputs!$B$30:$B$34,MATCH(D24,Inputs!$A$30:$A$34,0))</f>
        <v>0.13</v>
      </c>
      <c r="I24" s="22" t="n">
        <f aca="false">F24*G24*H24</f>
        <v>0.0104</v>
      </c>
      <c r="J24" s="23" t="n">
        <f aca="false">INDEX('HB Evidence'!$F$6:$F$25,MATCH(E24,'HB Evidence'!$A$6:$A$25,0))</f>
        <v>0</v>
      </c>
      <c r="K24" s="23" t="n">
        <f aca="false">INDEX('HB Evidence'!$H$6:$H$25,MATCH(E24,'HB Evidence'!$A$6:$A$25,0))</f>
        <v>0.00194580600408404</v>
      </c>
      <c r="L24" s="16" t="n">
        <v>2000</v>
      </c>
      <c r="M24" s="16" t="n">
        <v>1</v>
      </c>
      <c r="N24" s="24" t="n">
        <f aca="false">M24/L24</f>
        <v>0.0005</v>
      </c>
      <c r="O24" s="24" t="n">
        <f aca="false">IF(M24=L24,1,BETAINV(Inputs!$B$10,M24+1,L24-M24))</f>
        <v>0.00508781553003008</v>
      </c>
      <c r="P24" s="25" t="n">
        <v>0.51458</v>
      </c>
      <c r="Q24" s="26" t="n">
        <v>45.41</v>
      </c>
      <c r="R24" s="13" t="n">
        <f aca="false">I24*J24*N24*P24</f>
        <v>0</v>
      </c>
      <c r="S24" s="13" t="n">
        <f aca="false">I24*K24*O24*P24</f>
        <v>5.29806323721981E-008</v>
      </c>
      <c r="T24" s="15" t="n">
        <f aca="false">IF(Summary!$B$6&gt;0,R24/Summary!$B$6,0)</f>
        <v>0</v>
      </c>
      <c r="U24" s="13" t="n">
        <f aca="false">I24*K24</f>
        <v>2.0236382442474E-005</v>
      </c>
      <c r="V24" s="13" t="n">
        <f aca="false">I24*O24*P24</f>
        <v>2.7228116400606E-005</v>
      </c>
      <c r="W24" s="18" t="n">
        <f aca="false">INDEX('HB Evidence'!$I$6:$I$25,MATCH(E24,'HB Evidence'!$A$6:$A$25,0))</f>
        <v>3E-005</v>
      </c>
      <c r="X24" s="18" t="n">
        <f aca="false">I24*W24*N24*P24</f>
        <v>8.027448E-011</v>
      </c>
      <c r="Y24" s="27" t="n">
        <f aca="false">SUMIF('Concrete Scenarios'!$B$6:$B$1005,A24,'Concrete Scenarios'!$N$6:$N$1005)</f>
        <v>6.13421238571642</v>
      </c>
      <c r="Z24" s="28" t="n">
        <f aca="false">IF(SUMIF('Concrete Scenarios'!$B$6:$B$1005,A24,'Concrete Scenarios'!$T$6:$T$1005)&gt;0,Y24^2/SUMIF('Concrete Scenarios'!$B$6:$B$1005,A24,'Concrete Scenarios'!$T$6:$T$1005),0)</f>
        <v>3.91868086152059</v>
      </c>
      <c r="AA24" s="29" t="n">
        <f aca="false">SUMIF('Concrete Scenarios'!$B$6:$B$1005,A24,'Concrete Scenarios'!$O$6:$O$1005)</f>
        <v>1</v>
      </c>
      <c r="AB24" s="23" t="n">
        <f aca="false">SUMIF('Concrete Scenarios'!$B$6:$B$1005,A24,'Concrete Scenarios'!$S$6:$S$1005)/COUNTIF('Concrete Scenarios'!$B$6:$B$1005,A24)</f>
        <v>0.000267227194935986</v>
      </c>
      <c r="AC24" s="13" t="n">
        <f aca="false">I24*J24*AB24</f>
        <v>0</v>
      </c>
    </row>
    <row r="25" customFormat="false" ht="15" hidden="false" customHeight="false" outlineLevel="0" collapsed="false">
      <c r="A25" s="5" t="s">
        <v>157</v>
      </c>
      <c r="B25" s="5" t="s">
        <v>54</v>
      </c>
      <c r="C25" s="5" t="s">
        <v>66</v>
      </c>
      <c r="D25" s="5" t="s">
        <v>73</v>
      </c>
      <c r="E25" s="5" t="s">
        <v>91</v>
      </c>
      <c r="F25" s="21" t="n">
        <f aca="false">INDEX(Inputs!$B$15:$B$19,MATCH(B25,Inputs!$A$15:$A$19,0))</f>
        <v>0.8</v>
      </c>
      <c r="G25" s="21" t="n">
        <f aca="false">INDEX(Inputs!$B$23:$B$26,MATCH(C25,Inputs!$A$23:$A$26,0))</f>
        <v>0.1</v>
      </c>
      <c r="H25" s="21" t="n">
        <f aca="false">INDEX(Inputs!$B$30:$B$34,MATCH(D25,Inputs!$A$30:$A$34,0))</f>
        <v>0.07</v>
      </c>
      <c r="I25" s="22" t="n">
        <f aca="false">F25*G25*H25</f>
        <v>0.0056</v>
      </c>
      <c r="J25" s="23" t="n">
        <f aca="false">INDEX('HB Evidence'!$F$6:$F$25,MATCH(E25,'HB Evidence'!$A$6:$A$25,0))</f>
        <v>0</v>
      </c>
      <c r="K25" s="23" t="n">
        <f aca="false">INDEX('HB Evidence'!$H$6:$H$25,MATCH(E25,'HB Evidence'!$A$6:$A$25,0))</f>
        <v>0.00194580600408404</v>
      </c>
      <c r="L25" s="16" t="n">
        <v>2000</v>
      </c>
      <c r="M25" s="16" t="n">
        <v>33</v>
      </c>
      <c r="N25" s="24" t="n">
        <f aca="false">M25/L25</f>
        <v>0.0165</v>
      </c>
      <c r="O25" s="24" t="n">
        <f aca="false">IF(M25=L25,1,BETAINV(Inputs!$B$10,M25+1,L25-M25))</f>
        <v>0.0282919611528893</v>
      </c>
      <c r="P25" s="25" t="n">
        <v>0.071209</v>
      </c>
      <c r="Q25" s="26" t="n">
        <v>21.88</v>
      </c>
      <c r="R25" s="13" t="n">
        <f aca="false">I25*J25*N25*P25</f>
        <v>0</v>
      </c>
      <c r="S25" s="13" t="n">
        <f aca="false">I25*K25*O25*P25</f>
        <v>2.19525768502182E-008</v>
      </c>
      <c r="T25" s="15" t="n">
        <f aca="false">IF(Summary!$B$6&gt;0,R25/Summary!$B$6,0)</f>
        <v>0</v>
      </c>
      <c r="U25" s="13" t="n">
        <f aca="false">I25*K25</f>
        <v>1.08965136228706E-005</v>
      </c>
      <c r="V25" s="13" t="n">
        <f aca="false">I25*O25*P25</f>
        <v>1.12819966657221E-005</v>
      </c>
      <c r="W25" s="18" t="n">
        <f aca="false">INDEX('HB Evidence'!$I$6:$I$25,MATCH(E25,'HB Evidence'!$A$6:$A$25,0))</f>
        <v>3E-005</v>
      </c>
      <c r="X25" s="18" t="n">
        <f aca="false">I25*W25*N25*P25</f>
        <v>1.97391348E-010</v>
      </c>
      <c r="Y25" s="27" t="n">
        <f aca="false">SUMIF('Concrete Scenarios'!$B$6:$B$1005,A25,'Concrete Scenarios'!$N$6:$N$1005)</f>
        <v>21.2007357206968</v>
      </c>
      <c r="Z25" s="28" t="n">
        <f aca="false">IF(SUMIF('Concrete Scenarios'!$B$6:$B$1005,A25,'Concrete Scenarios'!$T$6:$T$1005)&gt;0,Y25^2/SUMIF('Concrete Scenarios'!$B$6:$B$1005,A25,'Concrete Scenarios'!$T$6:$T$1005),0)</f>
        <v>2.15647055244742</v>
      </c>
      <c r="AA25" s="29" t="n">
        <f aca="false">SUMIF('Concrete Scenarios'!$B$6:$B$1005,A25,'Concrete Scenarios'!$O$6:$O$1005)</f>
        <v>2</v>
      </c>
      <c r="AB25" s="23" t="n">
        <f aca="false">SUMIF('Concrete Scenarios'!$B$6:$B$1005,A25,'Concrete Scenarios'!$S$6:$S$1005)/COUNTIF('Concrete Scenarios'!$B$6:$B$1005,A25)</f>
        <v>0.000217500255181663</v>
      </c>
      <c r="AC25" s="13" t="n">
        <f aca="false">I25*J25*AB25</f>
        <v>0</v>
      </c>
    </row>
    <row r="26" customFormat="false" ht="15" hidden="false" customHeight="false" outlineLevel="0" collapsed="false">
      <c r="A26" s="5" t="s">
        <v>158</v>
      </c>
      <c r="B26" s="5" t="s">
        <v>56</v>
      </c>
      <c r="C26" s="5" t="s">
        <v>62</v>
      </c>
      <c r="D26" s="5" t="s">
        <v>68</v>
      </c>
      <c r="E26" s="5" t="s">
        <v>92</v>
      </c>
      <c r="F26" s="21" t="n">
        <f aca="false">INDEX(Inputs!$B$15:$B$19,MATCH(B26,Inputs!$A$15:$A$19,0))</f>
        <v>0.05</v>
      </c>
      <c r="G26" s="21" t="n">
        <f aca="false">INDEX(Inputs!$B$23:$B$26,MATCH(C26,Inputs!$A$23:$A$26,0))</f>
        <v>0.35</v>
      </c>
      <c r="H26" s="21" t="n">
        <f aca="false">INDEX(Inputs!$B$30:$B$34,MATCH(D26,Inputs!$A$30:$A$34,0))</f>
        <v>0.45</v>
      </c>
      <c r="I26" s="22" t="n">
        <f aca="false">F26*G26*H26</f>
        <v>0.007875</v>
      </c>
      <c r="J26" s="23" t="n">
        <f aca="false">INDEX('HB Evidence'!$F$6:$F$25,MATCH(E26,'HB Evidence'!$A$6:$A$25,0))</f>
        <v>0.000333333333333333</v>
      </c>
      <c r="K26" s="23" t="n">
        <f aca="false">INDEX('HB Evidence'!$H$6:$H$25,MATCH(E26,'HB Evidence'!$A$6:$A$25,0))</f>
        <v>0.00339968442025883</v>
      </c>
      <c r="L26" s="16" t="n">
        <v>2000</v>
      </c>
      <c r="M26" s="16" t="n">
        <v>0</v>
      </c>
      <c r="N26" s="24" t="n">
        <f aca="false">M26/L26</f>
        <v>0</v>
      </c>
      <c r="O26" s="24" t="n">
        <f aca="false">IF(M26=L26,1,BETAINV(Inputs!$B$10,M26+1,L26-M26))</f>
        <v>0.00388404949945426</v>
      </c>
      <c r="P26" s="25" t="n">
        <v>0</v>
      </c>
      <c r="Q26" s="26" t="n">
        <v>0</v>
      </c>
      <c r="R26" s="13" t="n">
        <f aca="false">I26*J26*N26*P26</f>
        <v>0</v>
      </c>
      <c r="S26" s="13" t="n">
        <f aca="false">I26*K26*O26*P26</f>
        <v>0</v>
      </c>
      <c r="T26" s="15" t="n">
        <f aca="false">IF(Summary!$B$6&gt;0,R26/Summary!$B$6,0)</f>
        <v>0</v>
      </c>
      <c r="U26" s="13" t="n">
        <f aca="false">I26*K26</f>
        <v>2.67725148095383E-005</v>
      </c>
      <c r="V26" s="13" t="n">
        <f aca="false">I26*O26*P26</f>
        <v>0</v>
      </c>
      <c r="W26" s="18" t="n">
        <f aca="false">INDEX('HB Evidence'!$I$6:$I$25,MATCH(E26,'HB Evidence'!$A$6:$A$25,0))</f>
        <v>0.0004</v>
      </c>
      <c r="X26" s="18" t="n">
        <f aca="false">I26*W26*N26*P26</f>
        <v>0</v>
      </c>
      <c r="Y26" s="27" t="n">
        <f aca="false">SUMIF('Concrete Scenarios'!$B$6:$B$1005,A26,'Concrete Scenarios'!$N$6:$N$1005)</f>
        <v>8.97177883753358</v>
      </c>
      <c r="Z26" s="28" t="n">
        <f aca="false">IF(SUMIF('Concrete Scenarios'!$B$6:$B$1005,A26,'Concrete Scenarios'!$T$6:$T$1005)&gt;0,Y26^2/SUMIF('Concrete Scenarios'!$B$6:$B$1005,A26,'Concrete Scenarios'!$T$6:$T$1005),0)</f>
        <v>1.99751621877796</v>
      </c>
      <c r="AA26" s="29" t="n">
        <f aca="false">SUMIF('Concrete Scenarios'!$B$6:$B$1005,A26,'Concrete Scenarios'!$O$6:$O$1005)</f>
        <v>0</v>
      </c>
      <c r="AB26" s="23" t="n">
        <f aca="false">SUMIF('Concrete Scenarios'!$B$6:$B$1005,A26,'Concrete Scenarios'!$S$6:$S$1005)/COUNTIF('Concrete Scenarios'!$B$6:$B$1005,A26)</f>
        <v>0</v>
      </c>
      <c r="AC26" s="13" t="n">
        <f aca="false">I26*J26*AB26</f>
        <v>0</v>
      </c>
    </row>
    <row r="27" customFormat="false" ht="15" hidden="false" customHeight="false" outlineLevel="0" collapsed="false">
      <c r="A27" s="5" t="s">
        <v>159</v>
      </c>
      <c r="B27" s="5" t="s">
        <v>56</v>
      </c>
      <c r="C27" s="5" t="s">
        <v>62</v>
      </c>
      <c r="D27" s="5" t="s">
        <v>70</v>
      </c>
      <c r="E27" s="5" t="s">
        <v>92</v>
      </c>
      <c r="F27" s="21" t="n">
        <f aca="false">INDEX(Inputs!$B$15:$B$19,MATCH(B27,Inputs!$A$15:$A$19,0))</f>
        <v>0.05</v>
      </c>
      <c r="G27" s="21" t="n">
        <f aca="false">INDEX(Inputs!$B$23:$B$26,MATCH(C27,Inputs!$A$23:$A$26,0))</f>
        <v>0.35</v>
      </c>
      <c r="H27" s="21" t="n">
        <f aca="false">INDEX(Inputs!$B$30:$B$34,MATCH(D27,Inputs!$A$30:$A$34,0))</f>
        <v>0.2</v>
      </c>
      <c r="I27" s="22" t="n">
        <f aca="false">F27*G27*H27</f>
        <v>0.0035</v>
      </c>
      <c r="J27" s="23" t="n">
        <f aca="false">INDEX('HB Evidence'!$F$6:$F$25,MATCH(E27,'HB Evidence'!$A$6:$A$25,0))</f>
        <v>0.000333333333333333</v>
      </c>
      <c r="K27" s="23" t="n">
        <f aca="false">INDEX('HB Evidence'!$H$6:$H$25,MATCH(E27,'HB Evidence'!$A$6:$A$25,0))</f>
        <v>0.00339968442025883</v>
      </c>
      <c r="L27" s="16" t="n">
        <v>2000</v>
      </c>
      <c r="M27" s="16" t="n">
        <v>2</v>
      </c>
      <c r="N27" s="24" t="n">
        <f aca="false">M27/L27</f>
        <v>0.001</v>
      </c>
      <c r="O27" s="24" t="n">
        <f aca="false">IF(M27=L27,1,BETAINV(Inputs!$B$10,M27+1,L27-M27))</f>
        <v>0.00611737163154275</v>
      </c>
      <c r="P27" s="25" t="n">
        <v>0.019993</v>
      </c>
      <c r="Q27" s="26" t="n">
        <v>16.57</v>
      </c>
      <c r="R27" s="13" t="n">
        <f aca="false">I27*J27*N27*P27</f>
        <v>2.33251666666667E-011</v>
      </c>
      <c r="S27" s="13" t="n">
        <f aca="false">I27*K27*O27*P27</f>
        <v>1.45528978224904E-009</v>
      </c>
      <c r="T27" s="15" t="n">
        <f aca="false">IF(Summary!$B$6&gt;0,R27/Summary!$B$6,0)</f>
        <v>0.00112812523287619</v>
      </c>
      <c r="U27" s="13" t="n">
        <f aca="false">I27*K27</f>
        <v>1.18988954709059E-005</v>
      </c>
      <c r="V27" s="13" t="n">
        <f aca="false">I27*O27*P27</f>
        <v>4.2806613860302E-007</v>
      </c>
      <c r="W27" s="18" t="n">
        <f aca="false">INDEX('HB Evidence'!$I$6:$I$25,MATCH(E27,'HB Evidence'!$A$6:$A$25,0))</f>
        <v>0.0004</v>
      </c>
      <c r="X27" s="18" t="n">
        <f aca="false">I27*W27*N27*P27</f>
        <v>2.79902E-011</v>
      </c>
      <c r="Y27" s="27" t="n">
        <f aca="false">SUMIF('Concrete Scenarios'!$B$6:$B$1005,A27,'Concrete Scenarios'!$N$6:$N$1005)</f>
        <v>12.8756176044112</v>
      </c>
      <c r="Z27" s="28" t="n">
        <f aca="false">IF(SUMIF('Concrete Scenarios'!$B$6:$B$1005,A27,'Concrete Scenarios'!$T$6:$T$1005)&gt;0,Y27^2/SUMIF('Concrete Scenarios'!$B$6:$B$1005,A27,'Concrete Scenarios'!$T$6:$T$1005),0)</f>
        <v>6.83614931473873</v>
      </c>
      <c r="AA27" s="29" t="n">
        <f aca="false">SUMIF('Concrete Scenarios'!$B$6:$B$1005,A27,'Concrete Scenarios'!$O$6:$O$1005)</f>
        <v>0</v>
      </c>
      <c r="AB27" s="23" t="n">
        <f aca="false">SUMIF('Concrete Scenarios'!$B$6:$B$1005,A27,'Concrete Scenarios'!$S$6:$S$1005)/COUNTIF('Concrete Scenarios'!$B$6:$B$1005,A27)</f>
        <v>0</v>
      </c>
      <c r="AC27" s="13" t="n">
        <f aca="false">I27*J27*AB27</f>
        <v>0</v>
      </c>
    </row>
    <row r="28" customFormat="false" ht="15" hidden="false" customHeight="false" outlineLevel="0" collapsed="false">
      <c r="A28" s="5" t="s">
        <v>160</v>
      </c>
      <c r="B28" s="5" t="s">
        <v>56</v>
      </c>
      <c r="C28" s="5" t="s">
        <v>62</v>
      </c>
      <c r="D28" s="5" t="s">
        <v>71</v>
      </c>
      <c r="E28" s="5" t="s">
        <v>92</v>
      </c>
      <c r="F28" s="21" t="n">
        <f aca="false">INDEX(Inputs!$B$15:$B$19,MATCH(B28,Inputs!$A$15:$A$19,0))</f>
        <v>0.05</v>
      </c>
      <c r="G28" s="21" t="n">
        <f aca="false">INDEX(Inputs!$B$23:$B$26,MATCH(C28,Inputs!$A$23:$A$26,0))</f>
        <v>0.35</v>
      </c>
      <c r="H28" s="21" t="n">
        <f aca="false">INDEX(Inputs!$B$30:$B$34,MATCH(D28,Inputs!$A$30:$A$34,0))</f>
        <v>0.15</v>
      </c>
      <c r="I28" s="22" t="n">
        <f aca="false">F28*G28*H28</f>
        <v>0.002625</v>
      </c>
      <c r="J28" s="23" t="n">
        <f aca="false">INDEX('HB Evidence'!$F$6:$F$25,MATCH(E28,'HB Evidence'!$A$6:$A$25,0))</f>
        <v>0.000333333333333333</v>
      </c>
      <c r="K28" s="23" t="n">
        <f aca="false">INDEX('HB Evidence'!$H$6:$H$25,MATCH(E28,'HB Evidence'!$A$6:$A$25,0))</f>
        <v>0.00339968442025883</v>
      </c>
      <c r="L28" s="16" t="n">
        <v>2000</v>
      </c>
      <c r="M28" s="16" t="n">
        <v>19</v>
      </c>
      <c r="N28" s="24" t="n">
        <f aca="false">M28/L28</f>
        <v>0.0095</v>
      </c>
      <c r="O28" s="24" t="n">
        <f aca="false">IF(M28=L28,1,BETAINV(Inputs!$B$10,M28+1,L28-M28))</f>
        <v>0.0191043518325695</v>
      </c>
      <c r="P28" s="25" t="n">
        <v>0.01682</v>
      </c>
      <c r="Q28" s="26" t="n">
        <v>13.44</v>
      </c>
      <c r="R28" s="13" t="n">
        <f aca="false">I28*J28*N28*P28</f>
        <v>1.3981625E-010</v>
      </c>
      <c r="S28" s="13" t="n">
        <f aca="false">I28*K28*O28*P28</f>
        <v>2.86765044752137E-009</v>
      </c>
      <c r="T28" s="15" t="n">
        <f aca="false">IF(Summary!$B$6&gt;0,R28/Summary!$B$6,0)</f>
        <v>0.00676223419301581</v>
      </c>
      <c r="U28" s="13" t="n">
        <f aca="false">I28*K28</f>
        <v>8.92417160317943E-006</v>
      </c>
      <c r="V28" s="13" t="n">
        <f aca="false">I28*O28*P28</f>
        <v>8.43504894287525E-007</v>
      </c>
      <c r="W28" s="18" t="n">
        <f aca="false">INDEX('HB Evidence'!$I$6:$I$25,MATCH(E28,'HB Evidence'!$A$6:$A$25,0))</f>
        <v>0.0004</v>
      </c>
      <c r="X28" s="18" t="n">
        <f aca="false">I28*W28*N28*P28</f>
        <v>1.677795E-010</v>
      </c>
      <c r="Y28" s="27" t="n">
        <f aca="false">SUMIF('Concrete Scenarios'!$B$6:$B$1005,A28,'Concrete Scenarios'!$N$6:$N$1005)</f>
        <v>11.6126710092609</v>
      </c>
      <c r="Z28" s="28" t="n">
        <f aca="false">IF(SUMIF('Concrete Scenarios'!$B$6:$B$1005,A28,'Concrete Scenarios'!$T$6:$T$1005)&gt;0,Y28^2/SUMIF('Concrete Scenarios'!$B$6:$B$1005,A28,'Concrete Scenarios'!$T$6:$T$1005),0)</f>
        <v>4.03826823379882</v>
      </c>
      <c r="AA28" s="29" t="n">
        <f aca="false">SUMIF('Concrete Scenarios'!$B$6:$B$1005,A28,'Concrete Scenarios'!$O$6:$O$1005)</f>
        <v>2</v>
      </c>
      <c r="AB28" s="23" t="n">
        <f aca="false">SUMIF('Concrete Scenarios'!$B$6:$B$1005,A28,'Concrete Scenarios'!$S$6:$S$1005)/COUNTIF('Concrete Scenarios'!$B$6:$B$1005,A28)</f>
        <v>0.000241812954701009</v>
      </c>
      <c r="AC28" s="13" t="n">
        <f aca="false">I28*J28*AB28</f>
        <v>2.11586335363383E-010</v>
      </c>
    </row>
    <row r="29" customFormat="false" ht="15" hidden="false" customHeight="false" outlineLevel="0" collapsed="false">
      <c r="A29" s="5" t="s">
        <v>161</v>
      </c>
      <c r="B29" s="5" t="s">
        <v>56</v>
      </c>
      <c r="C29" s="5" t="s">
        <v>62</v>
      </c>
      <c r="D29" s="5" t="s">
        <v>72</v>
      </c>
      <c r="E29" s="5" t="s">
        <v>92</v>
      </c>
      <c r="F29" s="21" t="n">
        <f aca="false">INDEX(Inputs!$B$15:$B$19,MATCH(B29,Inputs!$A$15:$A$19,0))</f>
        <v>0.05</v>
      </c>
      <c r="G29" s="21" t="n">
        <f aca="false">INDEX(Inputs!$B$23:$B$26,MATCH(C29,Inputs!$A$23:$A$26,0))</f>
        <v>0.35</v>
      </c>
      <c r="H29" s="21" t="n">
        <f aca="false">INDEX(Inputs!$B$30:$B$34,MATCH(D29,Inputs!$A$30:$A$34,0))</f>
        <v>0.13</v>
      </c>
      <c r="I29" s="22" t="n">
        <f aca="false">F29*G29*H29</f>
        <v>0.002275</v>
      </c>
      <c r="J29" s="23" t="n">
        <f aca="false">INDEX('HB Evidence'!$F$6:$F$25,MATCH(E29,'HB Evidence'!$A$6:$A$25,0))</f>
        <v>0.000333333333333333</v>
      </c>
      <c r="K29" s="23" t="n">
        <f aca="false">INDEX('HB Evidence'!$H$6:$H$25,MATCH(E29,'HB Evidence'!$A$6:$A$25,0))</f>
        <v>0.00339968442025883</v>
      </c>
      <c r="L29" s="16" t="n">
        <v>2000</v>
      </c>
      <c r="M29" s="16" t="n">
        <v>120</v>
      </c>
      <c r="N29" s="24" t="n">
        <f aca="false">M29/L29</f>
        <v>0.06</v>
      </c>
      <c r="O29" s="24" t="n">
        <f aca="false">IF(M29=L29,1,BETAINV(Inputs!$B$10,M29+1,L29-M29))</f>
        <v>0.0797514882600245</v>
      </c>
      <c r="P29" s="25" t="n">
        <v>0.021122</v>
      </c>
      <c r="Q29" s="26" t="n">
        <v>15.13</v>
      </c>
      <c r="R29" s="13" t="n">
        <f aca="false">I29*J29*N29*P29</f>
        <v>9.61051E-010</v>
      </c>
      <c r="S29" s="13" t="n">
        <f aca="false">I29*K29*O29*P29</f>
        <v>1.30284826980743E-008</v>
      </c>
      <c r="T29" s="15" t="n">
        <f aca="false">IF(Summary!$B$6&gt;0,R29/Summary!$B$6,0)</f>
        <v>0.0464813777613978</v>
      </c>
      <c r="U29" s="13" t="n">
        <f aca="false">I29*K29</f>
        <v>7.73428205608884E-006</v>
      </c>
      <c r="V29" s="13" t="n">
        <f aca="false">I29*O29*P29</f>
        <v>3.83226237718924E-006</v>
      </c>
      <c r="W29" s="18" t="n">
        <f aca="false">INDEX('HB Evidence'!$I$6:$I$25,MATCH(E29,'HB Evidence'!$A$6:$A$25,0))</f>
        <v>0.0004</v>
      </c>
      <c r="X29" s="18" t="n">
        <f aca="false">I29*W29*N29*P29</f>
        <v>1.1532612E-009</v>
      </c>
      <c r="Y29" s="27" t="n">
        <f aca="false">SUMIF('Concrete Scenarios'!$B$6:$B$1005,A29,'Concrete Scenarios'!$N$6:$N$1005)</f>
        <v>7.39904078989972</v>
      </c>
      <c r="Z29" s="28" t="n">
        <f aca="false">IF(SUMIF('Concrete Scenarios'!$B$6:$B$1005,A29,'Concrete Scenarios'!$T$6:$T$1005)&gt;0,Y29^2/SUMIF('Concrete Scenarios'!$B$6:$B$1005,A29,'Concrete Scenarios'!$T$6:$T$1005),0)</f>
        <v>4.29189087873826</v>
      </c>
      <c r="AA29" s="29" t="n">
        <f aca="false">SUMIF('Concrete Scenarios'!$B$6:$B$1005,A29,'Concrete Scenarios'!$O$6:$O$1005)</f>
        <v>3</v>
      </c>
      <c r="AB29" s="23" t="n">
        <f aca="false">SUMIF('Concrete Scenarios'!$B$6:$B$1005,A29,'Concrete Scenarios'!$S$6:$S$1005)/COUNTIF('Concrete Scenarios'!$B$6:$B$1005,A29)</f>
        <v>0.000727845821165892</v>
      </c>
      <c r="AC29" s="13" t="n">
        <f aca="false">I29*J29*AB29</f>
        <v>5.51949747717468E-010</v>
      </c>
    </row>
    <row r="30" customFormat="false" ht="15" hidden="false" customHeight="false" outlineLevel="0" collapsed="false">
      <c r="A30" s="5" t="s">
        <v>162</v>
      </c>
      <c r="B30" s="5" t="s">
        <v>56</v>
      </c>
      <c r="C30" s="5" t="s">
        <v>62</v>
      </c>
      <c r="D30" s="5" t="s">
        <v>73</v>
      </c>
      <c r="E30" s="5" t="s">
        <v>92</v>
      </c>
      <c r="F30" s="21" t="n">
        <f aca="false">INDEX(Inputs!$B$15:$B$19,MATCH(B30,Inputs!$A$15:$A$19,0))</f>
        <v>0.05</v>
      </c>
      <c r="G30" s="21" t="n">
        <f aca="false">INDEX(Inputs!$B$23:$B$26,MATCH(C30,Inputs!$A$23:$A$26,0))</f>
        <v>0.35</v>
      </c>
      <c r="H30" s="21" t="n">
        <f aca="false">INDEX(Inputs!$B$30:$B$34,MATCH(D30,Inputs!$A$30:$A$34,0))</f>
        <v>0.07</v>
      </c>
      <c r="I30" s="22" t="n">
        <f aca="false">F30*G30*H30</f>
        <v>0.001225</v>
      </c>
      <c r="J30" s="23" t="n">
        <f aca="false">INDEX('HB Evidence'!$F$6:$F$25,MATCH(E30,'HB Evidence'!$A$6:$A$25,0))</f>
        <v>0.000333333333333333</v>
      </c>
      <c r="K30" s="23" t="n">
        <f aca="false">INDEX('HB Evidence'!$H$6:$H$25,MATCH(E30,'HB Evidence'!$A$6:$A$25,0))</f>
        <v>0.00339968442025883</v>
      </c>
      <c r="L30" s="16" t="n">
        <v>2000</v>
      </c>
      <c r="M30" s="16" t="n">
        <v>455</v>
      </c>
      <c r="N30" s="24" t="n">
        <f aca="false">M30/L30</f>
        <v>0.2275</v>
      </c>
      <c r="O30" s="24" t="n">
        <f aca="false">IF(M30=L30,1,BETAINV(Inputs!$B$10,M30+1,L30-M30))</f>
        <v>0.260103695731732</v>
      </c>
      <c r="P30" s="25" t="n">
        <v>0.019103</v>
      </c>
      <c r="Q30" s="26" t="n">
        <v>14.71</v>
      </c>
      <c r="R30" s="13" t="n">
        <f aca="false">I30*J30*N30*P30</f>
        <v>1.77458910416667E-009</v>
      </c>
      <c r="S30" s="13" t="n">
        <f aca="false">I30*K30*O30*P30</f>
        <v>2.06929682973397E-008</v>
      </c>
      <c r="T30" s="15" t="n">
        <f aca="false">IF(Summary!$B$6&gt;0,R30/Summary!$B$6,0)</f>
        <v>0.0858282718836267</v>
      </c>
      <c r="U30" s="13" t="n">
        <f aca="false">I30*K30</f>
        <v>4.16461341481707E-006</v>
      </c>
      <c r="V30" s="13" t="n">
        <f aca="false">I30*O30*P30</f>
        <v>6.08673210196501E-006</v>
      </c>
      <c r="W30" s="18" t="n">
        <f aca="false">INDEX('HB Evidence'!$I$6:$I$25,MATCH(E30,'HB Evidence'!$A$6:$A$25,0))</f>
        <v>0.0004</v>
      </c>
      <c r="X30" s="18" t="n">
        <f aca="false">I30*W30*N30*P30</f>
        <v>2.129506925E-009</v>
      </c>
      <c r="Y30" s="27" t="n">
        <f aca="false">SUMIF('Concrete Scenarios'!$B$6:$B$1005,A30,'Concrete Scenarios'!$N$6:$N$1005)</f>
        <v>16.8276666798134</v>
      </c>
      <c r="Z30" s="28" t="n">
        <f aca="false">IF(SUMIF('Concrete Scenarios'!$B$6:$B$1005,A30,'Concrete Scenarios'!$T$6:$T$1005)&gt;0,Y30^2/SUMIF('Concrete Scenarios'!$B$6:$B$1005,A30,'Concrete Scenarios'!$T$6:$T$1005),0)</f>
        <v>1.71415944157753</v>
      </c>
      <c r="AA30" s="29" t="n">
        <f aca="false">SUMIF('Concrete Scenarios'!$B$6:$B$1005,A30,'Concrete Scenarios'!$O$6:$O$1005)</f>
        <v>8</v>
      </c>
      <c r="AB30" s="23" t="n">
        <f aca="false">SUMIF('Concrete Scenarios'!$B$6:$B$1005,A30,'Concrete Scenarios'!$S$6:$S$1005)/COUNTIF('Concrete Scenarios'!$B$6:$B$1005,A30)</f>
        <v>0.0027075665126074</v>
      </c>
      <c r="AC30" s="13" t="n">
        <f aca="false">I30*J30*AB30</f>
        <v>1.10558965931469E-009</v>
      </c>
    </row>
    <row r="31" customFormat="false" ht="15" hidden="false" customHeight="false" outlineLevel="0" collapsed="false">
      <c r="A31" s="5" t="s">
        <v>163</v>
      </c>
      <c r="B31" s="5" t="s">
        <v>56</v>
      </c>
      <c r="C31" s="5" t="s">
        <v>64</v>
      </c>
      <c r="D31" s="5" t="s">
        <v>68</v>
      </c>
      <c r="E31" s="5" t="s">
        <v>93</v>
      </c>
      <c r="F31" s="21" t="n">
        <f aca="false">INDEX(Inputs!$B$15:$B$19,MATCH(B31,Inputs!$A$15:$A$19,0))</f>
        <v>0.05</v>
      </c>
      <c r="G31" s="21" t="n">
        <f aca="false">INDEX(Inputs!$B$23:$B$26,MATCH(C31,Inputs!$A$23:$A$26,0))</f>
        <v>0.4</v>
      </c>
      <c r="H31" s="21" t="n">
        <f aca="false">INDEX(Inputs!$B$30:$B$34,MATCH(D31,Inputs!$A$30:$A$34,0))</f>
        <v>0.45</v>
      </c>
      <c r="I31" s="22" t="n">
        <f aca="false">F31*G31*H31</f>
        <v>0.009</v>
      </c>
      <c r="J31" s="23" t="n">
        <f aca="false">INDEX('HB Evidence'!$F$6:$F$25,MATCH(E31,'HB Evidence'!$A$6:$A$25,0))</f>
        <v>0.00025</v>
      </c>
      <c r="K31" s="23" t="n">
        <f aca="false">INDEX('HB Evidence'!$H$6:$H$25,MATCH(E31,'HB Evidence'!$A$6:$A$25,0))</f>
        <v>0.00254976331519412</v>
      </c>
      <c r="L31" s="16" t="n">
        <v>2000</v>
      </c>
      <c r="M31" s="16" t="n">
        <v>0</v>
      </c>
      <c r="N31" s="24" t="n">
        <f aca="false">M31/L31</f>
        <v>0</v>
      </c>
      <c r="O31" s="24" t="n">
        <f aca="false">IF(M31=L31,1,BETAINV(Inputs!$B$10,M31+1,L31-M31))</f>
        <v>0.00388404949945426</v>
      </c>
      <c r="P31" s="25" t="n">
        <v>0</v>
      </c>
      <c r="Q31" s="26" t="n">
        <v>0</v>
      </c>
      <c r="R31" s="13" t="n">
        <f aca="false">I31*J31*N31*P31</f>
        <v>0</v>
      </c>
      <c r="S31" s="13" t="n">
        <f aca="false">I31*K31*O31*P31</f>
        <v>0</v>
      </c>
      <c r="T31" s="15" t="n">
        <f aca="false">IF(Summary!$B$6&gt;0,R31/Summary!$B$6,0)</f>
        <v>0</v>
      </c>
      <c r="U31" s="13" t="n">
        <f aca="false">I31*K31</f>
        <v>2.29478698367471E-005</v>
      </c>
      <c r="V31" s="13" t="n">
        <f aca="false">I31*O31*P31</f>
        <v>0</v>
      </c>
      <c r="W31" s="18" t="n">
        <f aca="false">INDEX('HB Evidence'!$I$6:$I$25,MATCH(E31,'HB Evidence'!$A$6:$A$25,0))</f>
        <v>0.0004</v>
      </c>
      <c r="X31" s="18" t="n">
        <f aca="false">I31*W31*N31*P31</f>
        <v>0</v>
      </c>
      <c r="Y31" s="27" t="n">
        <f aca="false">SUMIF('Concrete Scenarios'!$B$6:$B$1005,A31,'Concrete Scenarios'!$N$6:$N$1005)</f>
        <v>7.08795910722198</v>
      </c>
      <c r="Z31" s="28" t="n">
        <f aca="false">IF(SUMIF('Concrete Scenarios'!$B$6:$B$1005,A31,'Concrete Scenarios'!$T$6:$T$1005)&gt;0,Y31^2/SUMIF('Concrete Scenarios'!$B$6:$B$1005,A31,'Concrete Scenarios'!$T$6:$T$1005),0)</f>
        <v>5.12603225347287</v>
      </c>
      <c r="AA31" s="29" t="n">
        <f aca="false">SUMIF('Concrete Scenarios'!$B$6:$B$1005,A31,'Concrete Scenarios'!$O$6:$O$1005)</f>
        <v>0</v>
      </c>
      <c r="AB31" s="23" t="n">
        <f aca="false">SUMIF('Concrete Scenarios'!$B$6:$B$1005,A31,'Concrete Scenarios'!$S$6:$S$1005)/COUNTIF('Concrete Scenarios'!$B$6:$B$1005,A31)</f>
        <v>0</v>
      </c>
      <c r="AC31" s="13" t="n">
        <f aca="false">I31*J31*AB31</f>
        <v>0</v>
      </c>
    </row>
    <row r="32" customFormat="false" ht="15" hidden="false" customHeight="false" outlineLevel="0" collapsed="false">
      <c r="A32" s="5" t="s">
        <v>164</v>
      </c>
      <c r="B32" s="5" t="s">
        <v>56</v>
      </c>
      <c r="C32" s="5" t="s">
        <v>64</v>
      </c>
      <c r="D32" s="5" t="s">
        <v>70</v>
      </c>
      <c r="E32" s="5" t="s">
        <v>93</v>
      </c>
      <c r="F32" s="21" t="n">
        <f aca="false">INDEX(Inputs!$B$15:$B$19,MATCH(B32,Inputs!$A$15:$A$19,0))</f>
        <v>0.05</v>
      </c>
      <c r="G32" s="21" t="n">
        <f aca="false">INDEX(Inputs!$B$23:$B$26,MATCH(C32,Inputs!$A$23:$A$26,0))</f>
        <v>0.4</v>
      </c>
      <c r="H32" s="21" t="n">
        <f aca="false">INDEX(Inputs!$B$30:$B$34,MATCH(D32,Inputs!$A$30:$A$34,0))</f>
        <v>0.2</v>
      </c>
      <c r="I32" s="22" t="n">
        <f aca="false">F32*G32*H32</f>
        <v>0.004</v>
      </c>
      <c r="J32" s="23" t="n">
        <f aca="false">INDEX('HB Evidence'!$F$6:$F$25,MATCH(E32,'HB Evidence'!$A$6:$A$25,0))</f>
        <v>0.00025</v>
      </c>
      <c r="K32" s="23" t="n">
        <f aca="false">INDEX('HB Evidence'!$H$6:$H$25,MATCH(E32,'HB Evidence'!$A$6:$A$25,0))</f>
        <v>0.00254976331519412</v>
      </c>
      <c r="L32" s="16" t="n">
        <v>2000</v>
      </c>
      <c r="M32" s="16" t="n">
        <v>0</v>
      </c>
      <c r="N32" s="24" t="n">
        <f aca="false">M32/L32</f>
        <v>0</v>
      </c>
      <c r="O32" s="24" t="n">
        <f aca="false">IF(M32=L32,1,BETAINV(Inputs!$B$10,M32+1,L32-M32))</f>
        <v>0.00388404949945426</v>
      </c>
      <c r="P32" s="25" t="n">
        <v>0</v>
      </c>
      <c r="Q32" s="26" t="n">
        <v>0</v>
      </c>
      <c r="R32" s="13" t="n">
        <f aca="false">I32*J32*N32*P32</f>
        <v>0</v>
      </c>
      <c r="S32" s="13" t="n">
        <f aca="false">I32*K32*O32*P32</f>
        <v>0</v>
      </c>
      <c r="T32" s="15" t="n">
        <f aca="false">IF(Summary!$B$6&gt;0,R32/Summary!$B$6,0)</f>
        <v>0</v>
      </c>
      <c r="U32" s="13" t="n">
        <f aca="false">I32*K32</f>
        <v>1.01990532607765E-005</v>
      </c>
      <c r="V32" s="13" t="n">
        <f aca="false">I32*O32*P32</f>
        <v>0</v>
      </c>
      <c r="W32" s="18" t="n">
        <f aca="false">INDEX('HB Evidence'!$I$6:$I$25,MATCH(E32,'HB Evidence'!$A$6:$A$25,0))</f>
        <v>0.0004</v>
      </c>
      <c r="X32" s="18" t="n">
        <f aca="false">I32*W32*N32*P32</f>
        <v>0</v>
      </c>
      <c r="Y32" s="27" t="n">
        <f aca="false">SUMIF('Concrete Scenarios'!$B$6:$B$1005,A32,'Concrete Scenarios'!$N$6:$N$1005)</f>
        <v>14.9773686816827</v>
      </c>
      <c r="Z32" s="28" t="n">
        <f aca="false">IF(SUMIF('Concrete Scenarios'!$B$6:$B$1005,A32,'Concrete Scenarios'!$T$6:$T$1005)&gt;0,Y32^2/SUMIF('Concrete Scenarios'!$B$6:$B$1005,A32,'Concrete Scenarios'!$T$6:$T$1005),0)</f>
        <v>5.28004533321263</v>
      </c>
      <c r="AA32" s="29" t="n">
        <f aca="false">SUMIF('Concrete Scenarios'!$B$6:$B$1005,A32,'Concrete Scenarios'!$O$6:$O$1005)</f>
        <v>0</v>
      </c>
      <c r="AB32" s="23" t="n">
        <f aca="false">SUMIF('Concrete Scenarios'!$B$6:$B$1005,A32,'Concrete Scenarios'!$S$6:$S$1005)/COUNTIF('Concrete Scenarios'!$B$6:$B$1005,A32)</f>
        <v>0</v>
      </c>
      <c r="AC32" s="13" t="n">
        <f aca="false">I32*J32*AB32</f>
        <v>0</v>
      </c>
    </row>
    <row r="33" customFormat="false" ht="15" hidden="false" customHeight="false" outlineLevel="0" collapsed="false">
      <c r="A33" s="5" t="s">
        <v>165</v>
      </c>
      <c r="B33" s="5" t="s">
        <v>56</v>
      </c>
      <c r="C33" s="5" t="s">
        <v>64</v>
      </c>
      <c r="D33" s="5" t="s">
        <v>71</v>
      </c>
      <c r="E33" s="5" t="s">
        <v>93</v>
      </c>
      <c r="F33" s="21" t="n">
        <f aca="false">INDEX(Inputs!$B$15:$B$19,MATCH(B33,Inputs!$A$15:$A$19,0))</f>
        <v>0.05</v>
      </c>
      <c r="G33" s="21" t="n">
        <f aca="false">INDEX(Inputs!$B$23:$B$26,MATCH(C33,Inputs!$A$23:$A$26,0))</f>
        <v>0.4</v>
      </c>
      <c r="H33" s="21" t="n">
        <f aca="false">INDEX(Inputs!$B$30:$B$34,MATCH(D33,Inputs!$A$30:$A$34,0))</f>
        <v>0.15</v>
      </c>
      <c r="I33" s="22" t="n">
        <f aca="false">F33*G33*H33</f>
        <v>0.003</v>
      </c>
      <c r="J33" s="23" t="n">
        <f aca="false">INDEX('HB Evidence'!$F$6:$F$25,MATCH(E33,'HB Evidence'!$A$6:$A$25,0))</f>
        <v>0.00025</v>
      </c>
      <c r="K33" s="23" t="n">
        <f aca="false">INDEX('HB Evidence'!$H$6:$H$25,MATCH(E33,'HB Evidence'!$A$6:$A$25,0))</f>
        <v>0.00254976331519412</v>
      </c>
      <c r="L33" s="16" t="n">
        <v>2000</v>
      </c>
      <c r="M33" s="16" t="n">
        <v>8</v>
      </c>
      <c r="N33" s="24" t="n">
        <f aca="false">M33/L33</f>
        <v>0.004</v>
      </c>
      <c r="O33" s="24" t="n">
        <f aca="false">IF(M33=L33,1,BETAINV(Inputs!$B$10,M33+1,L33-M33))</f>
        <v>0.0112052408385336</v>
      </c>
      <c r="P33" s="25" t="n">
        <v>0.026586</v>
      </c>
      <c r="Q33" s="26" t="n">
        <v>17.14</v>
      </c>
      <c r="R33" s="13" t="n">
        <f aca="false">I33*J33*N33*P33</f>
        <v>7.9758E-011</v>
      </c>
      <c r="S33" s="13" t="n">
        <f aca="false">I33*K33*O33*P33</f>
        <v>2.27874284992987E-009</v>
      </c>
      <c r="T33" s="15" t="n">
        <f aca="false">IF(Summary!$B$6&gt;0,R33/Summary!$B$6,0)</f>
        <v>0.00385750779874696</v>
      </c>
      <c r="U33" s="13" t="n">
        <f aca="false">I33*K33</f>
        <v>7.64928994558237E-006</v>
      </c>
      <c r="V33" s="13" t="n">
        <f aca="false">I33*O33*P33</f>
        <v>8.93707598799764E-007</v>
      </c>
      <c r="W33" s="18" t="n">
        <f aca="false">INDEX('HB Evidence'!$I$6:$I$25,MATCH(E33,'HB Evidence'!$A$6:$A$25,0))</f>
        <v>0.0004</v>
      </c>
      <c r="X33" s="18" t="n">
        <f aca="false">I33*W33*N33*P33</f>
        <v>1.276128E-010</v>
      </c>
      <c r="Y33" s="27" t="n">
        <f aca="false">SUMIF('Concrete Scenarios'!$B$6:$B$1005,A33,'Concrete Scenarios'!$N$6:$N$1005)</f>
        <v>3.75756565020776</v>
      </c>
      <c r="Z33" s="28" t="n">
        <f aca="false">IF(SUMIF('Concrete Scenarios'!$B$6:$B$1005,A33,'Concrete Scenarios'!$T$6:$T$1005)&gt;0,Y33^2/SUMIF('Concrete Scenarios'!$B$6:$B$1005,A33,'Concrete Scenarios'!$T$6:$T$1005),0)</f>
        <v>4.6243448919905</v>
      </c>
      <c r="AA33" s="29" t="n">
        <f aca="false">SUMIF('Concrete Scenarios'!$B$6:$B$1005,A33,'Concrete Scenarios'!$O$6:$O$1005)</f>
        <v>1</v>
      </c>
      <c r="AB33" s="23" t="n">
        <f aca="false">SUMIF('Concrete Scenarios'!$B$6:$B$1005,A33,'Concrete Scenarios'!$S$6:$S$1005)/COUNTIF('Concrete Scenarios'!$B$6:$B$1005,A33)</f>
        <v>0.000401932712892623</v>
      </c>
      <c r="AC33" s="13" t="n">
        <f aca="false">I33*J33*AB33</f>
        <v>3.01449534669467E-010</v>
      </c>
    </row>
    <row r="34" customFormat="false" ht="15" hidden="false" customHeight="false" outlineLevel="0" collapsed="false">
      <c r="A34" s="5" t="s">
        <v>166</v>
      </c>
      <c r="B34" s="5" t="s">
        <v>56</v>
      </c>
      <c r="C34" s="5" t="s">
        <v>64</v>
      </c>
      <c r="D34" s="5" t="s">
        <v>72</v>
      </c>
      <c r="E34" s="5" t="s">
        <v>93</v>
      </c>
      <c r="F34" s="21" t="n">
        <f aca="false">INDEX(Inputs!$B$15:$B$19,MATCH(B34,Inputs!$A$15:$A$19,0))</f>
        <v>0.05</v>
      </c>
      <c r="G34" s="21" t="n">
        <f aca="false">INDEX(Inputs!$B$23:$B$26,MATCH(C34,Inputs!$A$23:$A$26,0))</f>
        <v>0.4</v>
      </c>
      <c r="H34" s="21" t="n">
        <f aca="false">INDEX(Inputs!$B$30:$B$34,MATCH(D34,Inputs!$A$30:$A$34,0))</f>
        <v>0.13</v>
      </c>
      <c r="I34" s="22" t="n">
        <f aca="false">F34*G34*H34</f>
        <v>0.0026</v>
      </c>
      <c r="J34" s="23" t="n">
        <f aca="false">INDEX('HB Evidence'!$F$6:$F$25,MATCH(E34,'HB Evidence'!$A$6:$A$25,0))</f>
        <v>0.00025</v>
      </c>
      <c r="K34" s="23" t="n">
        <f aca="false">INDEX('HB Evidence'!$H$6:$H$25,MATCH(E34,'HB Evidence'!$A$6:$A$25,0))</f>
        <v>0.00254976331519412</v>
      </c>
      <c r="L34" s="16" t="n">
        <v>2000</v>
      </c>
      <c r="M34" s="16" t="n">
        <v>36</v>
      </c>
      <c r="N34" s="24" t="n">
        <f aca="false">M34/L34</f>
        <v>0.018</v>
      </c>
      <c r="O34" s="24" t="n">
        <f aca="false">IF(M34=L34,1,BETAINV(Inputs!$B$10,M34+1,L34-M34))</f>
        <v>0.0301939508543803</v>
      </c>
      <c r="P34" s="25" t="n">
        <v>0.055566</v>
      </c>
      <c r="Q34" s="26" t="n">
        <v>18.41</v>
      </c>
      <c r="R34" s="13" t="n">
        <f aca="false">I34*J34*N34*P34</f>
        <v>6.501222E-010</v>
      </c>
      <c r="S34" s="13" t="n">
        <f aca="false">I34*K34*O34*P34</f>
        <v>1.11224969361682E-008</v>
      </c>
      <c r="T34" s="15" t="n">
        <f aca="false">IF(Summary!$B$6&gt;0,R34/Summary!$B$6,0)</f>
        <v>0.0314432590666583</v>
      </c>
      <c r="U34" s="13" t="n">
        <f aca="false">I34*K34</f>
        <v>6.62938461950473E-006</v>
      </c>
      <c r="V34" s="13" t="n">
        <f aca="false">I34*O34*P34</f>
        <v>4.36216839025368E-006</v>
      </c>
      <c r="W34" s="18" t="n">
        <f aca="false">INDEX('HB Evidence'!$I$6:$I$25,MATCH(E34,'HB Evidence'!$A$6:$A$25,0))</f>
        <v>0.0004</v>
      </c>
      <c r="X34" s="18" t="n">
        <f aca="false">I34*W34*N34*P34</f>
        <v>1.04019552E-009</v>
      </c>
      <c r="Y34" s="27" t="n">
        <f aca="false">SUMIF('Concrete Scenarios'!$B$6:$B$1005,A34,'Concrete Scenarios'!$N$6:$N$1005)</f>
        <v>6.77274622216448</v>
      </c>
      <c r="Z34" s="28" t="n">
        <f aca="false">IF(SUMIF('Concrete Scenarios'!$B$6:$B$1005,A34,'Concrete Scenarios'!$T$6:$T$1005)&gt;0,Y34^2/SUMIF('Concrete Scenarios'!$B$6:$B$1005,A34,'Concrete Scenarios'!$T$6:$T$1005),0)</f>
        <v>4.96226314301121</v>
      </c>
      <c r="AA34" s="29" t="n">
        <f aca="false">SUMIF('Concrete Scenarios'!$B$6:$B$1005,A34,'Concrete Scenarios'!$O$6:$O$1005)</f>
        <v>1</v>
      </c>
      <c r="AB34" s="23" t="n">
        <f aca="false">SUMIF('Concrete Scenarios'!$B$6:$B$1005,A34,'Concrete Scenarios'!$S$6:$S$1005)/COUNTIF('Concrete Scenarios'!$B$6:$B$1005,A34)</f>
        <v>0.000441482925938719</v>
      </c>
      <c r="AC34" s="13" t="n">
        <f aca="false">I34*J34*AB34</f>
        <v>2.86963901860168E-010</v>
      </c>
    </row>
    <row r="35" customFormat="false" ht="15" hidden="false" customHeight="false" outlineLevel="0" collapsed="false">
      <c r="A35" s="5" t="s">
        <v>167</v>
      </c>
      <c r="B35" s="5" t="s">
        <v>56</v>
      </c>
      <c r="C35" s="5" t="s">
        <v>64</v>
      </c>
      <c r="D35" s="5" t="s">
        <v>73</v>
      </c>
      <c r="E35" s="5" t="s">
        <v>93</v>
      </c>
      <c r="F35" s="21" t="n">
        <f aca="false">INDEX(Inputs!$B$15:$B$19,MATCH(B35,Inputs!$A$15:$A$19,0))</f>
        <v>0.05</v>
      </c>
      <c r="G35" s="21" t="n">
        <f aca="false">INDEX(Inputs!$B$23:$B$26,MATCH(C35,Inputs!$A$23:$A$26,0))</f>
        <v>0.4</v>
      </c>
      <c r="H35" s="21" t="n">
        <f aca="false">INDEX(Inputs!$B$30:$B$34,MATCH(D35,Inputs!$A$30:$A$34,0))</f>
        <v>0.07</v>
      </c>
      <c r="I35" s="22" t="n">
        <f aca="false">F35*G35*H35</f>
        <v>0.0014</v>
      </c>
      <c r="J35" s="23" t="n">
        <f aca="false">INDEX('HB Evidence'!$F$6:$F$25,MATCH(E35,'HB Evidence'!$A$6:$A$25,0))</f>
        <v>0.00025</v>
      </c>
      <c r="K35" s="23" t="n">
        <f aca="false">INDEX('HB Evidence'!$H$6:$H$25,MATCH(E35,'HB Evidence'!$A$6:$A$25,0))</f>
        <v>0.00254976331519412</v>
      </c>
      <c r="L35" s="16" t="n">
        <v>2000</v>
      </c>
      <c r="M35" s="16" t="n">
        <v>167</v>
      </c>
      <c r="N35" s="24" t="n">
        <f aca="false">M35/L35</f>
        <v>0.0835</v>
      </c>
      <c r="O35" s="24" t="n">
        <f aca="false">IF(M35=L35,1,BETAINV(Inputs!$B$10,M35+1,L35-M35))</f>
        <v>0.106064927145487</v>
      </c>
      <c r="P35" s="25" t="n">
        <v>0.03266</v>
      </c>
      <c r="Q35" s="26" t="n">
        <v>17.07</v>
      </c>
      <c r="R35" s="13" t="n">
        <f aca="false">I35*J35*N35*P35</f>
        <v>9.544885E-010</v>
      </c>
      <c r="S35" s="13" t="n">
        <f aca="false">I35*K35*O35*P35</f>
        <v>1.23656196051248E-008</v>
      </c>
      <c r="T35" s="15" t="n">
        <f aca="false">IF(Summary!$B$6&gt;0,R35/Summary!$B$6,0)</f>
        <v>0.0461639814509427</v>
      </c>
      <c r="U35" s="13" t="n">
        <f aca="false">I35*K35</f>
        <v>3.56966864127178E-006</v>
      </c>
      <c r="V35" s="13" t="n">
        <f aca="false">I35*O35*P35</f>
        <v>4.84971272880024E-006</v>
      </c>
      <c r="W35" s="18" t="n">
        <f aca="false">INDEX('HB Evidence'!$I$6:$I$25,MATCH(E35,'HB Evidence'!$A$6:$A$25,0))</f>
        <v>0.0004</v>
      </c>
      <c r="X35" s="18" t="n">
        <f aca="false">I35*W35*N35*P35</f>
        <v>1.5271816E-009</v>
      </c>
      <c r="Y35" s="27" t="n">
        <f aca="false">SUMIF('Concrete Scenarios'!$B$6:$B$1005,A35,'Concrete Scenarios'!$N$6:$N$1005)</f>
        <v>20.8062191393073</v>
      </c>
      <c r="Z35" s="28" t="n">
        <f aca="false">IF(SUMIF('Concrete Scenarios'!$B$6:$B$1005,A35,'Concrete Scenarios'!$T$6:$T$1005)&gt;0,Y35^2/SUMIF('Concrete Scenarios'!$B$6:$B$1005,A35,'Concrete Scenarios'!$T$6:$T$1005),0)</f>
        <v>1.93514088157583</v>
      </c>
      <c r="AA35" s="29" t="n">
        <f aca="false">SUMIF('Concrete Scenarios'!$B$6:$B$1005,A35,'Concrete Scenarios'!$O$6:$O$1005)</f>
        <v>3</v>
      </c>
      <c r="AB35" s="23" t="n">
        <f aca="false">SUMIF('Concrete Scenarios'!$B$6:$B$1005,A35,'Concrete Scenarios'!$S$6:$S$1005)/COUNTIF('Concrete Scenarios'!$B$6:$B$1005,A35)</f>
        <v>0.00355038591230054</v>
      </c>
      <c r="AC35" s="13" t="n">
        <f aca="false">I35*J35*AB35</f>
        <v>1.24263506930519E-009</v>
      </c>
    </row>
    <row r="36" customFormat="false" ht="15" hidden="false" customHeight="false" outlineLevel="0" collapsed="false">
      <c r="A36" s="5" t="s">
        <v>168</v>
      </c>
      <c r="B36" s="5" t="s">
        <v>56</v>
      </c>
      <c r="C36" s="5" t="s">
        <v>65</v>
      </c>
      <c r="D36" s="5" t="s">
        <v>68</v>
      </c>
      <c r="E36" s="5" t="s">
        <v>94</v>
      </c>
      <c r="F36" s="21" t="n">
        <f aca="false">INDEX(Inputs!$B$15:$B$19,MATCH(B36,Inputs!$A$15:$A$19,0))</f>
        <v>0.05</v>
      </c>
      <c r="G36" s="21" t="n">
        <f aca="false">INDEX(Inputs!$B$23:$B$26,MATCH(C36,Inputs!$A$23:$A$26,0))</f>
        <v>0.15</v>
      </c>
      <c r="H36" s="21" t="n">
        <f aca="false">INDEX(Inputs!$B$30:$B$34,MATCH(D36,Inputs!$A$30:$A$34,0))</f>
        <v>0.45</v>
      </c>
      <c r="I36" s="22" t="n">
        <f aca="false">F36*G36*H36</f>
        <v>0.003375</v>
      </c>
      <c r="J36" s="23" t="n">
        <f aca="false">INDEX('HB Evidence'!$F$6:$F$25,MATCH(E36,'HB Evidence'!$A$6:$A$25,0))</f>
        <v>0.0004</v>
      </c>
      <c r="K36" s="23" t="n">
        <f aca="false">INDEX('HB Evidence'!$H$6:$H$25,MATCH(E36,'HB Evidence'!$A$6:$A$25,0))</f>
        <v>0.0040796213043106</v>
      </c>
      <c r="L36" s="16" t="n">
        <v>2000</v>
      </c>
      <c r="M36" s="16" t="n">
        <v>0</v>
      </c>
      <c r="N36" s="24" t="n">
        <f aca="false">M36/L36</f>
        <v>0</v>
      </c>
      <c r="O36" s="24" t="n">
        <f aca="false">IF(M36=L36,1,BETAINV(Inputs!$B$10,M36+1,L36-M36))</f>
        <v>0.00388404949945426</v>
      </c>
      <c r="P36" s="25" t="n">
        <v>0</v>
      </c>
      <c r="Q36" s="26" t="n">
        <v>0</v>
      </c>
      <c r="R36" s="13" t="n">
        <f aca="false">I36*J36*N36*P36</f>
        <v>0</v>
      </c>
      <c r="S36" s="13" t="n">
        <f aca="false">I36*K36*O36*P36</f>
        <v>0</v>
      </c>
      <c r="T36" s="15" t="n">
        <f aca="false">IF(Summary!$B$6&gt;0,R36/Summary!$B$6,0)</f>
        <v>0</v>
      </c>
      <c r="U36" s="13" t="n">
        <f aca="false">I36*K36</f>
        <v>1.37687219020483E-005</v>
      </c>
      <c r="V36" s="13" t="n">
        <f aca="false">I36*O36*P36</f>
        <v>0</v>
      </c>
      <c r="W36" s="18" t="n">
        <f aca="false">INDEX('HB Evidence'!$I$6:$I$25,MATCH(E36,'HB Evidence'!$A$6:$A$25,0))</f>
        <v>0.00048</v>
      </c>
      <c r="X36" s="18" t="n">
        <f aca="false">I36*W36*N36*P36</f>
        <v>0</v>
      </c>
      <c r="Y36" s="27" t="n">
        <f aca="false">SUMIF('Concrete Scenarios'!$B$6:$B$1005,A36,'Concrete Scenarios'!$N$6:$N$1005)</f>
        <v>6.99521012681021</v>
      </c>
      <c r="Z36" s="28" t="n">
        <f aca="false">IF(SUMIF('Concrete Scenarios'!$B$6:$B$1005,A36,'Concrete Scenarios'!$T$6:$T$1005)&gt;0,Y36^2/SUMIF('Concrete Scenarios'!$B$6:$B$1005,A36,'Concrete Scenarios'!$T$6:$T$1005),0)</f>
        <v>5.32555435285179</v>
      </c>
      <c r="AA36" s="29" t="n">
        <f aca="false">SUMIF('Concrete Scenarios'!$B$6:$B$1005,A36,'Concrete Scenarios'!$O$6:$O$1005)</f>
        <v>0</v>
      </c>
      <c r="AB36" s="23" t="n">
        <f aca="false">SUMIF('Concrete Scenarios'!$B$6:$B$1005,A36,'Concrete Scenarios'!$S$6:$S$1005)/COUNTIF('Concrete Scenarios'!$B$6:$B$1005,A36)</f>
        <v>0</v>
      </c>
      <c r="AC36" s="13" t="n">
        <f aca="false">I36*J36*AB36</f>
        <v>0</v>
      </c>
    </row>
    <row r="37" customFormat="false" ht="15" hidden="false" customHeight="false" outlineLevel="0" collapsed="false">
      <c r="A37" s="5" t="s">
        <v>169</v>
      </c>
      <c r="B37" s="5" t="s">
        <v>56</v>
      </c>
      <c r="C37" s="5" t="s">
        <v>65</v>
      </c>
      <c r="D37" s="5" t="s">
        <v>70</v>
      </c>
      <c r="E37" s="5" t="s">
        <v>94</v>
      </c>
      <c r="F37" s="21" t="n">
        <f aca="false">INDEX(Inputs!$B$15:$B$19,MATCH(B37,Inputs!$A$15:$A$19,0))</f>
        <v>0.05</v>
      </c>
      <c r="G37" s="21" t="n">
        <f aca="false">INDEX(Inputs!$B$23:$B$26,MATCH(C37,Inputs!$A$23:$A$26,0))</f>
        <v>0.15</v>
      </c>
      <c r="H37" s="21" t="n">
        <f aca="false">INDEX(Inputs!$B$30:$B$34,MATCH(D37,Inputs!$A$30:$A$34,0))</f>
        <v>0.2</v>
      </c>
      <c r="I37" s="22" t="n">
        <f aca="false">F37*G37*H37</f>
        <v>0.0015</v>
      </c>
      <c r="J37" s="23" t="n">
        <f aca="false">INDEX('HB Evidence'!$F$6:$F$25,MATCH(E37,'HB Evidence'!$A$6:$A$25,0))</f>
        <v>0.0004</v>
      </c>
      <c r="K37" s="23" t="n">
        <f aca="false">INDEX('HB Evidence'!$H$6:$H$25,MATCH(E37,'HB Evidence'!$A$6:$A$25,0))</f>
        <v>0.0040796213043106</v>
      </c>
      <c r="L37" s="16" t="n">
        <v>2000</v>
      </c>
      <c r="M37" s="16" t="n">
        <v>0</v>
      </c>
      <c r="N37" s="24" t="n">
        <f aca="false">M37/L37</f>
        <v>0</v>
      </c>
      <c r="O37" s="24" t="n">
        <f aca="false">IF(M37=L37,1,BETAINV(Inputs!$B$10,M37+1,L37-M37))</f>
        <v>0.00388404949945426</v>
      </c>
      <c r="P37" s="25" t="n">
        <v>0</v>
      </c>
      <c r="Q37" s="26" t="n">
        <v>0</v>
      </c>
      <c r="R37" s="13" t="n">
        <f aca="false">I37*J37*N37*P37</f>
        <v>0</v>
      </c>
      <c r="S37" s="13" t="n">
        <f aca="false">I37*K37*O37*P37</f>
        <v>0</v>
      </c>
      <c r="T37" s="15" t="n">
        <f aca="false">IF(Summary!$B$6&gt;0,R37/Summary!$B$6,0)</f>
        <v>0</v>
      </c>
      <c r="U37" s="13" t="n">
        <f aca="false">I37*K37</f>
        <v>6.1194319564659E-006</v>
      </c>
      <c r="V37" s="13" t="n">
        <f aca="false">I37*O37*P37</f>
        <v>0</v>
      </c>
      <c r="W37" s="18" t="n">
        <f aca="false">INDEX('HB Evidence'!$I$6:$I$25,MATCH(E37,'HB Evidence'!$A$6:$A$25,0))</f>
        <v>0.00048</v>
      </c>
      <c r="X37" s="18" t="n">
        <f aca="false">I37*W37*N37*P37</f>
        <v>0</v>
      </c>
      <c r="Y37" s="27" t="n">
        <f aca="false">SUMIF('Concrete Scenarios'!$B$6:$B$1005,A37,'Concrete Scenarios'!$N$6:$N$1005)</f>
        <v>14.6789364320568</v>
      </c>
      <c r="Z37" s="28" t="n">
        <f aca="false">IF(SUMIF('Concrete Scenarios'!$B$6:$B$1005,A37,'Concrete Scenarios'!$T$6:$T$1005)&gt;0,Y37^2/SUMIF('Concrete Scenarios'!$B$6:$B$1005,A37,'Concrete Scenarios'!$T$6:$T$1005),0)</f>
        <v>4.22279987543976</v>
      </c>
      <c r="AA37" s="29" t="n">
        <f aca="false">SUMIF('Concrete Scenarios'!$B$6:$B$1005,A37,'Concrete Scenarios'!$O$6:$O$1005)</f>
        <v>0</v>
      </c>
      <c r="AB37" s="23" t="n">
        <f aca="false">SUMIF('Concrete Scenarios'!$B$6:$B$1005,A37,'Concrete Scenarios'!$S$6:$S$1005)/COUNTIF('Concrete Scenarios'!$B$6:$B$1005,A37)</f>
        <v>0</v>
      </c>
      <c r="AC37" s="13" t="n">
        <f aca="false">I37*J37*AB37</f>
        <v>0</v>
      </c>
    </row>
    <row r="38" customFormat="false" ht="15" hidden="false" customHeight="false" outlineLevel="0" collapsed="false">
      <c r="A38" s="5" t="s">
        <v>170</v>
      </c>
      <c r="B38" s="5" t="s">
        <v>56</v>
      </c>
      <c r="C38" s="5" t="s">
        <v>65</v>
      </c>
      <c r="D38" s="5" t="s">
        <v>71</v>
      </c>
      <c r="E38" s="5" t="s">
        <v>94</v>
      </c>
      <c r="F38" s="21" t="n">
        <f aca="false">INDEX(Inputs!$B$15:$B$19,MATCH(B38,Inputs!$A$15:$A$19,0))</f>
        <v>0.05</v>
      </c>
      <c r="G38" s="21" t="n">
        <f aca="false">INDEX(Inputs!$B$23:$B$26,MATCH(C38,Inputs!$A$23:$A$26,0))</f>
        <v>0.15</v>
      </c>
      <c r="H38" s="21" t="n">
        <f aca="false">INDEX(Inputs!$B$30:$B$34,MATCH(D38,Inputs!$A$30:$A$34,0))</f>
        <v>0.15</v>
      </c>
      <c r="I38" s="22" t="n">
        <f aca="false">F38*G38*H38</f>
        <v>0.001125</v>
      </c>
      <c r="J38" s="23" t="n">
        <f aca="false">INDEX('HB Evidence'!$F$6:$F$25,MATCH(E38,'HB Evidence'!$A$6:$A$25,0))</f>
        <v>0.0004</v>
      </c>
      <c r="K38" s="23" t="n">
        <f aca="false">INDEX('HB Evidence'!$H$6:$H$25,MATCH(E38,'HB Evidence'!$A$6:$A$25,0))</f>
        <v>0.0040796213043106</v>
      </c>
      <c r="L38" s="16" t="n">
        <v>2000</v>
      </c>
      <c r="M38" s="16" t="n">
        <v>1</v>
      </c>
      <c r="N38" s="24" t="n">
        <f aca="false">M38/L38</f>
        <v>0.0005</v>
      </c>
      <c r="O38" s="24" t="n">
        <f aca="false">IF(M38=L38,1,BETAINV(Inputs!$B$10,M38+1,L38-M38))</f>
        <v>0.00508781553003008</v>
      </c>
      <c r="P38" s="25" t="n">
        <v>0.063916</v>
      </c>
      <c r="Q38" s="26" t="n">
        <v>26.21</v>
      </c>
      <c r="R38" s="13" t="n">
        <f aca="false">I38*J38*N38*P38</f>
        <v>1.43811E-011</v>
      </c>
      <c r="S38" s="13" t="n">
        <f aca="false">I38*K38*O38*P38</f>
        <v>1.49249648918793E-009</v>
      </c>
      <c r="T38" s="15" t="n">
        <f aca="false">IF(Summary!$B$6&gt;0,R38/Summary!$B$6,0)</f>
        <v>0.000695544088424483</v>
      </c>
      <c r="U38" s="13" t="n">
        <f aca="false">I38*K38</f>
        <v>4.58957396734942E-006</v>
      </c>
      <c r="V38" s="13" t="n">
        <f aca="false">I38*O38*P38</f>
        <v>3.65841919594578E-007</v>
      </c>
      <c r="W38" s="18" t="n">
        <f aca="false">INDEX('HB Evidence'!$I$6:$I$25,MATCH(E38,'HB Evidence'!$A$6:$A$25,0))</f>
        <v>0.00048</v>
      </c>
      <c r="X38" s="18" t="n">
        <f aca="false">I38*W38*N38*P38</f>
        <v>1.725732E-011</v>
      </c>
      <c r="Y38" s="27" t="n">
        <f aca="false">SUMIF('Concrete Scenarios'!$B$6:$B$1005,A38,'Concrete Scenarios'!$N$6:$N$1005)</f>
        <v>7.15322834080938</v>
      </c>
      <c r="Z38" s="28" t="n">
        <f aca="false">IF(SUMIF('Concrete Scenarios'!$B$6:$B$1005,A38,'Concrete Scenarios'!$T$6:$T$1005)&gt;0,Y38^2/SUMIF('Concrete Scenarios'!$B$6:$B$1005,A38,'Concrete Scenarios'!$T$6:$T$1005),0)</f>
        <v>2.07693081998859</v>
      </c>
      <c r="AA38" s="29" t="n">
        <f aca="false">SUMIF('Concrete Scenarios'!$B$6:$B$1005,A38,'Concrete Scenarios'!$O$6:$O$1005)</f>
        <v>1</v>
      </c>
      <c r="AB38" s="23" t="n">
        <f aca="false">SUMIF('Concrete Scenarios'!$B$6:$B$1005,A38,'Concrete Scenarios'!$S$6:$S$1005)/COUNTIF('Concrete Scenarios'!$B$6:$B$1005,A38)</f>
        <v>5.66910461540721E-005</v>
      </c>
      <c r="AC38" s="13" t="n">
        <f aca="false">I38*J38*AB38</f>
        <v>2.55109707693325E-011</v>
      </c>
    </row>
    <row r="39" customFormat="false" ht="15" hidden="false" customHeight="false" outlineLevel="0" collapsed="false">
      <c r="A39" s="5" t="s">
        <v>171</v>
      </c>
      <c r="B39" s="5" t="s">
        <v>56</v>
      </c>
      <c r="C39" s="5" t="s">
        <v>65</v>
      </c>
      <c r="D39" s="5" t="s">
        <v>72</v>
      </c>
      <c r="E39" s="5" t="s">
        <v>94</v>
      </c>
      <c r="F39" s="21" t="n">
        <f aca="false">INDEX(Inputs!$B$15:$B$19,MATCH(B39,Inputs!$A$15:$A$19,0))</f>
        <v>0.05</v>
      </c>
      <c r="G39" s="21" t="n">
        <f aca="false">INDEX(Inputs!$B$23:$B$26,MATCH(C39,Inputs!$A$23:$A$26,0))</f>
        <v>0.15</v>
      </c>
      <c r="H39" s="21" t="n">
        <f aca="false">INDEX(Inputs!$B$30:$B$34,MATCH(D39,Inputs!$A$30:$A$34,0))</f>
        <v>0.13</v>
      </c>
      <c r="I39" s="22" t="n">
        <f aca="false">F39*G39*H39</f>
        <v>0.000975</v>
      </c>
      <c r="J39" s="23" t="n">
        <f aca="false">INDEX('HB Evidence'!$F$6:$F$25,MATCH(E39,'HB Evidence'!$A$6:$A$25,0))</f>
        <v>0.0004</v>
      </c>
      <c r="K39" s="23" t="n">
        <f aca="false">INDEX('HB Evidence'!$H$6:$H$25,MATCH(E39,'HB Evidence'!$A$6:$A$25,0))</f>
        <v>0.0040796213043106</v>
      </c>
      <c r="L39" s="16" t="n">
        <v>2000</v>
      </c>
      <c r="M39" s="16" t="n">
        <v>7</v>
      </c>
      <c r="N39" s="24" t="n">
        <f aca="false">M39/L39</f>
        <v>0.0035</v>
      </c>
      <c r="O39" s="24" t="n">
        <f aca="false">IF(M39=L39,1,BETAINV(Inputs!$B$10,M39+1,L39-M39))</f>
        <v>0.0104239949167629</v>
      </c>
      <c r="P39" s="25" t="n">
        <v>0.026435</v>
      </c>
      <c r="Q39" s="26" t="n">
        <v>16.32</v>
      </c>
      <c r="R39" s="13" t="n">
        <f aca="false">I39*J39*N39*P39</f>
        <v>3.6083775E-011</v>
      </c>
      <c r="S39" s="13" t="n">
        <f aca="false">I39*K39*O39*P39</f>
        <v>1.09606919585082E-009</v>
      </c>
      <c r="T39" s="15" t="n">
        <f aca="false">IF(Summary!$B$6&gt;0,R39/Summary!$B$6,0)</f>
        <v>0.00174519726511109</v>
      </c>
      <c r="U39" s="13" t="n">
        <f aca="false">I39*K39</f>
        <v>3.97763077170283E-006</v>
      </c>
      <c r="V39" s="13" t="n">
        <f aca="false">I39*O39*P39</f>
        <v>2.68669347984013E-007</v>
      </c>
      <c r="W39" s="18" t="n">
        <f aca="false">INDEX('HB Evidence'!$I$6:$I$25,MATCH(E39,'HB Evidence'!$A$6:$A$25,0))</f>
        <v>0.00048</v>
      </c>
      <c r="X39" s="18" t="n">
        <f aca="false">I39*W39*N39*P39</f>
        <v>4.330053E-011</v>
      </c>
      <c r="Y39" s="27" t="n">
        <f aca="false">SUMIF('Concrete Scenarios'!$B$6:$B$1005,A39,'Concrete Scenarios'!$N$6:$N$1005)</f>
        <v>11.9929863091466</v>
      </c>
      <c r="Z39" s="28" t="n">
        <f aca="false">IF(SUMIF('Concrete Scenarios'!$B$6:$B$1005,A39,'Concrete Scenarios'!$T$6:$T$1005)&gt;0,Y39^2/SUMIF('Concrete Scenarios'!$B$6:$B$1005,A39,'Concrete Scenarios'!$T$6:$T$1005),0)</f>
        <v>4.74677419742143</v>
      </c>
      <c r="AA39" s="29" t="n">
        <f aca="false">SUMIF('Concrete Scenarios'!$B$6:$B$1005,A39,'Concrete Scenarios'!$O$6:$O$1005)</f>
        <v>1</v>
      </c>
      <c r="AB39" s="23" t="n">
        <f aca="false">SUMIF('Concrete Scenarios'!$B$6:$B$1005,A39,'Concrete Scenarios'!$S$6:$S$1005)/COUNTIF('Concrete Scenarios'!$B$6:$B$1005,A39)</f>
        <v>8.5624242548145E-005</v>
      </c>
      <c r="AC39" s="13" t="n">
        <f aca="false">I39*J39*AB39</f>
        <v>3.33934545937765E-011</v>
      </c>
    </row>
    <row r="40" customFormat="false" ht="15" hidden="false" customHeight="false" outlineLevel="0" collapsed="false">
      <c r="A40" s="5" t="s">
        <v>172</v>
      </c>
      <c r="B40" s="5" t="s">
        <v>56</v>
      </c>
      <c r="C40" s="5" t="s">
        <v>65</v>
      </c>
      <c r="D40" s="5" t="s">
        <v>73</v>
      </c>
      <c r="E40" s="5" t="s">
        <v>94</v>
      </c>
      <c r="F40" s="21" t="n">
        <f aca="false">INDEX(Inputs!$B$15:$B$19,MATCH(B40,Inputs!$A$15:$A$19,0))</f>
        <v>0.05</v>
      </c>
      <c r="G40" s="21" t="n">
        <f aca="false">INDEX(Inputs!$B$23:$B$26,MATCH(C40,Inputs!$A$23:$A$26,0))</f>
        <v>0.15</v>
      </c>
      <c r="H40" s="21" t="n">
        <f aca="false">INDEX(Inputs!$B$30:$B$34,MATCH(D40,Inputs!$A$30:$A$34,0))</f>
        <v>0.07</v>
      </c>
      <c r="I40" s="22" t="n">
        <f aca="false">F40*G40*H40</f>
        <v>0.000525</v>
      </c>
      <c r="J40" s="23" t="n">
        <f aca="false">INDEX('HB Evidence'!$F$6:$F$25,MATCH(E40,'HB Evidence'!$A$6:$A$25,0))</f>
        <v>0.0004</v>
      </c>
      <c r="K40" s="23" t="n">
        <f aca="false">INDEX('HB Evidence'!$H$6:$H$25,MATCH(E40,'HB Evidence'!$A$6:$A$25,0))</f>
        <v>0.0040796213043106</v>
      </c>
      <c r="L40" s="16" t="n">
        <v>2000</v>
      </c>
      <c r="M40" s="16" t="n">
        <v>67</v>
      </c>
      <c r="N40" s="24" t="n">
        <f aca="false">M40/L40</f>
        <v>0.0335</v>
      </c>
      <c r="O40" s="24" t="n">
        <f aca="false">IF(M40=L40,1,BETAINV(Inputs!$B$10,M40+1,L40-M40))</f>
        <v>0.049094382272623</v>
      </c>
      <c r="P40" s="25" t="n">
        <v>0.042468</v>
      </c>
      <c r="Q40" s="26" t="n">
        <v>19.04</v>
      </c>
      <c r="R40" s="13" t="n">
        <f aca="false">I40*J40*N40*P40</f>
        <v>2.9876238E-010</v>
      </c>
      <c r="S40" s="13" t="n">
        <f aca="false">I40*K40*O40*P40</f>
        <v>4.46552744696464E-009</v>
      </c>
      <c r="T40" s="15" t="n">
        <f aca="false">IF(Summary!$B$6&gt;0,R40/Summary!$B$6,0)</f>
        <v>0.0144496879413</v>
      </c>
      <c r="U40" s="13" t="n">
        <f aca="false">I40*K40</f>
        <v>2.14180118476306E-006</v>
      </c>
      <c r="V40" s="13" t="n">
        <f aca="false">I40*O40*P40</f>
        <v>1.09459361883572E-006</v>
      </c>
      <c r="W40" s="18" t="n">
        <f aca="false">INDEX('HB Evidence'!$I$6:$I$25,MATCH(E40,'HB Evidence'!$A$6:$A$25,0))</f>
        <v>0.00048</v>
      </c>
      <c r="X40" s="18" t="n">
        <f aca="false">I40*W40*N40*P40</f>
        <v>3.58514856E-010</v>
      </c>
      <c r="Y40" s="27" t="n">
        <f aca="false">SUMIF('Concrete Scenarios'!$B$6:$B$1005,A40,'Concrete Scenarios'!$N$6:$N$1005)</f>
        <v>73.2472572484404</v>
      </c>
      <c r="Z40" s="28" t="n">
        <f aca="false">IF(SUMIF('Concrete Scenarios'!$B$6:$B$1005,A40,'Concrete Scenarios'!$T$6:$T$1005)&gt;0,Y40^2/SUMIF('Concrete Scenarios'!$B$6:$B$1005,A40,'Concrete Scenarios'!$T$6:$T$1005),0)</f>
        <v>1.18540271549203</v>
      </c>
      <c r="AA40" s="29" t="n">
        <f aca="false">SUMIF('Concrete Scenarios'!$B$6:$B$1005,A40,'Concrete Scenarios'!$O$6:$O$1005)</f>
        <v>1</v>
      </c>
      <c r="AB40" s="23" t="n">
        <f aca="false">SUMIF('Concrete Scenarios'!$B$6:$B$1005,A40,'Concrete Scenarios'!$S$6:$S$1005)/COUNTIF('Concrete Scenarios'!$B$6:$B$1005,A40)</f>
        <v>0.000298094514570131</v>
      </c>
      <c r="AC40" s="13" t="n">
        <f aca="false">I40*J40*AB40</f>
        <v>6.25998480597276E-011</v>
      </c>
    </row>
    <row r="41" customFormat="false" ht="15" hidden="false" customHeight="false" outlineLevel="0" collapsed="false">
      <c r="A41" s="5" t="s">
        <v>173</v>
      </c>
      <c r="B41" s="5" t="s">
        <v>56</v>
      </c>
      <c r="C41" s="5" t="s">
        <v>66</v>
      </c>
      <c r="D41" s="5" t="s">
        <v>68</v>
      </c>
      <c r="E41" s="5" t="s">
        <v>95</v>
      </c>
      <c r="F41" s="21" t="n">
        <f aca="false">INDEX(Inputs!$B$15:$B$19,MATCH(B41,Inputs!$A$15:$A$19,0))</f>
        <v>0.05</v>
      </c>
      <c r="G41" s="21" t="n">
        <f aca="false">INDEX(Inputs!$B$23:$B$26,MATCH(C41,Inputs!$A$23:$A$26,0))</f>
        <v>0.1</v>
      </c>
      <c r="H41" s="21" t="n">
        <f aca="false">INDEX(Inputs!$B$30:$B$34,MATCH(D41,Inputs!$A$30:$A$34,0))</f>
        <v>0.45</v>
      </c>
      <c r="I41" s="22" t="n">
        <f aca="false">F41*G41*H41</f>
        <v>0.00225</v>
      </c>
      <c r="J41" s="23" t="n">
        <f aca="false">INDEX('HB Evidence'!$F$6:$F$25,MATCH(E41,'HB Evidence'!$A$6:$A$25,0))</f>
        <v>0.002</v>
      </c>
      <c r="K41" s="23" t="n">
        <f aca="false">INDEX('HB Evidence'!$H$6:$H$25,MATCH(E41,'HB Evidence'!$A$6:$A$25,0))</f>
        <v>0.0079741032346939</v>
      </c>
      <c r="L41" s="16" t="n">
        <v>2000</v>
      </c>
      <c r="M41" s="16" t="n">
        <v>0</v>
      </c>
      <c r="N41" s="24" t="n">
        <f aca="false">M41/L41</f>
        <v>0</v>
      </c>
      <c r="O41" s="24" t="n">
        <f aca="false">IF(M41=L41,1,BETAINV(Inputs!$B$10,M41+1,L41-M41))</f>
        <v>0.00388404949945426</v>
      </c>
      <c r="P41" s="25" t="n">
        <v>0</v>
      </c>
      <c r="Q41" s="26" t="n">
        <v>0</v>
      </c>
      <c r="R41" s="13" t="n">
        <f aca="false">I41*J41*N41*P41</f>
        <v>0</v>
      </c>
      <c r="S41" s="13" t="n">
        <f aca="false">I41*K41*O41*P41</f>
        <v>0</v>
      </c>
      <c r="T41" s="15" t="n">
        <f aca="false">IF(Summary!$B$6&gt;0,R41/Summary!$B$6,0)</f>
        <v>0</v>
      </c>
      <c r="U41" s="13" t="n">
        <f aca="false">I41*K41</f>
        <v>1.79417322780613E-005</v>
      </c>
      <c r="V41" s="13" t="n">
        <f aca="false">I41*O41*P41</f>
        <v>0</v>
      </c>
      <c r="W41" s="18" t="n">
        <f aca="false">INDEX('HB Evidence'!$I$6:$I$25,MATCH(E41,'HB Evidence'!$A$6:$A$25,0))</f>
        <v>0.0006</v>
      </c>
      <c r="X41" s="18" t="n">
        <f aca="false">I41*W41*N41*P41</f>
        <v>0</v>
      </c>
      <c r="Y41" s="27" t="n">
        <f aca="false">SUMIF('Concrete Scenarios'!$B$6:$B$1005,A41,'Concrete Scenarios'!$N$6:$N$1005)</f>
        <v>10.8756144630547</v>
      </c>
      <c r="Z41" s="28" t="n">
        <f aca="false">IF(SUMIF('Concrete Scenarios'!$B$6:$B$1005,A41,'Concrete Scenarios'!$T$6:$T$1005)&gt;0,Y41^2/SUMIF('Concrete Scenarios'!$B$6:$B$1005,A41,'Concrete Scenarios'!$T$6:$T$1005),0)</f>
        <v>4.25866708022698</v>
      </c>
      <c r="AA41" s="29" t="n">
        <f aca="false">SUMIF('Concrete Scenarios'!$B$6:$B$1005,A41,'Concrete Scenarios'!$O$6:$O$1005)</f>
        <v>0</v>
      </c>
      <c r="AB41" s="23" t="n">
        <f aca="false">SUMIF('Concrete Scenarios'!$B$6:$B$1005,A41,'Concrete Scenarios'!$S$6:$S$1005)/COUNTIF('Concrete Scenarios'!$B$6:$B$1005,A41)</f>
        <v>0</v>
      </c>
      <c r="AC41" s="13" t="n">
        <f aca="false">I41*J41*AB41</f>
        <v>0</v>
      </c>
    </row>
    <row r="42" customFormat="false" ht="15" hidden="false" customHeight="false" outlineLevel="0" collapsed="false">
      <c r="A42" s="5" t="s">
        <v>174</v>
      </c>
      <c r="B42" s="5" t="s">
        <v>56</v>
      </c>
      <c r="C42" s="5" t="s">
        <v>66</v>
      </c>
      <c r="D42" s="5" t="s">
        <v>70</v>
      </c>
      <c r="E42" s="5" t="s">
        <v>95</v>
      </c>
      <c r="F42" s="21" t="n">
        <f aca="false">INDEX(Inputs!$B$15:$B$19,MATCH(B42,Inputs!$A$15:$A$19,0))</f>
        <v>0.05</v>
      </c>
      <c r="G42" s="21" t="n">
        <f aca="false">INDEX(Inputs!$B$23:$B$26,MATCH(C42,Inputs!$A$23:$A$26,0))</f>
        <v>0.1</v>
      </c>
      <c r="H42" s="21" t="n">
        <f aca="false">INDEX(Inputs!$B$30:$B$34,MATCH(D42,Inputs!$A$30:$A$34,0))</f>
        <v>0.2</v>
      </c>
      <c r="I42" s="22" t="n">
        <f aca="false">F42*G42*H42</f>
        <v>0.001</v>
      </c>
      <c r="J42" s="23" t="n">
        <f aca="false">INDEX('HB Evidence'!$F$6:$F$25,MATCH(E42,'HB Evidence'!$A$6:$A$25,0))</f>
        <v>0.002</v>
      </c>
      <c r="K42" s="23" t="n">
        <f aca="false">INDEX('HB Evidence'!$H$6:$H$25,MATCH(E42,'HB Evidence'!$A$6:$A$25,0))</f>
        <v>0.0079741032346939</v>
      </c>
      <c r="L42" s="16" t="n">
        <v>2000</v>
      </c>
      <c r="M42" s="16" t="n">
        <v>0</v>
      </c>
      <c r="N42" s="24" t="n">
        <f aca="false">M42/L42</f>
        <v>0</v>
      </c>
      <c r="O42" s="24" t="n">
        <f aca="false">IF(M42=L42,1,BETAINV(Inputs!$B$10,M42+1,L42-M42))</f>
        <v>0.00388404949945426</v>
      </c>
      <c r="P42" s="25" t="n">
        <v>0</v>
      </c>
      <c r="Q42" s="26" t="n">
        <v>0</v>
      </c>
      <c r="R42" s="13" t="n">
        <f aca="false">I42*J42*N42*P42</f>
        <v>0</v>
      </c>
      <c r="S42" s="13" t="n">
        <f aca="false">I42*K42*O42*P42</f>
        <v>0</v>
      </c>
      <c r="T42" s="15" t="n">
        <f aca="false">IF(Summary!$B$6&gt;0,R42/Summary!$B$6,0)</f>
        <v>0</v>
      </c>
      <c r="U42" s="13" t="n">
        <f aca="false">I42*K42</f>
        <v>7.9741032346939E-006</v>
      </c>
      <c r="V42" s="13" t="n">
        <f aca="false">I42*O42*P42</f>
        <v>0</v>
      </c>
      <c r="W42" s="18" t="n">
        <f aca="false">INDEX('HB Evidence'!$I$6:$I$25,MATCH(E42,'HB Evidence'!$A$6:$A$25,0))</f>
        <v>0.0006</v>
      </c>
      <c r="X42" s="18" t="n">
        <f aca="false">I42*W42*N42*P42</f>
        <v>0</v>
      </c>
      <c r="Y42" s="27" t="n">
        <f aca="false">SUMIF('Concrete Scenarios'!$B$6:$B$1005,A42,'Concrete Scenarios'!$N$6:$N$1005)</f>
        <v>9.50829741692694</v>
      </c>
      <c r="Z42" s="28" t="n">
        <f aca="false">IF(SUMIF('Concrete Scenarios'!$B$6:$B$1005,A42,'Concrete Scenarios'!$T$6:$T$1005)&gt;0,Y42^2/SUMIF('Concrete Scenarios'!$B$6:$B$1005,A42,'Concrete Scenarios'!$T$6:$T$1005),0)</f>
        <v>4.02353258075946</v>
      </c>
      <c r="AA42" s="29" t="n">
        <f aca="false">SUMIF('Concrete Scenarios'!$B$6:$B$1005,A42,'Concrete Scenarios'!$O$6:$O$1005)</f>
        <v>0</v>
      </c>
      <c r="AB42" s="23" t="n">
        <f aca="false">SUMIF('Concrete Scenarios'!$B$6:$B$1005,A42,'Concrete Scenarios'!$S$6:$S$1005)/COUNTIF('Concrete Scenarios'!$B$6:$B$1005,A42)</f>
        <v>0</v>
      </c>
      <c r="AC42" s="13" t="n">
        <f aca="false">I42*J42*AB42</f>
        <v>0</v>
      </c>
    </row>
    <row r="43" customFormat="false" ht="15" hidden="false" customHeight="false" outlineLevel="0" collapsed="false">
      <c r="A43" s="5" t="s">
        <v>175</v>
      </c>
      <c r="B43" s="5" t="s">
        <v>56</v>
      </c>
      <c r="C43" s="5" t="s">
        <v>66</v>
      </c>
      <c r="D43" s="5" t="s">
        <v>71</v>
      </c>
      <c r="E43" s="5" t="s">
        <v>95</v>
      </c>
      <c r="F43" s="21" t="n">
        <f aca="false">INDEX(Inputs!$B$15:$B$19,MATCH(B43,Inputs!$A$15:$A$19,0))</f>
        <v>0.05</v>
      </c>
      <c r="G43" s="21" t="n">
        <f aca="false">INDEX(Inputs!$B$23:$B$26,MATCH(C43,Inputs!$A$23:$A$26,0))</f>
        <v>0.1</v>
      </c>
      <c r="H43" s="21" t="n">
        <f aca="false">INDEX(Inputs!$B$30:$B$34,MATCH(D43,Inputs!$A$30:$A$34,0))</f>
        <v>0.15</v>
      </c>
      <c r="I43" s="22" t="n">
        <f aca="false">F43*G43*H43</f>
        <v>0.00075</v>
      </c>
      <c r="J43" s="23" t="n">
        <f aca="false">INDEX('HB Evidence'!$F$6:$F$25,MATCH(E43,'HB Evidence'!$A$6:$A$25,0))</f>
        <v>0.002</v>
      </c>
      <c r="K43" s="23" t="n">
        <f aca="false">INDEX('HB Evidence'!$H$6:$H$25,MATCH(E43,'HB Evidence'!$A$6:$A$25,0))</f>
        <v>0.0079741032346939</v>
      </c>
      <c r="L43" s="16" t="n">
        <v>2000</v>
      </c>
      <c r="M43" s="16" t="n">
        <v>0</v>
      </c>
      <c r="N43" s="24" t="n">
        <f aca="false">M43/L43</f>
        <v>0</v>
      </c>
      <c r="O43" s="24" t="n">
        <f aca="false">IF(M43=L43,1,BETAINV(Inputs!$B$10,M43+1,L43-M43))</f>
        <v>0.00388404949945426</v>
      </c>
      <c r="P43" s="25" t="n">
        <v>0</v>
      </c>
      <c r="Q43" s="26" t="n">
        <v>0</v>
      </c>
      <c r="R43" s="13" t="n">
        <f aca="false">I43*J43*N43*P43</f>
        <v>0</v>
      </c>
      <c r="S43" s="13" t="n">
        <f aca="false">I43*K43*O43*P43</f>
        <v>0</v>
      </c>
      <c r="T43" s="15" t="n">
        <f aca="false">IF(Summary!$B$6&gt;0,R43/Summary!$B$6,0)</f>
        <v>0</v>
      </c>
      <c r="U43" s="13" t="n">
        <f aca="false">I43*K43</f>
        <v>5.98057742602042E-006</v>
      </c>
      <c r="V43" s="13" t="n">
        <f aca="false">I43*O43*P43</f>
        <v>0</v>
      </c>
      <c r="W43" s="18" t="n">
        <f aca="false">INDEX('HB Evidence'!$I$6:$I$25,MATCH(E43,'HB Evidence'!$A$6:$A$25,0))</f>
        <v>0.0006</v>
      </c>
      <c r="X43" s="18" t="n">
        <f aca="false">I43*W43*N43*P43</f>
        <v>0</v>
      </c>
      <c r="Y43" s="27" t="n">
        <f aca="false">SUMIF('Concrete Scenarios'!$B$6:$B$1005,A43,'Concrete Scenarios'!$N$6:$N$1005)</f>
        <v>5.81137634308919</v>
      </c>
      <c r="Z43" s="28" t="n">
        <f aca="false">IF(SUMIF('Concrete Scenarios'!$B$6:$B$1005,A43,'Concrete Scenarios'!$T$6:$T$1005)&gt;0,Y43^2/SUMIF('Concrete Scenarios'!$B$6:$B$1005,A43,'Concrete Scenarios'!$T$6:$T$1005),0)</f>
        <v>3.4990484356131</v>
      </c>
      <c r="AA43" s="29" t="n">
        <f aca="false">SUMIF('Concrete Scenarios'!$B$6:$B$1005,A43,'Concrete Scenarios'!$O$6:$O$1005)</f>
        <v>0</v>
      </c>
      <c r="AB43" s="23" t="n">
        <f aca="false">SUMIF('Concrete Scenarios'!$B$6:$B$1005,A43,'Concrete Scenarios'!$S$6:$S$1005)/COUNTIF('Concrete Scenarios'!$B$6:$B$1005,A43)</f>
        <v>0</v>
      </c>
      <c r="AC43" s="13" t="n">
        <f aca="false">I43*J43*AB43</f>
        <v>0</v>
      </c>
    </row>
    <row r="44" customFormat="false" ht="15" hidden="false" customHeight="false" outlineLevel="0" collapsed="false">
      <c r="A44" s="5" t="s">
        <v>176</v>
      </c>
      <c r="B44" s="5" t="s">
        <v>56</v>
      </c>
      <c r="C44" s="5" t="s">
        <v>66</v>
      </c>
      <c r="D44" s="5" t="s">
        <v>72</v>
      </c>
      <c r="E44" s="5" t="s">
        <v>95</v>
      </c>
      <c r="F44" s="21" t="n">
        <f aca="false">INDEX(Inputs!$B$15:$B$19,MATCH(B44,Inputs!$A$15:$A$19,0))</f>
        <v>0.05</v>
      </c>
      <c r="G44" s="21" t="n">
        <f aca="false">INDEX(Inputs!$B$23:$B$26,MATCH(C44,Inputs!$A$23:$A$26,0))</f>
        <v>0.1</v>
      </c>
      <c r="H44" s="21" t="n">
        <f aca="false">INDEX(Inputs!$B$30:$B$34,MATCH(D44,Inputs!$A$30:$A$34,0))</f>
        <v>0.13</v>
      </c>
      <c r="I44" s="22" t="n">
        <f aca="false">F44*G44*H44</f>
        <v>0.00065</v>
      </c>
      <c r="J44" s="23" t="n">
        <f aca="false">INDEX('HB Evidence'!$F$6:$F$25,MATCH(E44,'HB Evidence'!$A$6:$A$25,0))</f>
        <v>0.002</v>
      </c>
      <c r="K44" s="23" t="n">
        <f aca="false">INDEX('HB Evidence'!$H$6:$H$25,MATCH(E44,'HB Evidence'!$A$6:$A$25,0))</f>
        <v>0.0079741032346939</v>
      </c>
      <c r="L44" s="16" t="n">
        <v>2000</v>
      </c>
      <c r="M44" s="16" t="n">
        <v>4</v>
      </c>
      <c r="N44" s="24" t="n">
        <f aca="false">M44/L44</f>
        <v>0.002</v>
      </c>
      <c r="O44" s="24" t="n">
        <f aca="false">IF(M44=L44,1,BETAINV(Inputs!$B$10,M44+1,L44-M44))</f>
        <v>0.00795032032562295</v>
      </c>
      <c r="P44" s="25" t="n">
        <v>0.049358</v>
      </c>
      <c r="Q44" s="26" t="n">
        <v>17.17</v>
      </c>
      <c r="R44" s="13" t="n">
        <f aca="false">I44*J44*N44*P44</f>
        <v>1.283308E-010</v>
      </c>
      <c r="S44" s="13" t="n">
        <f aca="false">I44*K44*O44*P44</f>
        <v>2.03393650583748E-009</v>
      </c>
      <c r="T44" s="15" t="n">
        <f aca="false">IF(Summary!$B$6&gt;0,R44/Summary!$B$6,0)</f>
        <v>0.00620673865718093</v>
      </c>
      <c r="U44" s="13" t="n">
        <f aca="false">I44*K44</f>
        <v>5.18316710255104E-006</v>
      </c>
      <c r="V44" s="13" t="n">
        <f aca="false">I44*O44*P44</f>
        <v>2.55067741910863E-007</v>
      </c>
      <c r="W44" s="18" t="n">
        <f aca="false">INDEX('HB Evidence'!$I$6:$I$25,MATCH(E44,'HB Evidence'!$A$6:$A$25,0))</f>
        <v>0.0006</v>
      </c>
      <c r="X44" s="18" t="n">
        <f aca="false">I44*W44*N44*P44</f>
        <v>3.849924E-011</v>
      </c>
      <c r="Y44" s="27" t="n">
        <f aca="false">SUMIF('Concrete Scenarios'!$B$6:$B$1005,A44,'Concrete Scenarios'!$N$6:$N$1005)</f>
        <v>5.37592405047486</v>
      </c>
      <c r="Z44" s="28" t="n">
        <f aca="false">IF(SUMIF('Concrete Scenarios'!$B$6:$B$1005,A44,'Concrete Scenarios'!$T$6:$T$1005)&gt;0,Y44^2/SUMIF('Concrete Scenarios'!$B$6:$B$1005,A44,'Concrete Scenarios'!$T$6:$T$1005),0)</f>
        <v>5.10776053762972</v>
      </c>
      <c r="AA44" s="29" t="n">
        <f aca="false">SUMIF('Concrete Scenarios'!$B$6:$B$1005,A44,'Concrete Scenarios'!$O$6:$O$1005)</f>
        <v>0</v>
      </c>
      <c r="AB44" s="23" t="n">
        <f aca="false">SUMIF('Concrete Scenarios'!$B$6:$B$1005,A44,'Concrete Scenarios'!$S$6:$S$1005)/COUNTIF('Concrete Scenarios'!$B$6:$B$1005,A44)</f>
        <v>0</v>
      </c>
      <c r="AC44" s="13" t="n">
        <f aca="false">I44*J44*AB44</f>
        <v>0</v>
      </c>
    </row>
    <row r="45" customFormat="false" ht="15" hidden="false" customHeight="false" outlineLevel="0" collapsed="false">
      <c r="A45" s="5" t="s">
        <v>177</v>
      </c>
      <c r="B45" s="5" t="s">
        <v>56</v>
      </c>
      <c r="C45" s="5" t="s">
        <v>66</v>
      </c>
      <c r="D45" s="5" t="s">
        <v>73</v>
      </c>
      <c r="E45" s="5" t="s">
        <v>95</v>
      </c>
      <c r="F45" s="21" t="n">
        <f aca="false">INDEX(Inputs!$B$15:$B$19,MATCH(B45,Inputs!$A$15:$A$19,0))</f>
        <v>0.05</v>
      </c>
      <c r="G45" s="21" t="n">
        <f aca="false">INDEX(Inputs!$B$23:$B$26,MATCH(C45,Inputs!$A$23:$A$26,0))</f>
        <v>0.1</v>
      </c>
      <c r="H45" s="21" t="n">
        <f aca="false">INDEX(Inputs!$B$30:$B$34,MATCH(D45,Inputs!$A$30:$A$34,0))</f>
        <v>0.07</v>
      </c>
      <c r="I45" s="22" t="n">
        <f aca="false">F45*G45*H45</f>
        <v>0.00035</v>
      </c>
      <c r="J45" s="23" t="n">
        <f aca="false">INDEX('HB Evidence'!$F$6:$F$25,MATCH(E45,'HB Evidence'!$A$6:$A$25,0))</f>
        <v>0.002</v>
      </c>
      <c r="K45" s="23" t="n">
        <f aca="false">INDEX('HB Evidence'!$H$6:$H$25,MATCH(E45,'HB Evidence'!$A$6:$A$25,0))</f>
        <v>0.0079741032346939</v>
      </c>
      <c r="L45" s="16" t="n">
        <v>2000</v>
      </c>
      <c r="M45" s="16" t="n">
        <v>19</v>
      </c>
      <c r="N45" s="24" t="n">
        <f aca="false">M45/L45</f>
        <v>0.0095</v>
      </c>
      <c r="O45" s="24" t="n">
        <f aca="false">IF(M45=L45,1,BETAINV(Inputs!$B$10,M45+1,L45-M45))</f>
        <v>0.0191043518325695</v>
      </c>
      <c r="P45" s="25" t="n">
        <v>0.023771</v>
      </c>
      <c r="Q45" s="26" t="n">
        <v>15.54</v>
      </c>
      <c r="R45" s="13" t="n">
        <f aca="false">I45*J45*N45*P45</f>
        <v>1.5807715E-010</v>
      </c>
      <c r="S45" s="13" t="n">
        <f aca="false">I45*K45*O45*P45</f>
        <v>1.26744656254586E-009</v>
      </c>
      <c r="T45" s="15" t="n">
        <f aca="false">IF(Summary!$B$6&gt;0,R45/Summary!$B$6,0)</f>
        <v>0.00764542539843894</v>
      </c>
      <c r="U45" s="13" t="n">
        <f aca="false">I45*K45</f>
        <v>2.79093613214287E-006</v>
      </c>
      <c r="V45" s="13" t="n">
        <f aca="false">I45*O45*P45</f>
        <v>1.58945341594203E-007</v>
      </c>
      <c r="W45" s="18" t="n">
        <f aca="false">INDEX('HB Evidence'!$I$6:$I$25,MATCH(E45,'HB Evidence'!$A$6:$A$25,0))</f>
        <v>0.0006</v>
      </c>
      <c r="X45" s="18" t="n">
        <f aca="false">I45*W45*N45*P45</f>
        <v>4.7423145E-011</v>
      </c>
      <c r="Y45" s="27" t="n">
        <f aca="false">SUMIF('Concrete Scenarios'!$B$6:$B$1005,A45,'Concrete Scenarios'!$N$6:$N$1005)</f>
        <v>5.70907140743927</v>
      </c>
      <c r="Z45" s="28" t="n">
        <f aca="false">IF(SUMIF('Concrete Scenarios'!$B$6:$B$1005,A45,'Concrete Scenarios'!$T$6:$T$1005)&gt;0,Y45^2/SUMIF('Concrete Scenarios'!$B$6:$B$1005,A45,'Concrete Scenarios'!$T$6:$T$1005),0)</f>
        <v>4.85535477842927</v>
      </c>
      <c r="AA45" s="29" t="n">
        <f aca="false">SUMIF('Concrete Scenarios'!$B$6:$B$1005,A45,'Concrete Scenarios'!$O$6:$O$1005)</f>
        <v>1</v>
      </c>
      <c r="AB45" s="23" t="n">
        <f aca="false">SUMIF('Concrete Scenarios'!$B$6:$B$1005,A45,'Concrete Scenarios'!$S$6:$S$1005)/COUNTIF('Concrete Scenarios'!$B$6:$B$1005,A45)</f>
        <v>0.00090866331478372</v>
      </c>
      <c r="AC45" s="13" t="n">
        <f aca="false">I45*J45*AB45</f>
        <v>6.36064320348604E-010</v>
      </c>
    </row>
    <row r="46" customFormat="false" ht="15" hidden="false" customHeight="false" outlineLevel="0" collapsed="false">
      <c r="A46" s="5" t="s">
        <v>178</v>
      </c>
      <c r="B46" s="5" t="s">
        <v>57</v>
      </c>
      <c r="C46" s="5" t="s">
        <v>62</v>
      </c>
      <c r="D46" s="5" t="s">
        <v>68</v>
      </c>
      <c r="E46" s="5" t="s">
        <v>96</v>
      </c>
      <c r="F46" s="21" t="n">
        <f aca="false">INDEX(Inputs!$B$15:$B$19,MATCH(B46,Inputs!$A$15:$A$19,0))</f>
        <v>0.07</v>
      </c>
      <c r="G46" s="21" t="n">
        <f aca="false">INDEX(Inputs!$B$23:$B$26,MATCH(C46,Inputs!$A$23:$A$26,0))</f>
        <v>0.35</v>
      </c>
      <c r="H46" s="21" t="n">
        <f aca="false">INDEX(Inputs!$B$30:$B$34,MATCH(D46,Inputs!$A$30:$A$34,0))</f>
        <v>0.45</v>
      </c>
      <c r="I46" s="22" t="n">
        <f aca="false">F46*G46*H46</f>
        <v>0.011025</v>
      </c>
      <c r="J46" s="23" t="n">
        <f aca="false">INDEX('HB Evidence'!$F$6:$F$25,MATCH(E46,'HB Evidence'!$A$6:$A$25,0))</f>
        <v>0.000333333333333333</v>
      </c>
      <c r="K46" s="23" t="n">
        <f aca="false">INDEX('HB Evidence'!$H$6:$H$25,MATCH(E46,'HB Evidence'!$A$6:$A$25,0))</f>
        <v>0.00339968442025883</v>
      </c>
      <c r="L46" s="16" t="n">
        <v>2000</v>
      </c>
      <c r="M46" s="16" t="n">
        <v>0</v>
      </c>
      <c r="N46" s="24" t="n">
        <f aca="false">M46/L46</f>
        <v>0</v>
      </c>
      <c r="O46" s="24" t="n">
        <f aca="false">IF(M46=L46,1,BETAINV(Inputs!$B$10,M46+1,L46-M46))</f>
        <v>0.00388404949945426</v>
      </c>
      <c r="P46" s="25" t="n">
        <v>0</v>
      </c>
      <c r="Q46" s="26" t="n">
        <v>0</v>
      </c>
      <c r="R46" s="13" t="n">
        <f aca="false">I46*J46*N46*P46</f>
        <v>0</v>
      </c>
      <c r="S46" s="13" t="n">
        <f aca="false">I46*K46*O46*P46</f>
        <v>0</v>
      </c>
      <c r="T46" s="15" t="n">
        <f aca="false">IF(Summary!$B$6&gt;0,R46/Summary!$B$6,0)</f>
        <v>0</v>
      </c>
      <c r="U46" s="13" t="n">
        <f aca="false">I46*K46</f>
        <v>3.74815207333536E-005</v>
      </c>
      <c r="V46" s="13" t="n">
        <f aca="false">I46*O46*P46</f>
        <v>0</v>
      </c>
      <c r="W46" s="18" t="n">
        <f aca="false">INDEX('HB Evidence'!$I$6:$I$25,MATCH(E46,'HB Evidence'!$A$6:$A$25,0))</f>
        <v>0.0002</v>
      </c>
      <c r="X46" s="18" t="n">
        <f aca="false">I46*W46*N46*P46</f>
        <v>0</v>
      </c>
      <c r="Y46" s="27" t="n">
        <f aca="false">SUMIF('Concrete Scenarios'!$B$6:$B$1005,A46,'Concrete Scenarios'!$N$6:$N$1005)</f>
        <v>7.55062619479849</v>
      </c>
      <c r="Z46" s="28" t="n">
        <f aca="false">IF(SUMIF('Concrete Scenarios'!$B$6:$B$1005,A46,'Concrete Scenarios'!$T$6:$T$1005)&gt;0,Y46^2/SUMIF('Concrete Scenarios'!$B$6:$B$1005,A46,'Concrete Scenarios'!$T$6:$T$1005),0)</f>
        <v>2.94786202271351</v>
      </c>
      <c r="AA46" s="29" t="n">
        <f aca="false">SUMIF('Concrete Scenarios'!$B$6:$B$1005,A46,'Concrete Scenarios'!$O$6:$O$1005)</f>
        <v>0</v>
      </c>
      <c r="AB46" s="23" t="n">
        <f aca="false">SUMIF('Concrete Scenarios'!$B$6:$B$1005,A46,'Concrete Scenarios'!$S$6:$S$1005)/COUNTIF('Concrete Scenarios'!$B$6:$B$1005,A46)</f>
        <v>0</v>
      </c>
      <c r="AC46" s="13" t="n">
        <f aca="false">I46*J46*AB46</f>
        <v>0</v>
      </c>
    </row>
    <row r="47" customFormat="false" ht="15" hidden="false" customHeight="false" outlineLevel="0" collapsed="false">
      <c r="A47" s="5" t="s">
        <v>179</v>
      </c>
      <c r="B47" s="5" t="s">
        <v>57</v>
      </c>
      <c r="C47" s="5" t="s">
        <v>62</v>
      </c>
      <c r="D47" s="5" t="s">
        <v>70</v>
      </c>
      <c r="E47" s="5" t="s">
        <v>96</v>
      </c>
      <c r="F47" s="21" t="n">
        <f aca="false">INDEX(Inputs!$B$15:$B$19,MATCH(B47,Inputs!$A$15:$A$19,0))</f>
        <v>0.07</v>
      </c>
      <c r="G47" s="21" t="n">
        <f aca="false">INDEX(Inputs!$B$23:$B$26,MATCH(C47,Inputs!$A$23:$A$26,0))</f>
        <v>0.35</v>
      </c>
      <c r="H47" s="21" t="n">
        <f aca="false">INDEX(Inputs!$B$30:$B$34,MATCH(D47,Inputs!$A$30:$A$34,0))</f>
        <v>0.2</v>
      </c>
      <c r="I47" s="22" t="n">
        <f aca="false">F47*G47*H47</f>
        <v>0.0049</v>
      </c>
      <c r="J47" s="23" t="n">
        <f aca="false">INDEX('HB Evidence'!$F$6:$F$25,MATCH(E47,'HB Evidence'!$A$6:$A$25,0))</f>
        <v>0.000333333333333333</v>
      </c>
      <c r="K47" s="23" t="n">
        <f aca="false">INDEX('HB Evidence'!$H$6:$H$25,MATCH(E47,'HB Evidence'!$A$6:$A$25,0))</f>
        <v>0.00339968442025883</v>
      </c>
      <c r="L47" s="16" t="n">
        <v>2000</v>
      </c>
      <c r="M47" s="16" t="n">
        <v>4</v>
      </c>
      <c r="N47" s="24" t="n">
        <f aca="false">M47/L47</f>
        <v>0.002</v>
      </c>
      <c r="O47" s="24" t="n">
        <f aca="false">IF(M47=L47,1,BETAINV(Inputs!$B$10,M47+1,L47-M47))</f>
        <v>0.00795032032562295</v>
      </c>
      <c r="P47" s="25" t="n">
        <v>0.034938</v>
      </c>
      <c r="Q47" s="26" t="n">
        <v>19.52</v>
      </c>
      <c r="R47" s="13" t="n">
        <f aca="false">I47*J47*N47*P47</f>
        <v>1.141308E-010</v>
      </c>
      <c r="S47" s="13" t="n">
        <f aca="false">I47*K47*O47*P47</f>
        <v>4.62719021257682E-009</v>
      </c>
      <c r="T47" s="15" t="n">
        <f aca="false">IF(Summary!$B$6&gt;0,R47/Summary!$B$6,0)</f>
        <v>0.0055199534977962</v>
      </c>
      <c r="U47" s="13" t="n">
        <f aca="false">I47*K47</f>
        <v>1.66584536592683E-005</v>
      </c>
      <c r="V47" s="13" t="n">
        <f aca="false">I47*O47*P47</f>
        <v>1.36106462852941E-006</v>
      </c>
      <c r="W47" s="18" t="n">
        <f aca="false">INDEX('HB Evidence'!$I$6:$I$25,MATCH(E47,'HB Evidence'!$A$6:$A$25,0))</f>
        <v>0.0002</v>
      </c>
      <c r="X47" s="18" t="n">
        <f aca="false">I47*W47*N47*P47</f>
        <v>6.847848E-011</v>
      </c>
      <c r="Y47" s="27" t="n">
        <f aca="false">SUMIF('Concrete Scenarios'!$B$6:$B$1005,A47,'Concrete Scenarios'!$N$6:$N$1005)</f>
        <v>4.29979119396695</v>
      </c>
      <c r="Z47" s="28" t="n">
        <f aca="false">IF(SUMIF('Concrete Scenarios'!$B$6:$B$1005,A47,'Concrete Scenarios'!$T$6:$T$1005)&gt;0,Y47^2/SUMIF('Concrete Scenarios'!$B$6:$B$1005,A47,'Concrete Scenarios'!$T$6:$T$1005),0)</f>
        <v>5.96908723240332</v>
      </c>
      <c r="AA47" s="29" t="n">
        <f aca="false">SUMIF('Concrete Scenarios'!$B$6:$B$1005,A47,'Concrete Scenarios'!$O$6:$O$1005)</f>
        <v>0</v>
      </c>
      <c r="AB47" s="23" t="n">
        <f aca="false">SUMIF('Concrete Scenarios'!$B$6:$B$1005,A47,'Concrete Scenarios'!$S$6:$S$1005)/COUNTIF('Concrete Scenarios'!$B$6:$B$1005,A47)</f>
        <v>0</v>
      </c>
      <c r="AC47" s="13" t="n">
        <f aca="false">I47*J47*AB47</f>
        <v>0</v>
      </c>
    </row>
    <row r="48" customFormat="false" ht="15" hidden="false" customHeight="false" outlineLevel="0" collapsed="false">
      <c r="A48" s="5" t="s">
        <v>180</v>
      </c>
      <c r="B48" s="5" t="s">
        <v>57</v>
      </c>
      <c r="C48" s="5" t="s">
        <v>62</v>
      </c>
      <c r="D48" s="5" t="s">
        <v>71</v>
      </c>
      <c r="E48" s="5" t="s">
        <v>96</v>
      </c>
      <c r="F48" s="21" t="n">
        <f aca="false">INDEX(Inputs!$B$15:$B$19,MATCH(B48,Inputs!$A$15:$A$19,0))</f>
        <v>0.07</v>
      </c>
      <c r="G48" s="21" t="n">
        <f aca="false">INDEX(Inputs!$B$23:$B$26,MATCH(C48,Inputs!$A$23:$A$26,0))</f>
        <v>0.35</v>
      </c>
      <c r="H48" s="21" t="n">
        <f aca="false">INDEX(Inputs!$B$30:$B$34,MATCH(D48,Inputs!$A$30:$A$34,0))</f>
        <v>0.15</v>
      </c>
      <c r="I48" s="22" t="n">
        <f aca="false">F48*G48*H48</f>
        <v>0.003675</v>
      </c>
      <c r="J48" s="23" t="n">
        <f aca="false">INDEX('HB Evidence'!$F$6:$F$25,MATCH(E48,'HB Evidence'!$A$6:$A$25,0))</f>
        <v>0.000333333333333333</v>
      </c>
      <c r="K48" s="23" t="n">
        <f aca="false">INDEX('HB Evidence'!$H$6:$H$25,MATCH(E48,'HB Evidence'!$A$6:$A$25,0))</f>
        <v>0.00339968442025883</v>
      </c>
      <c r="L48" s="16" t="n">
        <v>2000</v>
      </c>
      <c r="M48" s="16" t="n">
        <v>30</v>
      </c>
      <c r="N48" s="24" t="n">
        <f aca="false">M48/L48</f>
        <v>0.015</v>
      </c>
      <c r="O48" s="24" t="n">
        <f aca="false">IF(M48=L48,1,BETAINV(Inputs!$B$10,M48+1,L48-M48))</f>
        <v>0.0263705989840948</v>
      </c>
      <c r="P48" s="25" t="n">
        <v>0.010833</v>
      </c>
      <c r="Q48" s="26" t="n">
        <v>9.85</v>
      </c>
      <c r="R48" s="13" t="n">
        <f aca="false">I48*J48*N48*P48</f>
        <v>1.99056375E-010</v>
      </c>
      <c r="S48" s="13" t="n">
        <f aca="false">I48*K48*O48*P48</f>
        <v>3.56914906094219E-009</v>
      </c>
      <c r="T48" s="15" t="n">
        <f aca="false">IF(Summary!$B$6&gt;0,R48/Summary!$B$6,0)</f>
        <v>0.00962739184724792</v>
      </c>
      <c r="U48" s="13" t="n">
        <f aca="false">I48*K48</f>
        <v>1.24938402444512E-005</v>
      </c>
      <c r="V48" s="13" t="n">
        <f aca="false">I48*O48*P48</f>
        <v>1.04984716807052E-006</v>
      </c>
      <c r="W48" s="18" t="n">
        <f aca="false">INDEX('HB Evidence'!$I$6:$I$25,MATCH(E48,'HB Evidence'!$A$6:$A$25,0))</f>
        <v>0.0002</v>
      </c>
      <c r="X48" s="18" t="n">
        <f aca="false">I48*W48*N48*P48</f>
        <v>1.19433825E-010</v>
      </c>
      <c r="Y48" s="27" t="n">
        <f aca="false">SUMIF('Concrete Scenarios'!$B$6:$B$1005,A48,'Concrete Scenarios'!$N$6:$N$1005)</f>
        <v>2.82774008203492</v>
      </c>
      <c r="Z48" s="28" t="n">
        <f aca="false">IF(SUMIF('Concrete Scenarios'!$B$6:$B$1005,A48,'Concrete Scenarios'!$T$6:$T$1005)&gt;0,Y48^2/SUMIF('Concrete Scenarios'!$B$6:$B$1005,A48,'Concrete Scenarios'!$T$6:$T$1005),0)</f>
        <v>5.81336620868972</v>
      </c>
      <c r="AA48" s="29" t="n">
        <f aca="false">SUMIF('Concrete Scenarios'!$B$6:$B$1005,A48,'Concrete Scenarios'!$O$6:$O$1005)</f>
        <v>1</v>
      </c>
      <c r="AB48" s="23" t="n">
        <f aca="false">SUMIF('Concrete Scenarios'!$B$6:$B$1005,A48,'Concrete Scenarios'!$S$6:$S$1005)/COUNTIF('Concrete Scenarios'!$B$6:$B$1005,A48)</f>
        <v>4.62508060475735E-006</v>
      </c>
      <c r="AC48" s="13" t="n">
        <f aca="false">I48*J48*AB48</f>
        <v>5.66572374082775E-012</v>
      </c>
    </row>
    <row r="49" customFormat="false" ht="15" hidden="false" customHeight="false" outlineLevel="0" collapsed="false">
      <c r="A49" s="5" t="s">
        <v>181</v>
      </c>
      <c r="B49" s="5" t="s">
        <v>57</v>
      </c>
      <c r="C49" s="5" t="s">
        <v>62</v>
      </c>
      <c r="D49" s="5" t="s">
        <v>72</v>
      </c>
      <c r="E49" s="5" t="s">
        <v>96</v>
      </c>
      <c r="F49" s="21" t="n">
        <f aca="false">INDEX(Inputs!$B$15:$B$19,MATCH(B49,Inputs!$A$15:$A$19,0))</f>
        <v>0.07</v>
      </c>
      <c r="G49" s="21" t="n">
        <f aca="false">INDEX(Inputs!$B$23:$B$26,MATCH(C49,Inputs!$A$23:$A$26,0))</f>
        <v>0.35</v>
      </c>
      <c r="H49" s="21" t="n">
        <f aca="false">INDEX(Inputs!$B$30:$B$34,MATCH(D49,Inputs!$A$30:$A$34,0))</f>
        <v>0.13</v>
      </c>
      <c r="I49" s="22" t="n">
        <f aca="false">F49*G49*H49</f>
        <v>0.003185</v>
      </c>
      <c r="J49" s="23" t="n">
        <f aca="false">INDEX('HB Evidence'!$F$6:$F$25,MATCH(E49,'HB Evidence'!$A$6:$A$25,0))</f>
        <v>0.000333333333333333</v>
      </c>
      <c r="K49" s="23" t="n">
        <f aca="false">INDEX('HB Evidence'!$H$6:$H$25,MATCH(E49,'HB Evidence'!$A$6:$A$25,0))</f>
        <v>0.00339968442025883</v>
      </c>
      <c r="L49" s="16" t="n">
        <v>2000</v>
      </c>
      <c r="M49" s="16" t="n">
        <v>116</v>
      </c>
      <c r="N49" s="24" t="n">
        <f aca="false">M49/L49</f>
        <v>0.058</v>
      </c>
      <c r="O49" s="24" t="n">
        <f aca="false">IF(M49=L49,1,BETAINV(Inputs!$B$10,M49+1,L49-M49))</f>
        <v>0.0774817334816347</v>
      </c>
      <c r="P49" s="25" t="n">
        <v>0.018937</v>
      </c>
      <c r="Q49" s="26" t="n">
        <v>14.31</v>
      </c>
      <c r="R49" s="13" t="n">
        <f aca="false">I49*J49*N49*P49</f>
        <v>1.16607733666667E-009</v>
      </c>
      <c r="S49" s="13" t="n">
        <f aca="false">I49*K49*O49*P49</f>
        <v>1.58876092288092E-008</v>
      </c>
      <c r="T49" s="15" t="n">
        <f aca="false">IF(Summary!$B$6&gt;0,R49/Summary!$B$6,0)</f>
        <v>0.0563975077125022</v>
      </c>
      <c r="U49" s="13" t="n">
        <f aca="false">I49*K49</f>
        <v>1.08279948785244E-005</v>
      </c>
      <c r="V49" s="13" t="n">
        <f aca="false">I49*O49*P49</f>
        <v>4.67326000440936E-006</v>
      </c>
      <c r="W49" s="18" t="n">
        <f aca="false">INDEX('HB Evidence'!$I$6:$I$25,MATCH(E49,'HB Evidence'!$A$6:$A$25,0))</f>
        <v>0.0002</v>
      </c>
      <c r="X49" s="18" t="n">
        <f aca="false">I49*W49*N49*P49</f>
        <v>6.99646402E-010</v>
      </c>
      <c r="Y49" s="27" t="n">
        <f aca="false">SUMIF('Concrete Scenarios'!$B$6:$B$1005,A49,'Concrete Scenarios'!$N$6:$N$1005)</f>
        <v>8.88449879849973</v>
      </c>
      <c r="Z49" s="28" t="n">
        <f aca="false">IF(SUMIF('Concrete Scenarios'!$B$6:$B$1005,A49,'Concrete Scenarios'!$T$6:$T$1005)&gt;0,Y49^2/SUMIF('Concrete Scenarios'!$B$6:$B$1005,A49,'Concrete Scenarios'!$T$6:$T$1005),0)</f>
        <v>5.51009170820742</v>
      </c>
      <c r="AA49" s="29" t="n">
        <f aca="false">SUMIF('Concrete Scenarios'!$B$6:$B$1005,A49,'Concrete Scenarios'!$O$6:$O$1005)</f>
        <v>0</v>
      </c>
      <c r="AB49" s="23" t="n">
        <f aca="false">SUMIF('Concrete Scenarios'!$B$6:$B$1005,A49,'Concrete Scenarios'!$S$6:$S$1005)/COUNTIF('Concrete Scenarios'!$B$6:$B$1005,A49)</f>
        <v>0</v>
      </c>
      <c r="AC49" s="13" t="n">
        <f aca="false">I49*J49*AB49</f>
        <v>0</v>
      </c>
    </row>
    <row r="50" customFormat="false" ht="15" hidden="false" customHeight="false" outlineLevel="0" collapsed="false">
      <c r="A50" s="5" t="s">
        <v>182</v>
      </c>
      <c r="B50" s="5" t="s">
        <v>57</v>
      </c>
      <c r="C50" s="5" t="s">
        <v>62</v>
      </c>
      <c r="D50" s="5" t="s">
        <v>73</v>
      </c>
      <c r="E50" s="5" t="s">
        <v>96</v>
      </c>
      <c r="F50" s="21" t="n">
        <f aca="false">INDEX(Inputs!$B$15:$B$19,MATCH(B50,Inputs!$A$15:$A$19,0))</f>
        <v>0.07</v>
      </c>
      <c r="G50" s="21" t="n">
        <f aca="false">INDEX(Inputs!$B$23:$B$26,MATCH(C50,Inputs!$A$23:$A$26,0))</f>
        <v>0.35</v>
      </c>
      <c r="H50" s="21" t="n">
        <f aca="false">INDEX(Inputs!$B$30:$B$34,MATCH(D50,Inputs!$A$30:$A$34,0))</f>
        <v>0.07</v>
      </c>
      <c r="I50" s="22" t="n">
        <f aca="false">F50*G50*H50</f>
        <v>0.001715</v>
      </c>
      <c r="J50" s="23" t="n">
        <f aca="false">INDEX('HB Evidence'!$F$6:$F$25,MATCH(E50,'HB Evidence'!$A$6:$A$25,0))</f>
        <v>0.000333333333333333</v>
      </c>
      <c r="K50" s="23" t="n">
        <f aca="false">INDEX('HB Evidence'!$H$6:$H$25,MATCH(E50,'HB Evidence'!$A$6:$A$25,0))</f>
        <v>0.00339968442025883</v>
      </c>
      <c r="L50" s="16" t="n">
        <v>2000</v>
      </c>
      <c r="M50" s="16" t="n">
        <v>467</v>
      </c>
      <c r="N50" s="24" t="n">
        <f aca="false">M50/L50</f>
        <v>0.2335</v>
      </c>
      <c r="O50" s="24" t="n">
        <f aca="false">IF(M50=L50,1,BETAINV(Inputs!$B$10,M50+1,L50-M50))</f>
        <v>0.26636599171882</v>
      </c>
      <c r="P50" s="25" t="n">
        <v>0.018568</v>
      </c>
      <c r="Q50" s="26" t="n">
        <v>14.67</v>
      </c>
      <c r="R50" s="13" t="n">
        <f aca="false">I50*J50*N50*P50</f>
        <v>2.47853400666667E-009</v>
      </c>
      <c r="S50" s="13" t="n">
        <f aca="false">I50*K50*O50*P50</f>
        <v>2.88367712468092E-008</v>
      </c>
      <c r="T50" s="15" t="n">
        <f aca="false">IF(Summary!$B$6&gt;0,R50/Summary!$B$6,0)</f>
        <v>0.119874674141481</v>
      </c>
      <c r="U50" s="13" t="n">
        <f aca="false">I50*K50</f>
        <v>5.8304587807439E-006</v>
      </c>
      <c r="V50" s="13" t="n">
        <f aca="false">I50*O50*P50</f>
        <v>8.48219060421313E-006</v>
      </c>
      <c r="W50" s="18" t="n">
        <f aca="false">INDEX('HB Evidence'!$I$6:$I$25,MATCH(E50,'HB Evidence'!$A$6:$A$25,0))</f>
        <v>0.0002</v>
      </c>
      <c r="X50" s="18" t="n">
        <f aca="false">I50*W50*N50*P50</f>
        <v>1.487120404E-009</v>
      </c>
      <c r="Y50" s="27" t="n">
        <f aca="false">SUMIF('Concrete Scenarios'!$B$6:$B$1005,A50,'Concrete Scenarios'!$N$6:$N$1005)</f>
        <v>15.9331327439147</v>
      </c>
      <c r="Z50" s="28" t="n">
        <f aca="false">IF(SUMIF('Concrete Scenarios'!$B$6:$B$1005,A50,'Concrete Scenarios'!$T$6:$T$1005)&gt;0,Y50^2/SUMIF('Concrete Scenarios'!$B$6:$B$1005,A50,'Concrete Scenarios'!$T$6:$T$1005),0)</f>
        <v>2.88268912239503</v>
      </c>
      <c r="AA50" s="29" t="n">
        <f aca="false">SUMIF('Concrete Scenarios'!$B$6:$B$1005,A50,'Concrete Scenarios'!$O$6:$O$1005)</f>
        <v>4</v>
      </c>
      <c r="AB50" s="23" t="n">
        <f aca="false">SUMIF('Concrete Scenarios'!$B$6:$B$1005,A50,'Concrete Scenarios'!$S$6:$S$1005)/COUNTIF('Concrete Scenarios'!$B$6:$B$1005,A50)</f>
        <v>0.00140315499712611</v>
      </c>
      <c r="AC50" s="13" t="n">
        <f aca="false">I50*J50*AB50</f>
        <v>8.02136940023758E-010</v>
      </c>
    </row>
    <row r="51" customFormat="false" ht="15" hidden="false" customHeight="false" outlineLevel="0" collapsed="false">
      <c r="A51" s="5" t="s">
        <v>183</v>
      </c>
      <c r="B51" s="5" t="s">
        <v>57</v>
      </c>
      <c r="C51" s="5" t="s">
        <v>64</v>
      </c>
      <c r="D51" s="5" t="s">
        <v>68</v>
      </c>
      <c r="E51" s="5" t="s">
        <v>97</v>
      </c>
      <c r="F51" s="21" t="n">
        <f aca="false">INDEX(Inputs!$B$15:$B$19,MATCH(B51,Inputs!$A$15:$A$19,0))</f>
        <v>0.07</v>
      </c>
      <c r="G51" s="21" t="n">
        <f aca="false">INDEX(Inputs!$B$23:$B$26,MATCH(C51,Inputs!$A$23:$A$26,0))</f>
        <v>0.4</v>
      </c>
      <c r="H51" s="21" t="n">
        <f aca="false">INDEX(Inputs!$B$30:$B$34,MATCH(D51,Inputs!$A$30:$A$34,0))</f>
        <v>0.45</v>
      </c>
      <c r="I51" s="22" t="n">
        <f aca="false">F51*G51*H51</f>
        <v>0.0126</v>
      </c>
      <c r="J51" s="23" t="n">
        <f aca="false">INDEX('HB Evidence'!$F$6:$F$25,MATCH(E51,'HB Evidence'!$A$6:$A$25,0))</f>
        <v>0</v>
      </c>
      <c r="K51" s="23" t="n">
        <f aca="false">INDEX('HB Evidence'!$H$6:$H$25,MATCH(E51,'HB Evidence'!$A$6:$A$25,0))</f>
        <v>0.00222377829038176</v>
      </c>
      <c r="L51" s="16" t="n">
        <v>2000</v>
      </c>
      <c r="M51" s="16" t="n">
        <v>0</v>
      </c>
      <c r="N51" s="24" t="n">
        <f aca="false">M51/L51</f>
        <v>0</v>
      </c>
      <c r="O51" s="24" t="n">
        <f aca="false">IF(M51=L51,1,BETAINV(Inputs!$B$10,M51+1,L51-M51))</f>
        <v>0.00388404949945426</v>
      </c>
      <c r="P51" s="25" t="n">
        <v>0</v>
      </c>
      <c r="Q51" s="26" t="n">
        <v>0</v>
      </c>
      <c r="R51" s="13" t="n">
        <f aca="false">I51*J51*N51*P51</f>
        <v>0</v>
      </c>
      <c r="S51" s="13" t="n">
        <f aca="false">I51*K51*O51*P51</f>
        <v>0</v>
      </c>
      <c r="T51" s="15" t="n">
        <f aca="false">IF(Summary!$B$6&gt;0,R51/Summary!$B$6,0)</f>
        <v>0</v>
      </c>
      <c r="U51" s="13" t="n">
        <f aca="false">I51*K51</f>
        <v>2.80196064588101E-005</v>
      </c>
      <c r="V51" s="13" t="n">
        <f aca="false">I51*O51*P51</f>
        <v>0</v>
      </c>
      <c r="W51" s="18" t="n">
        <f aca="false">INDEX('HB Evidence'!$I$6:$I$25,MATCH(E51,'HB Evidence'!$A$6:$A$25,0))</f>
        <v>0.0002</v>
      </c>
      <c r="X51" s="18" t="n">
        <f aca="false">I51*W51*N51*P51</f>
        <v>0</v>
      </c>
      <c r="Y51" s="27" t="n">
        <f aca="false">SUMIF('Concrete Scenarios'!$B$6:$B$1005,A51,'Concrete Scenarios'!$N$6:$N$1005)</f>
        <v>9.95035754175066</v>
      </c>
      <c r="Z51" s="28" t="n">
        <f aca="false">IF(SUMIF('Concrete Scenarios'!$B$6:$B$1005,A51,'Concrete Scenarios'!$T$6:$T$1005)&gt;0,Y51^2/SUMIF('Concrete Scenarios'!$B$6:$B$1005,A51,'Concrete Scenarios'!$T$6:$T$1005),0)</f>
        <v>5.34941599622879</v>
      </c>
      <c r="AA51" s="29" t="n">
        <f aca="false">SUMIF('Concrete Scenarios'!$B$6:$B$1005,A51,'Concrete Scenarios'!$O$6:$O$1005)</f>
        <v>0</v>
      </c>
      <c r="AB51" s="23" t="n">
        <f aca="false">SUMIF('Concrete Scenarios'!$B$6:$B$1005,A51,'Concrete Scenarios'!$S$6:$S$1005)/COUNTIF('Concrete Scenarios'!$B$6:$B$1005,A51)</f>
        <v>0</v>
      </c>
      <c r="AC51" s="13" t="n">
        <f aca="false">I51*J51*AB51</f>
        <v>0</v>
      </c>
    </row>
    <row r="52" customFormat="false" ht="15" hidden="false" customHeight="false" outlineLevel="0" collapsed="false">
      <c r="A52" s="5" t="s">
        <v>184</v>
      </c>
      <c r="B52" s="5" t="s">
        <v>57</v>
      </c>
      <c r="C52" s="5" t="s">
        <v>64</v>
      </c>
      <c r="D52" s="5" t="s">
        <v>70</v>
      </c>
      <c r="E52" s="5" t="s">
        <v>97</v>
      </c>
      <c r="F52" s="21" t="n">
        <f aca="false">INDEX(Inputs!$B$15:$B$19,MATCH(B52,Inputs!$A$15:$A$19,0))</f>
        <v>0.07</v>
      </c>
      <c r="G52" s="21" t="n">
        <f aca="false">INDEX(Inputs!$B$23:$B$26,MATCH(C52,Inputs!$A$23:$A$26,0))</f>
        <v>0.4</v>
      </c>
      <c r="H52" s="21" t="n">
        <f aca="false">INDEX(Inputs!$B$30:$B$34,MATCH(D52,Inputs!$A$30:$A$34,0))</f>
        <v>0.2</v>
      </c>
      <c r="I52" s="22" t="n">
        <f aca="false">F52*G52*H52</f>
        <v>0.0056</v>
      </c>
      <c r="J52" s="23" t="n">
        <f aca="false">INDEX('HB Evidence'!$F$6:$F$25,MATCH(E52,'HB Evidence'!$A$6:$A$25,0))</f>
        <v>0</v>
      </c>
      <c r="K52" s="23" t="n">
        <f aca="false">INDEX('HB Evidence'!$H$6:$H$25,MATCH(E52,'HB Evidence'!$A$6:$A$25,0))</f>
        <v>0.00222377829038176</v>
      </c>
      <c r="L52" s="16" t="n">
        <v>2000</v>
      </c>
      <c r="M52" s="16" t="n">
        <v>1</v>
      </c>
      <c r="N52" s="24" t="n">
        <f aca="false">M52/L52</f>
        <v>0.0005</v>
      </c>
      <c r="O52" s="24" t="n">
        <f aca="false">IF(M52=L52,1,BETAINV(Inputs!$B$10,M52+1,L52-M52))</f>
        <v>0.00508781553003008</v>
      </c>
      <c r="P52" s="25" t="n">
        <v>0.025467</v>
      </c>
      <c r="Q52" s="26" t="n">
        <v>19.49</v>
      </c>
      <c r="R52" s="13" t="n">
        <f aca="false">I52*J52*N52*P52</f>
        <v>0</v>
      </c>
      <c r="S52" s="13" t="n">
        <f aca="false">I52*K52*O52*P52</f>
        <v>1.61357314807627E-009</v>
      </c>
      <c r="T52" s="15" t="n">
        <f aca="false">IF(Summary!$B$6&gt;0,R52/Summary!$B$6,0)</f>
        <v>0</v>
      </c>
      <c r="U52" s="13" t="n">
        <f aca="false">I52*K52</f>
        <v>1.24531584261378E-005</v>
      </c>
      <c r="V52" s="13" t="n">
        <f aca="false">I52*O52*P52</f>
        <v>7.25599829378346E-007</v>
      </c>
      <c r="W52" s="18" t="n">
        <f aca="false">INDEX('HB Evidence'!$I$6:$I$25,MATCH(E52,'HB Evidence'!$A$6:$A$25,0))</f>
        <v>0.0002</v>
      </c>
      <c r="X52" s="18" t="n">
        <f aca="false">I52*W52*N52*P52</f>
        <v>1.426152E-011</v>
      </c>
      <c r="Y52" s="27" t="n">
        <f aca="false">SUMIF('Concrete Scenarios'!$B$6:$B$1005,A52,'Concrete Scenarios'!$N$6:$N$1005)</f>
        <v>6.9412956655736</v>
      </c>
      <c r="Z52" s="28" t="n">
        <f aca="false">IF(SUMIF('Concrete Scenarios'!$B$6:$B$1005,A52,'Concrete Scenarios'!$T$6:$T$1005)&gt;0,Y52^2/SUMIF('Concrete Scenarios'!$B$6:$B$1005,A52,'Concrete Scenarios'!$T$6:$T$1005),0)</f>
        <v>3.58121272136702</v>
      </c>
      <c r="AA52" s="29" t="n">
        <f aca="false">SUMIF('Concrete Scenarios'!$B$6:$B$1005,A52,'Concrete Scenarios'!$O$6:$O$1005)</f>
        <v>0</v>
      </c>
      <c r="AB52" s="23" t="n">
        <f aca="false">SUMIF('Concrete Scenarios'!$B$6:$B$1005,A52,'Concrete Scenarios'!$S$6:$S$1005)/COUNTIF('Concrete Scenarios'!$B$6:$B$1005,A52)</f>
        <v>0</v>
      </c>
      <c r="AC52" s="13" t="n">
        <f aca="false">I52*J52*AB52</f>
        <v>0</v>
      </c>
    </row>
    <row r="53" customFormat="false" ht="15" hidden="false" customHeight="false" outlineLevel="0" collapsed="false">
      <c r="A53" s="5" t="s">
        <v>185</v>
      </c>
      <c r="B53" s="5" t="s">
        <v>57</v>
      </c>
      <c r="C53" s="5" t="s">
        <v>64</v>
      </c>
      <c r="D53" s="5" t="s">
        <v>71</v>
      </c>
      <c r="E53" s="5" t="s">
        <v>97</v>
      </c>
      <c r="F53" s="21" t="n">
        <f aca="false">INDEX(Inputs!$B$15:$B$19,MATCH(B53,Inputs!$A$15:$A$19,0))</f>
        <v>0.07</v>
      </c>
      <c r="G53" s="21" t="n">
        <f aca="false">INDEX(Inputs!$B$23:$B$26,MATCH(C53,Inputs!$A$23:$A$26,0))</f>
        <v>0.4</v>
      </c>
      <c r="H53" s="21" t="n">
        <f aca="false">INDEX(Inputs!$B$30:$B$34,MATCH(D53,Inputs!$A$30:$A$34,0))</f>
        <v>0.15</v>
      </c>
      <c r="I53" s="22" t="n">
        <f aca="false">F53*G53*H53</f>
        <v>0.0042</v>
      </c>
      <c r="J53" s="23" t="n">
        <f aca="false">INDEX('HB Evidence'!$F$6:$F$25,MATCH(E53,'HB Evidence'!$A$6:$A$25,0))</f>
        <v>0</v>
      </c>
      <c r="K53" s="23" t="n">
        <f aca="false">INDEX('HB Evidence'!$H$6:$H$25,MATCH(E53,'HB Evidence'!$A$6:$A$25,0))</f>
        <v>0.00222377829038176</v>
      </c>
      <c r="L53" s="16" t="n">
        <v>2000</v>
      </c>
      <c r="M53" s="16" t="n">
        <v>8</v>
      </c>
      <c r="N53" s="24" t="n">
        <f aca="false">M53/L53</f>
        <v>0.004</v>
      </c>
      <c r="O53" s="24" t="n">
        <f aca="false">IF(M53=L53,1,BETAINV(Inputs!$B$10,M53+1,L53-M53))</f>
        <v>0.0112052408385336</v>
      </c>
      <c r="P53" s="25" t="n">
        <v>0.123701</v>
      </c>
      <c r="Q53" s="26" t="n">
        <v>23.02</v>
      </c>
      <c r="R53" s="13" t="n">
        <f aca="false">I53*J53*N53*P53</f>
        <v>0</v>
      </c>
      <c r="S53" s="13" t="n">
        <f aca="false">I53*K53*O53*P53</f>
        <v>1.29459874725942E-008</v>
      </c>
      <c r="T53" s="15" t="n">
        <f aca="false">IF(Summary!$B$6&gt;0,R53/Summary!$B$6,0)</f>
        <v>0</v>
      </c>
      <c r="U53" s="13" t="n">
        <f aca="false">I53*K53</f>
        <v>9.33986881960338E-006</v>
      </c>
      <c r="V53" s="13" t="n">
        <f aca="false">I53*O53*P53</f>
        <v>5.82161788726328E-006</v>
      </c>
      <c r="W53" s="18" t="n">
        <f aca="false">INDEX('HB Evidence'!$I$6:$I$25,MATCH(E53,'HB Evidence'!$A$6:$A$25,0))</f>
        <v>0.0002</v>
      </c>
      <c r="X53" s="18" t="n">
        <f aca="false">I53*W53*N53*P53</f>
        <v>4.1563536E-010</v>
      </c>
      <c r="Y53" s="27" t="n">
        <f aca="false">SUMIF('Concrete Scenarios'!$B$6:$B$1005,A53,'Concrete Scenarios'!$N$6:$N$1005)</f>
        <v>5.33760656623452</v>
      </c>
      <c r="Z53" s="28" t="n">
        <f aca="false">IF(SUMIF('Concrete Scenarios'!$B$6:$B$1005,A53,'Concrete Scenarios'!$T$6:$T$1005)&gt;0,Y53^2/SUMIF('Concrete Scenarios'!$B$6:$B$1005,A53,'Concrete Scenarios'!$T$6:$T$1005),0)</f>
        <v>4.74532321934695</v>
      </c>
      <c r="AA53" s="29" t="n">
        <f aca="false">SUMIF('Concrete Scenarios'!$B$6:$B$1005,A53,'Concrete Scenarios'!$O$6:$O$1005)</f>
        <v>1</v>
      </c>
      <c r="AB53" s="23" t="n">
        <f aca="false">SUMIF('Concrete Scenarios'!$B$6:$B$1005,A53,'Concrete Scenarios'!$S$6:$S$1005)/COUNTIF('Concrete Scenarios'!$B$6:$B$1005,A53)</f>
        <v>0.000163128494489537</v>
      </c>
      <c r="AC53" s="13" t="n">
        <f aca="false">I53*J53*AB53</f>
        <v>0</v>
      </c>
    </row>
    <row r="54" customFormat="false" ht="15" hidden="false" customHeight="false" outlineLevel="0" collapsed="false">
      <c r="A54" s="5" t="s">
        <v>186</v>
      </c>
      <c r="B54" s="5" t="s">
        <v>57</v>
      </c>
      <c r="C54" s="5" t="s">
        <v>64</v>
      </c>
      <c r="D54" s="5" t="s">
        <v>72</v>
      </c>
      <c r="E54" s="5" t="s">
        <v>97</v>
      </c>
      <c r="F54" s="21" t="n">
        <f aca="false">INDEX(Inputs!$B$15:$B$19,MATCH(B54,Inputs!$A$15:$A$19,0))</f>
        <v>0.07</v>
      </c>
      <c r="G54" s="21" t="n">
        <f aca="false">INDEX(Inputs!$B$23:$B$26,MATCH(C54,Inputs!$A$23:$A$26,0))</f>
        <v>0.4</v>
      </c>
      <c r="H54" s="21" t="n">
        <f aca="false">INDEX(Inputs!$B$30:$B$34,MATCH(D54,Inputs!$A$30:$A$34,0))</f>
        <v>0.13</v>
      </c>
      <c r="I54" s="22" t="n">
        <f aca="false">F54*G54*H54</f>
        <v>0.00364</v>
      </c>
      <c r="J54" s="23" t="n">
        <f aca="false">INDEX('HB Evidence'!$F$6:$F$25,MATCH(E54,'HB Evidence'!$A$6:$A$25,0))</f>
        <v>0</v>
      </c>
      <c r="K54" s="23" t="n">
        <f aca="false">INDEX('HB Evidence'!$H$6:$H$25,MATCH(E54,'HB Evidence'!$A$6:$A$25,0))</f>
        <v>0.00222377829038176</v>
      </c>
      <c r="L54" s="16" t="n">
        <v>2000</v>
      </c>
      <c r="M54" s="16" t="n">
        <v>32</v>
      </c>
      <c r="N54" s="24" t="n">
        <f aca="false">M54/L54</f>
        <v>0.016</v>
      </c>
      <c r="O54" s="24" t="n">
        <f aca="false">IF(M54=L54,1,BETAINV(Inputs!$B$10,M54+1,L54-M54))</f>
        <v>0.0276537862541115</v>
      </c>
      <c r="P54" s="25" t="n">
        <v>0.038691</v>
      </c>
      <c r="Q54" s="26" t="n">
        <v>17.5</v>
      </c>
      <c r="R54" s="13" t="n">
        <f aca="false">I54*J54*N54*P54</f>
        <v>0</v>
      </c>
      <c r="S54" s="13" t="n">
        <f aca="false">I54*K54*O54*P54</f>
        <v>8.66078835938672E-009</v>
      </c>
      <c r="T54" s="15" t="n">
        <f aca="false">IF(Summary!$B$6&gt;0,R54/Summary!$B$6,0)</f>
        <v>0</v>
      </c>
      <c r="U54" s="13" t="n">
        <f aca="false">I54*K54</f>
        <v>8.0945529769896E-006</v>
      </c>
      <c r="V54" s="13" t="n">
        <f aca="false">I54*O54*P54</f>
        <v>3.89462762400649E-006</v>
      </c>
      <c r="W54" s="18" t="n">
        <f aca="false">INDEX('HB Evidence'!$I$6:$I$25,MATCH(E54,'HB Evidence'!$A$6:$A$25,0))</f>
        <v>0.0002</v>
      </c>
      <c r="X54" s="18" t="n">
        <f aca="false">I54*W54*N54*P54</f>
        <v>4.50672768E-010</v>
      </c>
      <c r="Y54" s="27" t="n">
        <f aca="false">SUMIF('Concrete Scenarios'!$B$6:$B$1005,A54,'Concrete Scenarios'!$N$6:$N$1005)</f>
        <v>5.97861216848577</v>
      </c>
      <c r="Z54" s="28" t="n">
        <f aca="false">IF(SUMIF('Concrete Scenarios'!$B$6:$B$1005,A54,'Concrete Scenarios'!$T$6:$T$1005)&gt;0,Y54^2/SUMIF('Concrete Scenarios'!$B$6:$B$1005,A54,'Concrete Scenarios'!$T$6:$T$1005),0)</f>
        <v>4.84313828207517</v>
      </c>
      <c r="AA54" s="29" t="n">
        <f aca="false">SUMIF('Concrete Scenarios'!$B$6:$B$1005,A54,'Concrete Scenarios'!$O$6:$O$1005)</f>
        <v>1</v>
      </c>
      <c r="AB54" s="23" t="n">
        <f aca="false">SUMIF('Concrete Scenarios'!$B$6:$B$1005,A54,'Concrete Scenarios'!$S$6:$S$1005)/COUNTIF('Concrete Scenarios'!$B$6:$B$1005,A54)</f>
        <v>0.000364982642627421</v>
      </c>
      <c r="AC54" s="13" t="n">
        <f aca="false">I54*J54*AB54</f>
        <v>0</v>
      </c>
    </row>
    <row r="55" customFormat="false" ht="15" hidden="false" customHeight="false" outlineLevel="0" collapsed="false">
      <c r="A55" s="5" t="s">
        <v>187</v>
      </c>
      <c r="B55" s="5" t="s">
        <v>57</v>
      </c>
      <c r="C55" s="5" t="s">
        <v>64</v>
      </c>
      <c r="D55" s="5" t="s">
        <v>73</v>
      </c>
      <c r="E55" s="5" t="s">
        <v>97</v>
      </c>
      <c r="F55" s="21" t="n">
        <f aca="false">INDEX(Inputs!$B$15:$B$19,MATCH(B55,Inputs!$A$15:$A$19,0))</f>
        <v>0.07</v>
      </c>
      <c r="G55" s="21" t="n">
        <f aca="false">INDEX(Inputs!$B$23:$B$26,MATCH(C55,Inputs!$A$23:$A$26,0))</f>
        <v>0.4</v>
      </c>
      <c r="H55" s="21" t="n">
        <f aca="false">INDEX(Inputs!$B$30:$B$34,MATCH(D55,Inputs!$A$30:$A$34,0))</f>
        <v>0.07</v>
      </c>
      <c r="I55" s="22" t="n">
        <f aca="false">F55*G55*H55</f>
        <v>0.00196</v>
      </c>
      <c r="J55" s="23" t="n">
        <f aca="false">INDEX('HB Evidence'!$F$6:$F$25,MATCH(E55,'HB Evidence'!$A$6:$A$25,0))</f>
        <v>0</v>
      </c>
      <c r="K55" s="23" t="n">
        <f aca="false">INDEX('HB Evidence'!$H$6:$H$25,MATCH(E55,'HB Evidence'!$A$6:$A$25,0))</f>
        <v>0.00222377829038176</v>
      </c>
      <c r="L55" s="16" t="n">
        <v>2000</v>
      </c>
      <c r="M55" s="16" t="n">
        <v>172</v>
      </c>
      <c r="N55" s="24" t="n">
        <f aca="false">M55/L55</f>
        <v>0.086</v>
      </c>
      <c r="O55" s="24" t="n">
        <f aca="false">IF(M55=L55,1,BETAINV(Inputs!$B$10,M55+1,L55-M55))</f>
        <v>0.10883196493109</v>
      </c>
      <c r="P55" s="25" t="n">
        <v>0.029092</v>
      </c>
      <c r="Q55" s="26" t="n">
        <v>16.11</v>
      </c>
      <c r="R55" s="13" t="n">
        <f aca="false">I55*J55*N55*P55</f>
        <v>0</v>
      </c>
      <c r="S55" s="13" t="n">
        <f aca="false">I55*K55*O55*P55</f>
        <v>1.37999529810906E-008</v>
      </c>
      <c r="T55" s="15" t="n">
        <f aca="false">IF(Summary!$B$6&gt;0,R55/Summary!$B$6,0)</f>
        <v>0</v>
      </c>
      <c r="U55" s="13" t="n">
        <f aca="false">I55*K55</f>
        <v>4.35860544914824E-006</v>
      </c>
      <c r="V55" s="13" t="n">
        <f aca="false">I55*O55*P55</f>
        <v>6.20563346659955E-006</v>
      </c>
      <c r="W55" s="18" t="n">
        <f aca="false">INDEX('HB Evidence'!$I$6:$I$25,MATCH(E55,'HB Evidence'!$A$6:$A$25,0))</f>
        <v>0.0002</v>
      </c>
      <c r="X55" s="18" t="n">
        <f aca="false">I55*W55*N55*P55</f>
        <v>9.80749504E-010</v>
      </c>
      <c r="Y55" s="27" t="n">
        <f aca="false">SUMIF('Concrete Scenarios'!$B$6:$B$1005,A55,'Concrete Scenarios'!$N$6:$N$1005)</f>
        <v>7.69523207720286</v>
      </c>
      <c r="Z55" s="28" t="n">
        <f aca="false">IF(SUMIF('Concrete Scenarios'!$B$6:$B$1005,A55,'Concrete Scenarios'!$T$6:$T$1005)&gt;0,Y55^2/SUMIF('Concrete Scenarios'!$B$6:$B$1005,A55,'Concrete Scenarios'!$T$6:$T$1005),0)</f>
        <v>4.90705549827612</v>
      </c>
      <c r="AA55" s="29" t="n">
        <f aca="false">SUMIF('Concrete Scenarios'!$B$6:$B$1005,A55,'Concrete Scenarios'!$O$6:$O$1005)</f>
        <v>4</v>
      </c>
      <c r="AB55" s="23" t="n">
        <f aca="false">SUMIF('Concrete Scenarios'!$B$6:$B$1005,A55,'Concrete Scenarios'!$S$6:$S$1005)/COUNTIF('Concrete Scenarios'!$B$6:$B$1005,A55)</f>
        <v>0.00217494035424577</v>
      </c>
      <c r="AC55" s="13" t="n">
        <f aca="false">I55*J55*AB55</f>
        <v>0</v>
      </c>
    </row>
    <row r="56" customFormat="false" ht="15" hidden="false" customHeight="false" outlineLevel="0" collapsed="false">
      <c r="A56" s="5" t="s">
        <v>188</v>
      </c>
      <c r="B56" s="5" t="s">
        <v>57</v>
      </c>
      <c r="C56" s="5" t="s">
        <v>65</v>
      </c>
      <c r="D56" s="5" t="s">
        <v>68</v>
      </c>
      <c r="E56" s="5" t="s">
        <v>98</v>
      </c>
      <c r="F56" s="21" t="n">
        <f aca="false">INDEX(Inputs!$B$15:$B$19,MATCH(B56,Inputs!$A$15:$A$19,0))</f>
        <v>0.07</v>
      </c>
      <c r="G56" s="21" t="n">
        <f aca="false">INDEX(Inputs!$B$23:$B$26,MATCH(C56,Inputs!$A$23:$A$26,0))</f>
        <v>0.15</v>
      </c>
      <c r="H56" s="21" t="n">
        <f aca="false">INDEX(Inputs!$B$30:$B$34,MATCH(D56,Inputs!$A$30:$A$34,0))</f>
        <v>0.45</v>
      </c>
      <c r="I56" s="22" t="n">
        <f aca="false">F56*G56*H56</f>
        <v>0.004725</v>
      </c>
      <c r="J56" s="23" t="n">
        <f aca="false">INDEX('HB Evidence'!$F$6:$F$25,MATCH(E56,'HB Evidence'!$A$6:$A$25,0))</f>
        <v>0</v>
      </c>
      <c r="K56" s="23" t="n">
        <f aca="false">INDEX('HB Evidence'!$H$6:$H$25,MATCH(E56,'HB Evidence'!$A$6:$A$25,0))</f>
        <v>0.00389161200816807</v>
      </c>
      <c r="L56" s="16" t="n">
        <v>2000</v>
      </c>
      <c r="M56" s="16" t="n">
        <v>0</v>
      </c>
      <c r="N56" s="24" t="n">
        <f aca="false">M56/L56</f>
        <v>0</v>
      </c>
      <c r="O56" s="24" t="n">
        <f aca="false">IF(M56=L56,1,BETAINV(Inputs!$B$10,M56+1,L56-M56))</f>
        <v>0.00388404949945426</v>
      </c>
      <c r="P56" s="25" t="n">
        <v>0</v>
      </c>
      <c r="Q56" s="26" t="n">
        <v>0</v>
      </c>
      <c r="R56" s="13" t="n">
        <f aca="false">I56*J56*N56*P56</f>
        <v>0</v>
      </c>
      <c r="S56" s="13" t="n">
        <f aca="false">I56*K56*O56*P56</f>
        <v>0</v>
      </c>
      <c r="T56" s="15" t="n">
        <f aca="false">IF(Summary!$B$6&gt;0,R56/Summary!$B$6,0)</f>
        <v>0</v>
      </c>
      <c r="U56" s="13" t="n">
        <f aca="false">I56*K56</f>
        <v>1.83878667385942E-005</v>
      </c>
      <c r="V56" s="13" t="n">
        <f aca="false">I56*O56*P56</f>
        <v>0</v>
      </c>
      <c r="W56" s="18" t="n">
        <f aca="false">INDEX('HB Evidence'!$I$6:$I$25,MATCH(E56,'HB Evidence'!$A$6:$A$25,0))</f>
        <v>0.00024</v>
      </c>
      <c r="X56" s="18" t="n">
        <f aca="false">I56*W56*N56*P56</f>
        <v>0</v>
      </c>
      <c r="Y56" s="27" t="n">
        <f aca="false">SUMIF('Concrete Scenarios'!$B$6:$B$1005,A56,'Concrete Scenarios'!$N$6:$N$1005)</f>
        <v>12.104044094186</v>
      </c>
      <c r="Z56" s="28" t="n">
        <f aca="false">IF(SUMIF('Concrete Scenarios'!$B$6:$B$1005,A56,'Concrete Scenarios'!$T$6:$T$1005)&gt;0,Y56^2/SUMIF('Concrete Scenarios'!$B$6:$B$1005,A56,'Concrete Scenarios'!$T$6:$T$1005),0)</f>
        <v>4.3087872792656</v>
      </c>
      <c r="AA56" s="29" t="n">
        <f aca="false">SUMIF('Concrete Scenarios'!$B$6:$B$1005,A56,'Concrete Scenarios'!$O$6:$O$1005)</f>
        <v>0</v>
      </c>
      <c r="AB56" s="23" t="n">
        <f aca="false">SUMIF('Concrete Scenarios'!$B$6:$B$1005,A56,'Concrete Scenarios'!$S$6:$S$1005)/COUNTIF('Concrete Scenarios'!$B$6:$B$1005,A56)</f>
        <v>0</v>
      </c>
      <c r="AC56" s="13" t="n">
        <f aca="false">I56*J56*AB56</f>
        <v>0</v>
      </c>
    </row>
    <row r="57" customFormat="false" ht="15" hidden="false" customHeight="false" outlineLevel="0" collapsed="false">
      <c r="A57" s="5" t="s">
        <v>189</v>
      </c>
      <c r="B57" s="5" t="s">
        <v>57</v>
      </c>
      <c r="C57" s="5" t="s">
        <v>65</v>
      </c>
      <c r="D57" s="5" t="s">
        <v>70</v>
      </c>
      <c r="E57" s="5" t="s">
        <v>98</v>
      </c>
      <c r="F57" s="21" t="n">
        <f aca="false">INDEX(Inputs!$B$15:$B$19,MATCH(B57,Inputs!$A$15:$A$19,0))</f>
        <v>0.07</v>
      </c>
      <c r="G57" s="21" t="n">
        <f aca="false">INDEX(Inputs!$B$23:$B$26,MATCH(C57,Inputs!$A$23:$A$26,0))</f>
        <v>0.15</v>
      </c>
      <c r="H57" s="21" t="n">
        <f aca="false">INDEX(Inputs!$B$30:$B$34,MATCH(D57,Inputs!$A$30:$A$34,0))</f>
        <v>0.2</v>
      </c>
      <c r="I57" s="22" t="n">
        <f aca="false">F57*G57*H57</f>
        <v>0.0021</v>
      </c>
      <c r="J57" s="23" t="n">
        <f aca="false">INDEX('HB Evidence'!$F$6:$F$25,MATCH(E57,'HB Evidence'!$A$6:$A$25,0))</f>
        <v>0</v>
      </c>
      <c r="K57" s="23" t="n">
        <f aca="false">INDEX('HB Evidence'!$H$6:$H$25,MATCH(E57,'HB Evidence'!$A$6:$A$25,0))</f>
        <v>0.00389161200816807</v>
      </c>
      <c r="L57" s="16" t="n">
        <v>2000</v>
      </c>
      <c r="M57" s="16" t="n">
        <v>0</v>
      </c>
      <c r="N57" s="24" t="n">
        <f aca="false">M57/L57</f>
        <v>0</v>
      </c>
      <c r="O57" s="24" t="n">
        <f aca="false">IF(M57=L57,1,BETAINV(Inputs!$B$10,M57+1,L57-M57))</f>
        <v>0.00388404949945426</v>
      </c>
      <c r="P57" s="25" t="n">
        <v>0</v>
      </c>
      <c r="Q57" s="26" t="n">
        <v>0</v>
      </c>
      <c r="R57" s="13" t="n">
        <f aca="false">I57*J57*N57*P57</f>
        <v>0</v>
      </c>
      <c r="S57" s="13" t="n">
        <f aca="false">I57*K57*O57*P57</f>
        <v>0</v>
      </c>
      <c r="T57" s="15" t="n">
        <f aca="false">IF(Summary!$B$6&gt;0,R57/Summary!$B$6,0)</f>
        <v>0</v>
      </c>
      <c r="U57" s="13" t="n">
        <f aca="false">I57*K57</f>
        <v>8.17238521715296E-006</v>
      </c>
      <c r="V57" s="13" t="n">
        <f aca="false">I57*O57*P57</f>
        <v>0</v>
      </c>
      <c r="W57" s="18" t="n">
        <f aca="false">INDEX('HB Evidence'!$I$6:$I$25,MATCH(E57,'HB Evidence'!$A$6:$A$25,0))</f>
        <v>0.00024</v>
      </c>
      <c r="X57" s="18" t="n">
        <f aca="false">I57*W57*N57*P57</f>
        <v>0</v>
      </c>
      <c r="Y57" s="27" t="n">
        <f aca="false">SUMIF('Concrete Scenarios'!$B$6:$B$1005,A57,'Concrete Scenarios'!$N$6:$N$1005)</f>
        <v>14.5706063428666</v>
      </c>
      <c r="Z57" s="28" t="n">
        <f aca="false">IF(SUMIF('Concrete Scenarios'!$B$6:$B$1005,A57,'Concrete Scenarios'!$T$6:$T$1005)&gt;0,Y57^2/SUMIF('Concrete Scenarios'!$B$6:$B$1005,A57,'Concrete Scenarios'!$T$6:$T$1005),0)</f>
        <v>2.14650691530151</v>
      </c>
      <c r="AA57" s="29" t="n">
        <f aca="false">SUMIF('Concrete Scenarios'!$B$6:$B$1005,A57,'Concrete Scenarios'!$O$6:$O$1005)</f>
        <v>0</v>
      </c>
      <c r="AB57" s="23" t="n">
        <f aca="false">SUMIF('Concrete Scenarios'!$B$6:$B$1005,A57,'Concrete Scenarios'!$S$6:$S$1005)/COUNTIF('Concrete Scenarios'!$B$6:$B$1005,A57)</f>
        <v>0</v>
      </c>
      <c r="AC57" s="13" t="n">
        <f aca="false">I57*J57*AB57</f>
        <v>0</v>
      </c>
    </row>
    <row r="58" customFormat="false" ht="15" hidden="false" customHeight="false" outlineLevel="0" collapsed="false">
      <c r="A58" s="5" t="s">
        <v>190</v>
      </c>
      <c r="B58" s="5" t="s">
        <v>57</v>
      </c>
      <c r="C58" s="5" t="s">
        <v>65</v>
      </c>
      <c r="D58" s="5" t="s">
        <v>71</v>
      </c>
      <c r="E58" s="5" t="s">
        <v>98</v>
      </c>
      <c r="F58" s="21" t="n">
        <f aca="false">INDEX(Inputs!$B$15:$B$19,MATCH(B58,Inputs!$A$15:$A$19,0))</f>
        <v>0.07</v>
      </c>
      <c r="G58" s="21" t="n">
        <f aca="false">INDEX(Inputs!$B$23:$B$26,MATCH(C58,Inputs!$A$23:$A$26,0))</f>
        <v>0.15</v>
      </c>
      <c r="H58" s="21" t="n">
        <f aca="false">INDEX(Inputs!$B$30:$B$34,MATCH(D58,Inputs!$A$30:$A$34,0))</f>
        <v>0.15</v>
      </c>
      <c r="I58" s="22" t="n">
        <f aca="false">F58*G58*H58</f>
        <v>0.001575</v>
      </c>
      <c r="J58" s="23" t="n">
        <f aca="false">INDEX('HB Evidence'!$F$6:$F$25,MATCH(E58,'HB Evidence'!$A$6:$A$25,0))</f>
        <v>0</v>
      </c>
      <c r="K58" s="23" t="n">
        <f aca="false">INDEX('HB Evidence'!$H$6:$H$25,MATCH(E58,'HB Evidence'!$A$6:$A$25,0))</f>
        <v>0.00389161200816807</v>
      </c>
      <c r="L58" s="16" t="n">
        <v>2000</v>
      </c>
      <c r="M58" s="16" t="n">
        <v>2</v>
      </c>
      <c r="N58" s="24" t="n">
        <f aca="false">M58/L58</f>
        <v>0.001</v>
      </c>
      <c r="O58" s="24" t="n">
        <f aca="false">IF(M58=L58,1,BETAINV(Inputs!$B$10,M58+1,L58-M58))</f>
        <v>0.00611737163154275</v>
      </c>
      <c r="P58" s="25" t="n">
        <v>0.230994</v>
      </c>
      <c r="Q58" s="26" t="n">
        <v>33.24</v>
      </c>
      <c r="R58" s="13" t="n">
        <f aca="false">I58*J58*N58*P58</f>
        <v>0</v>
      </c>
      <c r="S58" s="13" t="n">
        <f aca="false">I58*K58*O58*P58</f>
        <v>8.66115193421866E-009</v>
      </c>
      <c r="T58" s="15" t="n">
        <f aca="false">IF(Summary!$B$6&gt;0,R58/Summary!$B$6,0)</f>
        <v>0</v>
      </c>
      <c r="U58" s="13" t="n">
        <f aca="false">I58*K58</f>
        <v>6.12928891286472E-006</v>
      </c>
      <c r="V58" s="13" t="n">
        <f aca="false">I58*O58*P58</f>
        <v>2.22559492468412E-006</v>
      </c>
      <c r="W58" s="18" t="n">
        <f aca="false">INDEX('HB Evidence'!$I$6:$I$25,MATCH(E58,'HB Evidence'!$A$6:$A$25,0))</f>
        <v>0.00024</v>
      </c>
      <c r="X58" s="18" t="n">
        <f aca="false">I58*W58*N58*P58</f>
        <v>8.7315732E-011</v>
      </c>
      <c r="Y58" s="27" t="n">
        <f aca="false">SUMIF('Concrete Scenarios'!$B$6:$B$1005,A58,'Concrete Scenarios'!$N$6:$N$1005)</f>
        <v>15.702192642759</v>
      </c>
      <c r="Z58" s="28" t="n">
        <f aca="false">IF(SUMIF('Concrete Scenarios'!$B$6:$B$1005,A58,'Concrete Scenarios'!$T$6:$T$1005)&gt;0,Y58^2/SUMIF('Concrete Scenarios'!$B$6:$B$1005,A58,'Concrete Scenarios'!$T$6:$T$1005),0)</f>
        <v>2.95436300889413</v>
      </c>
      <c r="AA58" s="29" t="n">
        <f aca="false">SUMIF('Concrete Scenarios'!$B$6:$B$1005,A58,'Concrete Scenarios'!$O$6:$O$1005)</f>
        <v>0</v>
      </c>
      <c r="AB58" s="23" t="n">
        <f aca="false">SUMIF('Concrete Scenarios'!$B$6:$B$1005,A58,'Concrete Scenarios'!$S$6:$S$1005)/COUNTIF('Concrete Scenarios'!$B$6:$B$1005,A58)</f>
        <v>0</v>
      </c>
      <c r="AC58" s="13" t="n">
        <f aca="false">I58*J58*AB58</f>
        <v>0</v>
      </c>
    </row>
    <row r="59" customFormat="false" ht="15" hidden="false" customHeight="false" outlineLevel="0" collapsed="false">
      <c r="A59" s="5" t="s">
        <v>191</v>
      </c>
      <c r="B59" s="5" t="s">
        <v>57</v>
      </c>
      <c r="C59" s="5" t="s">
        <v>65</v>
      </c>
      <c r="D59" s="5" t="s">
        <v>72</v>
      </c>
      <c r="E59" s="5" t="s">
        <v>98</v>
      </c>
      <c r="F59" s="21" t="n">
        <f aca="false">INDEX(Inputs!$B$15:$B$19,MATCH(B59,Inputs!$A$15:$A$19,0))</f>
        <v>0.07</v>
      </c>
      <c r="G59" s="21" t="n">
        <f aca="false">INDEX(Inputs!$B$23:$B$26,MATCH(C59,Inputs!$A$23:$A$26,0))</f>
        <v>0.15</v>
      </c>
      <c r="H59" s="21" t="n">
        <f aca="false">INDEX(Inputs!$B$30:$B$34,MATCH(D59,Inputs!$A$30:$A$34,0))</f>
        <v>0.13</v>
      </c>
      <c r="I59" s="22" t="n">
        <f aca="false">F59*G59*H59</f>
        <v>0.001365</v>
      </c>
      <c r="J59" s="23" t="n">
        <f aca="false">INDEX('HB Evidence'!$F$6:$F$25,MATCH(E59,'HB Evidence'!$A$6:$A$25,0))</f>
        <v>0</v>
      </c>
      <c r="K59" s="23" t="n">
        <f aca="false">INDEX('HB Evidence'!$H$6:$H$25,MATCH(E59,'HB Evidence'!$A$6:$A$25,0))</f>
        <v>0.00389161200816807</v>
      </c>
      <c r="L59" s="16" t="n">
        <v>2000</v>
      </c>
      <c r="M59" s="16" t="n">
        <v>6</v>
      </c>
      <c r="N59" s="24" t="n">
        <f aca="false">M59/L59</f>
        <v>0.003</v>
      </c>
      <c r="O59" s="24" t="n">
        <f aca="false">IF(M59=L59,1,BETAINV(Inputs!$B$10,M59+1,L59-M59))</f>
        <v>0.00962418520988131</v>
      </c>
      <c r="P59" s="25" t="n">
        <v>0.033541</v>
      </c>
      <c r="Q59" s="26" t="n">
        <v>17.66</v>
      </c>
      <c r="R59" s="13" t="n">
        <f aca="false">I59*J59*N59*P59</f>
        <v>0</v>
      </c>
      <c r="S59" s="13" t="n">
        <f aca="false">I59*K59*O59*P59</f>
        <v>1.71475534351875E-009</v>
      </c>
      <c r="T59" s="15" t="n">
        <f aca="false">IF(Summary!$B$6&gt;0,R59/Summary!$B$6,0)</f>
        <v>0</v>
      </c>
      <c r="U59" s="13" t="n">
        <f aca="false">I59*K59</f>
        <v>5.31205039114942E-006</v>
      </c>
      <c r="V59" s="13" t="n">
        <f aca="false">I59*O59*P59</f>
        <v>4.40628546710119E-007</v>
      </c>
      <c r="W59" s="18" t="n">
        <f aca="false">INDEX('HB Evidence'!$I$6:$I$25,MATCH(E59,'HB Evidence'!$A$6:$A$25,0))</f>
        <v>0.00024</v>
      </c>
      <c r="X59" s="18" t="n">
        <f aca="false">I59*W59*N59*P59</f>
        <v>3.29640948E-011</v>
      </c>
      <c r="Y59" s="27" t="n">
        <f aca="false">SUMIF('Concrete Scenarios'!$B$6:$B$1005,A59,'Concrete Scenarios'!$N$6:$N$1005)</f>
        <v>10.9628395122528</v>
      </c>
      <c r="Z59" s="28" t="n">
        <f aca="false">IF(SUMIF('Concrete Scenarios'!$B$6:$B$1005,A59,'Concrete Scenarios'!$T$6:$T$1005)&gt;0,Y59^2/SUMIF('Concrete Scenarios'!$B$6:$B$1005,A59,'Concrete Scenarios'!$T$6:$T$1005),0)</f>
        <v>4.3500487373504</v>
      </c>
      <c r="AA59" s="29" t="n">
        <f aca="false">SUMIF('Concrete Scenarios'!$B$6:$B$1005,A59,'Concrete Scenarios'!$O$6:$O$1005)</f>
        <v>0</v>
      </c>
      <c r="AB59" s="23" t="n">
        <f aca="false">SUMIF('Concrete Scenarios'!$B$6:$B$1005,A59,'Concrete Scenarios'!$S$6:$S$1005)/COUNTIF('Concrete Scenarios'!$B$6:$B$1005,A59)</f>
        <v>0</v>
      </c>
      <c r="AC59" s="13" t="n">
        <f aca="false">I59*J59*AB59</f>
        <v>0</v>
      </c>
    </row>
    <row r="60" customFormat="false" ht="15" hidden="false" customHeight="false" outlineLevel="0" collapsed="false">
      <c r="A60" s="5" t="s">
        <v>192</v>
      </c>
      <c r="B60" s="5" t="s">
        <v>57</v>
      </c>
      <c r="C60" s="5" t="s">
        <v>65</v>
      </c>
      <c r="D60" s="5" t="s">
        <v>73</v>
      </c>
      <c r="E60" s="5" t="s">
        <v>98</v>
      </c>
      <c r="F60" s="21" t="n">
        <f aca="false">INDEX(Inputs!$B$15:$B$19,MATCH(B60,Inputs!$A$15:$A$19,0))</f>
        <v>0.07</v>
      </c>
      <c r="G60" s="21" t="n">
        <f aca="false">INDEX(Inputs!$B$23:$B$26,MATCH(C60,Inputs!$A$23:$A$26,0))</f>
        <v>0.15</v>
      </c>
      <c r="H60" s="21" t="n">
        <f aca="false">INDEX(Inputs!$B$30:$B$34,MATCH(D60,Inputs!$A$30:$A$34,0))</f>
        <v>0.07</v>
      </c>
      <c r="I60" s="22" t="n">
        <f aca="false">F60*G60*H60</f>
        <v>0.000735</v>
      </c>
      <c r="J60" s="23" t="n">
        <f aca="false">INDEX('HB Evidence'!$F$6:$F$25,MATCH(E60,'HB Evidence'!$A$6:$A$25,0))</f>
        <v>0</v>
      </c>
      <c r="K60" s="23" t="n">
        <f aca="false">INDEX('HB Evidence'!$H$6:$H$25,MATCH(E60,'HB Evidence'!$A$6:$A$25,0))</f>
        <v>0.00389161200816807</v>
      </c>
      <c r="L60" s="16" t="n">
        <v>2000</v>
      </c>
      <c r="M60" s="16" t="n">
        <v>65</v>
      </c>
      <c r="N60" s="24" t="n">
        <f aca="false">M60/L60</f>
        <v>0.0325</v>
      </c>
      <c r="O60" s="24" t="n">
        <f aca="false">IF(M60=L60,1,BETAINV(Inputs!$B$10,M60+1,L60-M60))</f>
        <v>0.0479051685686299</v>
      </c>
      <c r="P60" s="25" t="n">
        <v>0.059364</v>
      </c>
      <c r="Q60" s="26" t="n">
        <v>20</v>
      </c>
      <c r="R60" s="13" t="n">
        <f aca="false">I60*J60*N60*P60</f>
        <v>0</v>
      </c>
      <c r="S60" s="13" t="n">
        <f aca="false">I60*K60*O60*P60</f>
        <v>8.13434153335179E-009</v>
      </c>
      <c r="T60" s="15" t="n">
        <f aca="false">IF(Summary!$B$6&gt;0,R60/Summary!$B$6,0)</f>
        <v>0</v>
      </c>
      <c r="U60" s="13" t="n">
        <f aca="false">I60*K60</f>
        <v>2.86033482600353E-006</v>
      </c>
      <c r="V60" s="13" t="n">
        <f aca="false">I60*O60*P60</f>
        <v>2.09022418377749E-006</v>
      </c>
      <c r="W60" s="18" t="n">
        <f aca="false">INDEX('HB Evidence'!$I$6:$I$25,MATCH(E60,'HB Evidence'!$A$6:$A$25,0))</f>
        <v>0.00024</v>
      </c>
      <c r="X60" s="18" t="n">
        <f aca="false">I60*W60*N60*P60</f>
        <v>3.40333812E-010</v>
      </c>
      <c r="Y60" s="27" t="n">
        <f aca="false">SUMIF('Concrete Scenarios'!$B$6:$B$1005,A60,'Concrete Scenarios'!$N$6:$N$1005)</f>
        <v>7.07485984486889</v>
      </c>
      <c r="Z60" s="28" t="n">
        <f aca="false">IF(SUMIF('Concrete Scenarios'!$B$6:$B$1005,A60,'Concrete Scenarios'!$T$6:$T$1005)&gt;0,Y60^2/SUMIF('Concrete Scenarios'!$B$6:$B$1005,A60,'Concrete Scenarios'!$T$6:$T$1005),0)</f>
        <v>4.34742545641729</v>
      </c>
      <c r="AA60" s="29" t="n">
        <f aca="false">SUMIF('Concrete Scenarios'!$B$6:$B$1005,A60,'Concrete Scenarios'!$O$6:$O$1005)</f>
        <v>3</v>
      </c>
      <c r="AB60" s="23" t="n">
        <f aca="false">SUMIF('Concrete Scenarios'!$B$6:$B$1005,A60,'Concrete Scenarios'!$S$6:$S$1005)/COUNTIF('Concrete Scenarios'!$B$6:$B$1005,A60)</f>
        <v>0.00214956073208889</v>
      </c>
      <c r="AC60" s="13" t="n">
        <f aca="false">I60*J60*AB60</f>
        <v>0</v>
      </c>
    </row>
    <row r="61" customFormat="false" ht="15" hidden="false" customHeight="false" outlineLevel="0" collapsed="false">
      <c r="A61" s="5" t="s">
        <v>193</v>
      </c>
      <c r="B61" s="5" t="s">
        <v>57</v>
      </c>
      <c r="C61" s="5" t="s">
        <v>66</v>
      </c>
      <c r="D61" s="5" t="s">
        <v>68</v>
      </c>
      <c r="E61" s="5" t="s">
        <v>99</v>
      </c>
      <c r="F61" s="21" t="n">
        <f aca="false">INDEX(Inputs!$B$15:$B$19,MATCH(B61,Inputs!$A$15:$A$19,0))</f>
        <v>0.07</v>
      </c>
      <c r="G61" s="21" t="n">
        <f aca="false">INDEX(Inputs!$B$23:$B$26,MATCH(C61,Inputs!$A$23:$A$26,0))</f>
        <v>0.1</v>
      </c>
      <c r="H61" s="21" t="n">
        <f aca="false">INDEX(Inputs!$B$30:$B$34,MATCH(D61,Inputs!$A$30:$A$34,0))</f>
        <v>0.45</v>
      </c>
      <c r="I61" s="22" t="n">
        <f aca="false">F61*G61*H61</f>
        <v>0.00315</v>
      </c>
      <c r="J61" s="23" t="n">
        <f aca="false">INDEX('HB Evidence'!$F$6:$F$25,MATCH(E61,'HB Evidence'!$A$6:$A$25,0))</f>
        <v>0</v>
      </c>
      <c r="K61" s="23" t="n">
        <f aca="false">INDEX('HB Evidence'!$H$6:$H$25,MATCH(E61,'HB Evidence'!$A$6:$A$25,0))</f>
        <v>0.00518881601089077</v>
      </c>
      <c r="L61" s="16" t="n">
        <v>2000</v>
      </c>
      <c r="M61" s="16" t="n">
        <v>0</v>
      </c>
      <c r="N61" s="24" t="n">
        <f aca="false">M61/L61</f>
        <v>0</v>
      </c>
      <c r="O61" s="24" t="n">
        <f aca="false">IF(M61=L61,1,BETAINV(Inputs!$B$10,M61+1,L61-M61))</f>
        <v>0.00388404949945426</v>
      </c>
      <c r="P61" s="25" t="n">
        <v>0</v>
      </c>
      <c r="Q61" s="26" t="n">
        <v>0</v>
      </c>
      <c r="R61" s="13" t="n">
        <f aca="false">I61*J61*N61*P61</f>
        <v>0</v>
      </c>
      <c r="S61" s="13" t="n">
        <f aca="false">I61*K61*O61*P61</f>
        <v>0</v>
      </c>
      <c r="T61" s="15" t="n">
        <f aca="false">IF(Summary!$B$6&gt;0,R61/Summary!$B$6,0)</f>
        <v>0</v>
      </c>
      <c r="U61" s="13" t="n">
        <f aca="false">I61*K61</f>
        <v>1.63447704343059E-005</v>
      </c>
      <c r="V61" s="13" t="n">
        <f aca="false">I61*O61*P61</f>
        <v>0</v>
      </c>
      <c r="W61" s="18" t="n">
        <f aca="false">INDEX('HB Evidence'!$I$6:$I$25,MATCH(E61,'HB Evidence'!$A$6:$A$25,0))</f>
        <v>0.0003</v>
      </c>
      <c r="X61" s="18" t="n">
        <f aca="false">I61*W61*N61*P61</f>
        <v>0</v>
      </c>
      <c r="Y61" s="27" t="n">
        <f aca="false">SUMIF('Concrete Scenarios'!$B$6:$B$1005,A61,'Concrete Scenarios'!$N$6:$N$1005)</f>
        <v>2.35401428890267</v>
      </c>
      <c r="Z61" s="28" t="n">
        <f aca="false">IF(SUMIF('Concrete Scenarios'!$B$6:$B$1005,A61,'Concrete Scenarios'!$T$6:$T$1005)&gt;0,Y61^2/SUMIF('Concrete Scenarios'!$B$6:$B$1005,A61,'Concrete Scenarios'!$T$6:$T$1005),0)</f>
        <v>5.77323888548303</v>
      </c>
      <c r="AA61" s="29" t="n">
        <f aca="false">SUMIF('Concrete Scenarios'!$B$6:$B$1005,A61,'Concrete Scenarios'!$O$6:$O$1005)</f>
        <v>0</v>
      </c>
      <c r="AB61" s="23" t="n">
        <f aca="false">SUMIF('Concrete Scenarios'!$B$6:$B$1005,A61,'Concrete Scenarios'!$S$6:$S$1005)/COUNTIF('Concrete Scenarios'!$B$6:$B$1005,A61)</f>
        <v>0</v>
      </c>
      <c r="AC61" s="13" t="n">
        <f aca="false">I61*J61*AB61</f>
        <v>0</v>
      </c>
    </row>
    <row r="62" customFormat="false" ht="15" hidden="false" customHeight="false" outlineLevel="0" collapsed="false">
      <c r="A62" s="5" t="s">
        <v>194</v>
      </c>
      <c r="B62" s="5" t="s">
        <v>57</v>
      </c>
      <c r="C62" s="5" t="s">
        <v>66</v>
      </c>
      <c r="D62" s="5" t="s">
        <v>70</v>
      </c>
      <c r="E62" s="5" t="s">
        <v>99</v>
      </c>
      <c r="F62" s="21" t="n">
        <f aca="false">INDEX(Inputs!$B$15:$B$19,MATCH(B62,Inputs!$A$15:$A$19,0))</f>
        <v>0.07</v>
      </c>
      <c r="G62" s="21" t="n">
        <f aca="false">INDEX(Inputs!$B$23:$B$26,MATCH(C62,Inputs!$A$23:$A$26,0))</f>
        <v>0.1</v>
      </c>
      <c r="H62" s="21" t="n">
        <f aca="false">INDEX(Inputs!$B$30:$B$34,MATCH(D62,Inputs!$A$30:$A$34,0))</f>
        <v>0.2</v>
      </c>
      <c r="I62" s="22" t="n">
        <f aca="false">F62*G62*H62</f>
        <v>0.0014</v>
      </c>
      <c r="J62" s="23" t="n">
        <f aca="false">INDEX('HB Evidence'!$F$6:$F$25,MATCH(E62,'HB Evidence'!$A$6:$A$25,0))</f>
        <v>0</v>
      </c>
      <c r="K62" s="23" t="n">
        <f aca="false">INDEX('HB Evidence'!$H$6:$H$25,MATCH(E62,'HB Evidence'!$A$6:$A$25,0))</f>
        <v>0.00518881601089077</v>
      </c>
      <c r="L62" s="16" t="n">
        <v>2000</v>
      </c>
      <c r="M62" s="16" t="n">
        <v>0</v>
      </c>
      <c r="N62" s="24" t="n">
        <f aca="false">M62/L62</f>
        <v>0</v>
      </c>
      <c r="O62" s="24" t="n">
        <f aca="false">IF(M62=L62,1,BETAINV(Inputs!$B$10,M62+1,L62-M62))</f>
        <v>0.00388404949945426</v>
      </c>
      <c r="P62" s="25" t="n">
        <v>0</v>
      </c>
      <c r="Q62" s="26" t="n">
        <v>0</v>
      </c>
      <c r="R62" s="13" t="n">
        <f aca="false">I62*J62*N62*P62</f>
        <v>0</v>
      </c>
      <c r="S62" s="13" t="n">
        <f aca="false">I62*K62*O62*P62</f>
        <v>0</v>
      </c>
      <c r="T62" s="15" t="n">
        <f aca="false">IF(Summary!$B$6&gt;0,R62/Summary!$B$6,0)</f>
        <v>0</v>
      </c>
      <c r="U62" s="13" t="n">
        <f aca="false">I62*K62</f>
        <v>7.26434241524707E-006</v>
      </c>
      <c r="V62" s="13" t="n">
        <f aca="false">I62*O62*P62</f>
        <v>0</v>
      </c>
      <c r="W62" s="18" t="n">
        <f aca="false">INDEX('HB Evidence'!$I$6:$I$25,MATCH(E62,'HB Evidence'!$A$6:$A$25,0))</f>
        <v>0.0003</v>
      </c>
      <c r="X62" s="18" t="n">
        <f aca="false">I62*W62*N62*P62</f>
        <v>0</v>
      </c>
      <c r="Y62" s="27" t="n">
        <f aca="false">SUMIF('Concrete Scenarios'!$B$6:$B$1005,A62,'Concrete Scenarios'!$N$6:$N$1005)</f>
        <v>12.2665644380449</v>
      </c>
      <c r="Z62" s="28" t="n">
        <f aca="false">IF(SUMIF('Concrete Scenarios'!$B$6:$B$1005,A62,'Concrete Scenarios'!$T$6:$T$1005)&gt;0,Y62^2/SUMIF('Concrete Scenarios'!$B$6:$B$1005,A62,'Concrete Scenarios'!$T$6:$T$1005),0)</f>
        <v>2.95307077675541</v>
      </c>
      <c r="AA62" s="29" t="n">
        <f aca="false">SUMIF('Concrete Scenarios'!$B$6:$B$1005,A62,'Concrete Scenarios'!$O$6:$O$1005)</f>
        <v>0</v>
      </c>
      <c r="AB62" s="23" t="n">
        <f aca="false">SUMIF('Concrete Scenarios'!$B$6:$B$1005,A62,'Concrete Scenarios'!$S$6:$S$1005)/COUNTIF('Concrete Scenarios'!$B$6:$B$1005,A62)</f>
        <v>0</v>
      </c>
      <c r="AC62" s="13" t="n">
        <f aca="false">I62*J62*AB62</f>
        <v>0</v>
      </c>
    </row>
    <row r="63" customFormat="false" ht="15" hidden="false" customHeight="false" outlineLevel="0" collapsed="false">
      <c r="A63" s="5" t="s">
        <v>195</v>
      </c>
      <c r="B63" s="5" t="s">
        <v>57</v>
      </c>
      <c r="C63" s="5" t="s">
        <v>66</v>
      </c>
      <c r="D63" s="5" t="s">
        <v>71</v>
      </c>
      <c r="E63" s="5" t="s">
        <v>99</v>
      </c>
      <c r="F63" s="21" t="n">
        <f aca="false">INDEX(Inputs!$B$15:$B$19,MATCH(B63,Inputs!$A$15:$A$19,0))</f>
        <v>0.07</v>
      </c>
      <c r="G63" s="21" t="n">
        <f aca="false">INDEX(Inputs!$B$23:$B$26,MATCH(C63,Inputs!$A$23:$A$26,0))</f>
        <v>0.1</v>
      </c>
      <c r="H63" s="21" t="n">
        <f aca="false">INDEX(Inputs!$B$30:$B$34,MATCH(D63,Inputs!$A$30:$A$34,0))</f>
        <v>0.15</v>
      </c>
      <c r="I63" s="22" t="n">
        <f aca="false">F63*G63*H63</f>
        <v>0.00105</v>
      </c>
      <c r="J63" s="23" t="n">
        <f aca="false">INDEX('HB Evidence'!$F$6:$F$25,MATCH(E63,'HB Evidence'!$A$6:$A$25,0))</f>
        <v>0</v>
      </c>
      <c r="K63" s="23" t="n">
        <f aca="false">INDEX('HB Evidence'!$H$6:$H$25,MATCH(E63,'HB Evidence'!$A$6:$A$25,0))</f>
        <v>0.00518881601089077</v>
      </c>
      <c r="L63" s="16" t="n">
        <v>2000</v>
      </c>
      <c r="M63" s="16" t="n">
        <v>0</v>
      </c>
      <c r="N63" s="24" t="n">
        <f aca="false">M63/L63</f>
        <v>0</v>
      </c>
      <c r="O63" s="24" t="n">
        <f aca="false">IF(M63=L63,1,BETAINV(Inputs!$B$10,M63+1,L63-M63))</f>
        <v>0.00388404949945426</v>
      </c>
      <c r="P63" s="25" t="n">
        <v>0</v>
      </c>
      <c r="Q63" s="26" t="n">
        <v>0</v>
      </c>
      <c r="R63" s="13" t="n">
        <f aca="false">I63*J63*N63*P63</f>
        <v>0</v>
      </c>
      <c r="S63" s="13" t="n">
        <f aca="false">I63*K63*O63*P63</f>
        <v>0</v>
      </c>
      <c r="T63" s="15" t="n">
        <f aca="false">IF(Summary!$B$6&gt;0,R63/Summary!$B$6,0)</f>
        <v>0</v>
      </c>
      <c r="U63" s="13" t="n">
        <f aca="false">I63*K63</f>
        <v>5.44825681143531E-006</v>
      </c>
      <c r="V63" s="13" t="n">
        <f aca="false">I63*O63*P63</f>
        <v>0</v>
      </c>
      <c r="W63" s="18" t="n">
        <f aca="false">INDEX('HB Evidence'!$I$6:$I$25,MATCH(E63,'HB Evidence'!$A$6:$A$25,0))</f>
        <v>0.0003</v>
      </c>
      <c r="X63" s="18" t="n">
        <f aca="false">I63*W63*N63*P63</f>
        <v>0</v>
      </c>
      <c r="Y63" s="27" t="n">
        <f aca="false">SUMIF('Concrete Scenarios'!$B$6:$B$1005,A63,'Concrete Scenarios'!$N$6:$N$1005)</f>
        <v>6.11369824283523</v>
      </c>
      <c r="Z63" s="28" t="n">
        <f aca="false">IF(SUMIF('Concrete Scenarios'!$B$6:$B$1005,A63,'Concrete Scenarios'!$T$6:$T$1005)&gt;0,Y63^2/SUMIF('Concrete Scenarios'!$B$6:$B$1005,A63,'Concrete Scenarios'!$T$6:$T$1005),0)</f>
        <v>3.67495094738545</v>
      </c>
      <c r="AA63" s="29" t="n">
        <f aca="false">SUMIF('Concrete Scenarios'!$B$6:$B$1005,A63,'Concrete Scenarios'!$O$6:$O$1005)</f>
        <v>0</v>
      </c>
      <c r="AB63" s="23" t="n">
        <f aca="false">SUMIF('Concrete Scenarios'!$B$6:$B$1005,A63,'Concrete Scenarios'!$S$6:$S$1005)/COUNTIF('Concrete Scenarios'!$B$6:$B$1005,A63)</f>
        <v>0</v>
      </c>
      <c r="AC63" s="13" t="n">
        <f aca="false">I63*J63*AB63</f>
        <v>0</v>
      </c>
    </row>
    <row r="64" customFormat="false" ht="15" hidden="false" customHeight="false" outlineLevel="0" collapsed="false">
      <c r="A64" s="5" t="s">
        <v>196</v>
      </c>
      <c r="B64" s="5" t="s">
        <v>57</v>
      </c>
      <c r="C64" s="5" t="s">
        <v>66</v>
      </c>
      <c r="D64" s="5" t="s">
        <v>72</v>
      </c>
      <c r="E64" s="5" t="s">
        <v>99</v>
      </c>
      <c r="F64" s="21" t="n">
        <f aca="false">INDEX(Inputs!$B$15:$B$19,MATCH(B64,Inputs!$A$15:$A$19,0))</f>
        <v>0.07</v>
      </c>
      <c r="G64" s="21" t="n">
        <f aca="false">INDEX(Inputs!$B$23:$B$26,MATCH(C64,Inputs!$A$23:$A$26,0))</f>
        <v>0.1</v>
      </c>
      <c r="H64" s="21" t="n">
        <f aca="false">INDEX(Inputs!$B$30:$B$34,MATCH(D64,Inputs!$A$30:$A$34,0))</f>
        <v>0.13</v>
      </c>
      <c r="I64" s="22" t="n">
        <f aca="false">F64*G64*H64</f>
        <v>0.00091</v>
      </c>
      <c r="J64" s="23" t="n">
        <f aca="false">INDEX('HB Evidence'!$F$6:$F$25,MATCH(E64,'HB Evidence'!$A$6:$A$25,0))</f>
        <v>0</v>
      </c>
      <c r="K64" s="23" t="n">
        <f aca="false">INDEX('HB Evidence'!$H$6:$H$25,MATCH(E64,'HB Evidence'!$A$6:$A$25,0))</f>
        <v>0.00518881601089077</v>
      </c>
      <c r="L64" s="16" t="n">
        <v>2000</v>
      </c>
      <c r="M64" s="16" t="n">
        <v>1</v>
      </c>
      <c r="N64" s="24" t="n">
        <f aca="false">M64/L64</f>
        <v>0.0005</v>
      </c>
      <c r="O64" s="24" t="n">
        <f aca="false">IF(M64=L64,1,BETAINV(Inputs!$B$10,M64+1,L64-M64))</f>
        <v>0.00508781553003008</v>
      </c>
      <c r="P64" s="25" t="n">
        <v>0.596976</v>
      </c>
      <c r="Q64" s="26" t="n">
        <v>47.75</v>
      </c>
      <c r="R64" s="13" t="n">
        <f aca="false">I64*J64*N64*P64</f>
        <v>0</v>
      </c>
      <c r="S64" s="13" t="n">
        <f aca="false">I64*K64*O64*P64</f>
        <v>1.43416094638461E-008</v>
      </c>
      <c r="T64" s="15" t="n">
        <f aca="false">IF(Summary!$B$6&gt;0,R64/Summary!$B$6,0)</f>
        <v>0</v>
      </c>
      <c r="U64" s="13" t="n">
        <f aca="false">I64*K64</f>
        <v>4.7218225699106E-006</v>
      </c>
      <c r="V64" s="13" t="n">
        <f aca="false">I64*O64*P64</f>
        <v>2.76394642510827E-006</v>
      </c>
      <c r="W64" s="18" t="n">
        <f aca="false">INDEX('HB Evidence'!$I$6:$I$25,MATCH(E64,'HB Evidence'!$A$6:$A$25,0))</f>
        <v>0.0003</v>
      </c>
      <c r="X64" s="18" t="n">
        <f aca="false">I64*W64*N64*P64</f>
        <v>8.1487224E-011</v>
      </c>
      <c r="Y64" s="27" t="n">
        <f aca="false">SUMIF('Concrete Scenarios'!$B$6:$B$1005,A64,'Concrete Scenarios'!$N$6:$N$1005)</f>
        <v>13.6751385988741</v>
      </c>
      <c r="Z64" s="28" t="n">
        <f aca="false">IF(SUMIF('Concrete Scenarios'!$B$6:$B$1005,A64,'Concrete Scenarios'!$T$6:$T$1005)&gt;0,Y64^2/SUMIF('Concrete Scenarios'!$B$6:$B$1005,A64,'Concrete Scenarios'!$T$6:$T$1005),0)</f>
        <v>2.01183459774315</v>
      </c>
      <c r="AA64" s="29" t="n">
        <f aca="false">SUMIF('Concrete Scenarios'!$B$6:$B$1005,A64,'Concrete Scenarios'!$O$6:$O$1005)</f>
        <v>0</v>
      </c>
      <c r="AB64" s="23" t="n">
        <f aca="false">SUMIF('Concrete Scenarios'!$B$6:$B$1005,A64,'Concrete Scenarios'!$S$6:$S$1005)/COUNTIF('Concrete Scenarios'!$B$6:$B$1005,A64)</f>
        <v>0</v>
      </c>
      <c r="AC64" s="13" t="n">
        <f aca="false">I64*J64*AB64</f>
        <v>0</v>
      </c>
    </row>
    <row r="65" customFormat="false" ht="15" hidden="false" customHeight="false" outlineLevel="0" collapsed="false">
      <c r="A65" s="5" t="s">
        <v>197</v>
      </c>
      <c r="B65" s="5" t="s">
        <v>57</v>
      </c>
      <c r="C65" s="5" t="s">
        <v>66</v>
      </c>
      <c r="D65" s="5" t="s">
        <v>73</v>
      </c>
      <c r="E65" s="5" t="s">
        <v>99</v>
      </c>
      <c r="F65" s="21" t="n">
        <f aca="false">INDEX(Inputs!$B$15:$B$19,MATCH(B65,Inputs!$A$15:$A$19,0))</f>
        <v>0.07</v>
      </c>
      <c r="G65" s="21" t="n">
        <f aca="false">INDEX(Inputs!$B$23:$B$26,MATCH(C65,Inputs!$A$23:$A$26,0))</f>
        <v>0.1</v>
      </c>
      <c r="H65" s="21" t="n">
        <f aca="false">INDEX(Inputs!$B$30:$B$34,MATCH(D65,Inputs!$A$30:$A$34,0))</f>
        <v>0.07</v>
      </c>
      <c r="I65" s="22" t="n">
        <f aca="false">F65*G65*H65</f>
        <v>0.00049</v>
      </c>
      <c r="J65" s="23" t="n">
        <f aca="false">INDEX('HB Evidence'!$F$6:$F$25,MATCH(E65,'HB Evidence'!$A$6:$A$25,0))</f>
        <v>0</v>
      </c>
      <c r="K65" s="23" t="n">
        <f aca="false">INDEX('HB Evidence'!$H$6:$H$25,MATCH(E65,'HB Evidence'!$A$6:$A$25,0))</f>
        <v>0.00518881601089077</v>
      </c>
      <c r="L65" s="16" t="n">
        <v>2000</v>
      </c>
      <c r="M65" s="16" t="n">
        <v>23</v>
      </c>
      <c r="N65" s="24" t="n">
        <f aca="false">M65/L65</f>
        <v>0.0115</v>
      </c>
      <c r="O65" s="24" t="n">
        <f aca="false">IF(M65=L65,1,BETAINV(Inputs!$B$10,M65+1,L65-M65))</f>
        <v>0.0217946630521804</v>
      </c>
      <c r="P65" s="25" t="n">
        <v>0.04059</v>
      </c>
      <c r="Q65" s="26" t="n">
        <v>17.88</v>
      </c>
      <c r="R65" s="13" t="n">
        <f aca="false">I65*J65*N65*P65</f>
        <v>0</v>
      </c>
      <c r="S65" s="13" t="n">
        <f aca="false">I65*K65*O65*P65</f>
        <v>2.24922841766984E-009</v>
      </c>
      <c r="T65" s="15" t="n">
        <f aca="false">IF(Summary!$B$6&gt;0,R65/Summary!$B$6,0)</f>
        <v>0</v>
      </c>
      <c r="U65" s="13" t="n">
        <f aca="false">I65*K65</f>
        <v>2.54251984533648E-006</v>
      </c>
      <c r="V65" s="13" t="n">
        <f aca="false">I65*O65*P65</f>
        <v>4.33476232911122E-007</v>
      </c>
      <c r="W65" s="18" t="n">
        <f aca="false">INDEX('HB Evidence'!$I$6:$I$25,MATCH(E65,'HB Evidence'!$A$6:$A$25,0))</f>
        <v>0.0003</v>
      </c>
      <c r="X65" s="18" t="n">
        <f aca="false">I65*W65*N65*P65</f>
        <v>6.8617395E-011</v>
      </c>
      <c r="Y65" s="27" t="n">
        <f aca="false">SUMIF('Concrete Scenarios'!$B$6:$B$1005,A65,'Concrete Scenarios'!$N$6:$N$1005)</f>
        <v>12.6378934791539</v>
      </c>
      <c r="Z65" s="28" t="n">
        <f aca="false">IF(SUMIF('Concrete Scenarios'!$B$6:$B$1005,A65,'Concrete Scenarios'!$T$6:$T$1005)&gt;0,Y65^2/SUMIF('Concrete Scenarios'!$B$6:$B$1005,A65,'Concrete Scenarios'!$T$6:$T$1005),0)</f>
        <v>2.85321021713687</v>
      </c>
      <c r="AA65" s="29" t="n">
        <f aca="false">SUMIF('Concrete Scenarios'!$B$6:$B$1005,A65,'Concrete Scenarios'!$O$6:$O$1005)</f>
        <v>2</v>
      </c>
      <c r="AB65" s="23" t="n">
        <f aca="false">SUMIF('Concrete Scenarios'!$B$6:$B$1005,A65,'Concrete Scenarios'!$S$6:$S$1005)/COUNTIF('Concrete Scenarios'!$B$6:$B$1005,A65)</f>
        <v>0.000111985834145908</v>
      </c>
      <c r="AC65" s="13" t="n">
        <f aca="false">I65*J65*AB65</f>
        <v>0</v>
      </c>
    </row>
    <row r="66" customFormat="false" ht="15" hidden="false" customHeight="false" outlineLevel="0" collapsed="false">
      <c r="A66" s="5" t="s">
        <v>198</v>
      </c>
      <c r="B66" s="5" t="s">
        <v>58</v>
      </c>
      <c r="C66" s="5" t="s">
        <v>62</v>
      </c>
      <c r="D66" s="5" t="s">
        <v>68</v>
      </c>
      <c r="E66" s="5" t="s">
        <v>100</v>
      </c>
      <c r="F66" s="21" t="n">
        <f aca="false">INDEX(Inputs!$B$15:$B$19,MATCH(B66,Inputs!$A$15:$A$19,0))</f>
        <v>0.05</v>
      </c>
      <c r="G66" s="21" t="n">
        <f aca="false">INDEX(Inputs!$B$23:$B$26,MATCH(C66,Inputs!$A$23:$A$26,0))</f>
        <v>0.35</v>
      </c>
      <c r="H66" s="21" t="n">
        <f aca="false">INDEX(Inputs!$B$30:$B$34,MATCH(D66,Inputs!$A$30:$A$34,0))</f>
        <v>0.45</v>
      </c>
      <c r="I66" s="22" t="n">
        <f aca="false">F66*G66*H66</f>
        <v>0.007875</v>
      </c>
      <c r="J66" s="23" t="n">
        <f aca="false">INDEX('HB Evidence'!$F$6:$F$25,MATCH(E66,'HB Evidence'!$A$6:$A$25,0))</f>
        <v>0.0008</v>
      </c>
      <c r="K66" s="23" t="n">
        <f aca="false">INDEX('HB Evidence'!$H$6:$H$25,MATCH(E66,'HB Evidence'!$A$6:$A$25,0))</f>
        <v>0.00490647139970048</v>
      </c>
      <c r="L66" s="16" t="n">
        <v>2000</v>
      </c>
      <c r="M66" s="16" t="n">
        <v>0</v>
      </c>
      <c r="N66" s="24" t="n">
        <f aca="false">M66/L66</f>
        <v>0</v>
      </c>
      <c r="O66" s="24" t="n">
        <f aca="false">IF(M66=L66,1,BETAINV(Inputs!$B$10,M66+1,L66-M66))</f>
        <v>0.00388404949945426</v>
      </c>
      <c r="P66" s="25" t="n">
        <v>0</v>
      </c>
      <c r="Q66" s="26" t="n">
        <v>0</v>
      </c>
      <c r="R66" s="13" t="n">
        <f aca="false">I66*J66*N66*P66</f>
        <v>0</v>
      </c>
      <c r="S66" s="13" t="n">
        <f aca="false">I66*K66*O66*P66</f>
        <v>0</v>
      </c>
      <c r="T66" s="15" t="n">
        <f aca="false">IF(Summary!$B$6&gt;0,R66/Summary!$B$6,0)</f>
        <v>0</v>
      </c>
      <c r="U66" s="13" t="n">
        <f aca="false">I66*K66</f>
        <v>3.86384622726413E-005</v>
      </c>
      <c r="V66" s="13" t="n">
        <f aca="false">I66*O66*P66</f>
        <v>0</v>
      </c>
      <c r="W66" s="18" t="n">
        <f aca="false">INDEX('HB Evidence'!$I$6:$I$25,MATCH(E66,'HB Evidence'!$A$6:$A$25,0))</f>
        <v>0.0006</v>
      </c>
      <c r="X66" s="18" t="n">
        <f aca="false">I66*W66*N66*P66</f>
        <v>0</v>
      </c>
      <c r="Y66" s="27" t="n">
        <f aca="false">SUMIF('Concrete Scenarios'!$B$6:$B$1005,A66,'Concrete Scenarios'!$N$6:$N$1005)</f>
        <v>5.5595841244039</v>
      </c>
      <c r="Z66" s="28" t="n">
        <f aca="false">IF(SUMIF('Concrete Scenarios'!$B$6:$B$1005,A66,'Concrete Scenarios'!$T$6:$T$1005)&gt;0,Y66^2/SUMIF('Concrete Scenarios'!$B$6:$B$1005,A66,'Concrete Scenarios'!$T$6:$T$1005),0)</f>
        <v>3.44396267538942</v>
      </c>
      <c r="AA66" s="29" t="n">
        <f aca="false">SUMIF('Concrete Scenarios'!$B$6:$B$1005,A66,'Concrete Scenarios'!$O$6:$O$1005)</f>
        <v>0</v>
      </c>
      <c r="AB66" s="23" t="n">
        <f aca="false">SUMIF('Concrete Scenarios'!$B$6:$B$1005,A66,'Concrete Scenarios'!$S$6:$S$1005)/COUNTIF('Concrete Scenarios'!$B$6:$B$1005,A66)</f>
        <v>0</v>
      </c>
      <c r="AC66" s="13" t="n">
        <f aca="false">I66*J66*AB66</f>
        <v>0</v>
      </c>
    </row>
    <row r="67" customFormat="false" ht="15" hidden="false" customHeight="false" outlineLevel="0" collapsed="false">
      <c r="A67" s="5" t="s">
        <v>199</v>
      </c>
      <c r="B67" s="5" t="s">
        <v>58</v>
      </c>
      <c r="C67" s="5" t="s">
        <v>62</v>
      </c>
      <c r="D67" s="5" t="s">
        <v>70</v>
      </c>
      <c r="E67" s="5" t="s">
        <v>100</v>
      </c>
      <c r="F67" s="21" t="n">
        <f aca="false">INDEX(Inputs!$B$15:$B$19,MATCH(B67,Inputs!$A$15:$A$19,0))</f>
        <v>0.05</v>
      </c>
      <c r="G67" s="21" t="n">
        <f aca="false">INDEX(Inputs!$B$23:$B$26,MATCH(C67,Inputs!$A$23:$A$26,0))</f>
        <v>0.35</v>
      </c>
      <c r="H67" s="21" t="n">
        <f aca="false">INDEX(Inputs!$B$30:$B$34,MATCH(D67,Inputs!$A$30:$A$34,0))</f>
        <v>0.2</v>
      </c>
      <c r="I67" s="22" t="n">
        <f aca="false">F67*G67*H67</f>
        <v>0.0035</v>
      </c>
      <c r="J67" s="23" t="n">
        <f aca="false">INDEX('HB Evidence'!$F$6:$F$25,MATCH(E67,'HB Evidence'!$A$6:$A$25,0))</f>
        <v>0.0008</v>
      </c>
      <c r="K67" s="23" t="n">
        <f aca="false">INDEX('HB Evidence'!$H$6:$H$25,MATCH(E67,'HB Evidence'!$A$6:$A$25,0))</f>
        <v>0.00490647139970048</v>
      </c>
      <c r="L67" s="16" t="n">
        <v>2000</v>
      </c>
      <c r="M67" s="16" t="n">
        <v>5</v>
      </c>
      <c r="N67" s="24" t="n">
        <f aca="false">M67/L67</f>
        <v>0.0025</v>
      </c>
      <c r="O67" s="24" t="n">
        <f aca="false">IF(M67=L67,1,BETAINV(Inputs!$B$10,M67+1,L67-M67))</f>
        <v>0.00880163963799943</v>
      </c>
      <c r="P67" s="25" t="n">
        <v>0.011177</v>
      </c>
      <c r="Q67" s="26" t="n">
        <v>12.79</v>
      </c>
      <c r="R67" s="13" t="n">
        <f aca="false">I67*J67*N67*P67</f>
        <v>7.8239E-011</v>
      </c>
      <c r="S67" s="13" t="n">
        <f aca="false">I67*K67*O67*P67</f>
        <v>1.6893753397002E-009</v>
      </c>
      <c r="T67" s="15" t="n">
        <f aca="false">IF(Summary!$B$6&gt;0,R67/Summary!$B$6,0)</f>
        <v>0.00378404113275362</v>
      </c>
      <c r="U67" s="13" t="n">
        <f aca="false">I67*K67</f>
        <v>1.71726498989517E-005</v>
      </c>
      <c r="V67" s="13" t="n">
        <f aca="false">I67*O67*P67</f>
        <v>3.44315741818718E-007</v>
      </c>
      <c r="W67" s="18" t="n">
        <f aca="false">INDEX('HB Evidence'!$I$6:$I$25,MATCH(E67,'HB Evidence'!$A$6:$A$25,0))</f>
        <v>0.0006</v>
      </c>
      <c r="X67" s="18" t="n">
        <f aca="false">I67*W67*N67*P67</f>
        <v>5.867925E-011</v>
      </c>
      <c r="Y67" s="27" t="n">
        <f aca="false">SUMIF('Concrete Scenarios'!$B$6:$B$1005,A67,'Concrete Scenarios'!$N$6:$N$1005)</f>
        <v>2.76998183562277</v>
      </c>
      <c r="Z67" s="28" t="n">
        <f aca="false">IF(SUMIF('Concrete Scenarios'!$B$6:$B$1005,A67,'Concrete Scenarios'!$T$6:$T$1005)&gt;0,Y67^2/SUMIF('Concrete Scenarios'!$B$6:$B$1005,A67,'Concrete Scenarios'!$T$6:$T$1005),0)</f>
        <v>4.60328223201597</v>
      </c>
      <c r="AA67" s="29" t="n">
        <f aca="false">SUMIF('Concrete Scenarios'!$B$6:$B$1005,A67,'Concrete Scenarios'!$O$6:$O$1005)</f>
        <v>0</v>
      </c>
      <c r="AB67" s="23" t="n">
        <f aca="false">SUMIF('Concrete Scenarios'!$B$6:$B$1005,A67,'Concrete Scenarios'!$S$6:$S$1005)/COUNTIF('Concrete Scenarios'!$B$6:$B$1005,A67)</f>
        <v>0</v>
      </c>
      <c r="AC67" s="13" t="n">
        <f aca="false">I67*J67*AB67</f>
        <v>0</v>
      </c>
    </row>
    <row r="68" customFormat="false" ht="15" hidden="false" customHeight="false" outlineLevel="0" collapsed="false">
      <c r="A68" s="5" t="s">
        <v>200</v>
      </c>
      <c r="B68" s="5" t="s">
        <v>58</v>
      </c>
      <c r="C68" s="5" t="s">
        <v>62</v>
      </c>
      <c r="D68" s="5" t="s">
        <v>71</v>
      </c>
      <c r="E68" s="5" t="s">
        <v>100</v>
      </c>
      <c r="F68" s="21" t="n">
        <f aca="false">INDEX(Inputs!$B$15:$B$19,MATCH(B68,Inputs!$A$15:$A$19,0))</f>
        <v>0.05</v>
      </c>
      <c r="G68" s="21" t="n">
        <f aca="false">INDEX(Inputs!$B$23:$B$26,MATCH(C68,Inputs!$A$23:$A$26,0))</f>
        <v>0.35</v>
      </c>
      <c r="H68" s="21" t="n">
        <f aca="false">INDEX(Inputs!$B$30:$B$34,MATCH(D68,Inputs!$A$30:$A$34,0))</f>
        <v>0.15</v>
      </c>
      <c r="I68" s="22" t="n">
        <f aca="false">F68*G68*H68</f>
        <v>0.002625</v>
      </c>
      <c r="J68" s="23" t="n">
        <f aca="false">INDEX('HB Evidence'!$F$6:$F$25,MATCH(E68,'HB Evidence'!$A$6:$A$25,0))</f>
        <v>0.0008</v>
      </c>
      <c r="K68" s="23" t="n">
        <f aca="false">INDEX('HB Evidence'!$H$6:$H$25,MATCH(E68,'HB Evidence'!$A$6:$A$25,0))</f>
        <v>0.00490647139970048</v>
      </c>
      <c r="L68" s="16" t="n">
        <v>2000</v>
      </c>
      <c r="M68" s="16" t="n">
        <v>23</v>
      </c>
      <c r="N68" s="24" t="n">
        <f aca="false">M68/L68</f>
        <v>0.0115</v>
      </c>
      <c r="O68" s="24" t="n">
        <f aca="false">IF(M68=L68,1,BETAINV(Inputs!$B$10,M68+1,L68-M68))</f>
        <v>0.0217946630521804</v>
      </c>
      <c r="P68" s="25" t="n">
        <v>0.01144</v>
      </c>
      <c r="Q68" s="26" t="n">
        <v>11.77</v>
      </c>
      <c r="R68" s="13" t="n">
        <f aca="false">I68*J68*N68*P68</f>
        <v>2.76276E-010</v>
      </c>
      <c r="S68" s="13" t="n">
        <f aca="false">I68*K68*O68*P68</f>
        <v>3.21125477467691E-009</v>
      </c>
      <c r="T68" s="15" t="n">
        <f aca="false">IF(Summary!$B$6&gt;0,R68/Summary!$B$6,0)</f>
        <v>0.0133621307531109</v>
      </c>
      <c r="U68" s="13" t="n">
        <f aca="false">I68*K68</f>
        <v>1.28794874242138E-005</v>
      </c>
      <c r="V68" s="13" t="n">
        <f aca="false">I68*O68*P68</f>
        <v>6.54493731456978E-007</v>
      </c>
      <c r="W68" s="18" t="n">
        <f aca="false">INDEX('HB Evidence'!$I$6:$I$25,MATCH(E68,'HB Evidence'!$A$6:$A$25,0))</f>
        <v>0.0006</v>
      </c>
      <c r="X68" s="18" t="n">
        <f aca="false">I68*W68*N68*P68</f>
        <v>2.07207E-010</v>
      </c>
      <c r="Y68" s="27" t="n">
        <f aca="false">SUMIF('Concrete Scenarios'!$B$6:$B$1005,A68,'Concrete Scenarios'!$N$6:$N$1005)</f>
        <v>6.47895273478503</v>
      </c>
      <c r="Z68" s="28" t="n">
        <f aca="false">IF(SUMIF('Concrete Scenarios'!$B$6:$B$1005,A68,'Concrete Scenarios'!$T$6:$T$1005)&gt;0,Y68^2/SUMIF('Concrete Scenarios'!$B$6:$B$1005,A68,'Concrete Scenarios'!$T$6:$T$1005),0)</f>
        <v>4.0899847420648</v>
      </c>
      <c r="AA68" s="29" t="n">
        <f aca="false">SUMIF('Concrete Scenarios'!$B$6:$B$1005,A68,'Concrete Scenarios'!$O$6:$O$1005)</f>
        <v>3</v>
      </c>
      <c r="AB68" s="23" t="n">
        <f aca="false">SUMIF('Concrete Scenarios'!$B$6:$B$1005,A68,'Concrete Scenarios'!$S$6:$S$1005)/COUNTIF('Concrete Scenarios'!$B$6:$B$1005,A68)</f>
        <v>0.000231651809901442</v>
      </c>
      <c r="AC68" s="13" t="n">
        <f aca="false">I68*J68*AB68</f>
        <v>4.86468800793029E-010</v>
      </c>
    </row>
    <row r="69" customFormat="false" ht="15" hidden="false" customHeight="false" outlineLevel="0" collapsed="false">
      <c r="A69" s="5" t="s">
        <v>201</v>
      </c>
      <c r="B69" s="5" t="s">
        <v>58</v>
      </c>
      <c r="C69" s="5" t="s">
        <v>62</v>
      </c>
      <c r="D69" s="5" t="s">
        <v>72</v>
      </c>
      <c r="E69" s="5" t="s">
        <v>100</v>
      </c>
      <c r="F69" s="21" t="n">
        <f aca="false">INDEX(Inputs!$B$15:$B$19,MATCH(B69,Inputs!$A$15:$A$19,0))</f>
        <v>0.05</v>
      </c>
      <c r="G69" s="21" t="n">
        <f aca="false">INDEX(Inputs!$B$23:$B$26,MATCH(C69,Inputs!$A$23:$A$26,0))</f>
        <v>0.35</v>
      </c>
      <c r="H69" s="21" t="n">
        <f aca="false">INDEX(Inputs!$B$30:$B$34,MATCH(D69,Inputs!$A$30:$A$34,0))</f>
        <v>0.13</v>
      </c>
      <c r="I69" s="22" t="n">
        <f aca="false">F69*G69*H69</f>
        <v>0.002275</v>
      </c>
      <c r="J69" s="23" t="n">
        <f aca="false">INDEX('HB Evidence'!$F$6:$F$25,MATCH(E69,'HB Evidence'!$A$6:$A$25,0))</f>
        <v>0.0008</v>
      </c>
      <c r="K69" s="23" t="n">
        <f aca="false">INDEX('HB Evidence'!$H$6:$H$25,MATCH(E69,'HB Evidence'!$A$6:$A$25,0))</f>
        <v>0.00490647139970048</v>
      </c>
      <c r="L69" s="16" t="n">
        <v>2000</v>
      </c>
      <c r="M69" s="16" t="n">
        <v>124</v>
      </c>
      <c r="N69" s="24" t="n">
        <f aca="false">M69/L69</f>
        <v>0.062</v>
      </c>
      <c r="O69" s="24" t="n">
        <f aca="false">IF(M69=L69,1,BETAINV(Inputs!$B$10,M69+1,L69-M69))</f>
        <v>0.0820157487368773</v>
      </c>
      <c r="P69" s="25" t="n">
        <v>0.020617</v>
      </c>
      <c r="Q69" s="26" t="n">
        <v>14.82</v>
      </c>
      <c r="R69" s="13" t="n">
        <f aca="false">I69*J69*N69*P69</f>
        <v>2.32642228E-009</v>
      </c>
      <c r="S69" s="13" t="n">
        <f aca="false">I69*K69*O69*P69</f>
        <v>1.88744105551939E-008</v>
      </c>
      <c r="T69" s="15" t="n">
        <f aca="false">IF(Summary!$B$6&gt;0,R69/Summary!$B$6,0)</f>
        <v>0.112517767349716</v>
      </c>
      <c r="U69" s="13" t="n">
        <f aca="false">I69*K69</f>
        <v>1.11622224343186E-005</v>
      </c>
      <c r="V69" s="13" t="n">
        <f aca="false">I69*O69*P69</f>
        <v>3.84684002363615E-006</v>
      </c>
      <c r="W69" s="18" t="n">
        <f aca="false">INDEX('HB Evidence'!$I$6:$I$25,MATCH(E69,'HB Evidence'!$A$6:$A$25,0))</f>
        <v>0.0006</v>
      </c>
      <c r="X69" s="18" t="n">
        <f aca="false">I69*W69*N69*P69</f>
        <v>1.74481671E-009</v>
      </c>
      <c r="Y69" s="27" t="n">
        <f aca="false">SUMIF('Concrete Scenarios'!$B$6:$B$1005,A69,'Concrete Scenarios'!$N$6:$N$1005)</f>
        <v>4.24409080140951</v>
      </c>
      <c r="Z69" s="28" t="n">
        <f aca="false">IF(SUMIF('Concrete Scenarios'!$B$6:$B$1005,A69,'Concrete Scenarios'!$T$6:$T$1005)&gt;0,Y69^2/SUMIF('Concrete Scenarios'!$B$6:$B$1005,A69,'Concrete Scenarios'!$T$6:$T$1005),0)</f>
        <v>5.70637108792029</v>
      </c>
      <c r="AA69" s="29" t="n">
        <f aca="false">SUMIF('Concrete Scenarios'!$B$6:$B$1005,A69,'Concrete Scenarios'!$O$6:$O$1005)</f>
        <v>5</v>
      </c>
      <c r="AB69" s="23" t="n">
        <f aca="false">SUMIF('Concrete Scenarios'!$B$6:$B$1005,A69,'Concrete Scenarios'!$S$6:$S$1005)/COUNTIF('Concrete Scenarios'!$B$6:$B$1005,A69)</f>
        <v>0.00139054959254327</v>
      </c>
      <c r="AC69" s="13" t="n">
        <f aca="false">I69*J69*AB69</f>
        <v>2.53080025842875E-009</v>
      </c>
    </row>
    <row r="70" customFormat="false" ht="15" hidden="false" customHeight="false" outlineLevel="0" collapsed="false">
      <c r="A70" s="5" t="s">
        <v>202</v>
      </c>
      <c r="B70" s="5" t="s">
        <v>58</v>
      </c>
      <c r="C70" s="5" t="s">
        <v>62</v>
      </c>
      <c r="D70" s="5" t="s">
        <v>73</v>
      </c>
      <c r="E70" s="5" t="s">
        <v>100</v>
      </c>
      <c r="F70" s="21" t="n">
        <f aca="false">INDEX(Inputs!$B$15:$B$19,MATCH(B70,Inputs!$A$15:$A$19,0))</f>
        <v>0.05</v>
      </c>
      <c r="G70" s="21" t="n">
        <f aca="false">INDEX(Inputs!$B$23:$B$26,MATCH(C70,Inputs!$A$23:$A$26,0))</f>
        <v>0.35</v>
      </c>
      <c r="H70" s="21" t="n">
        <f aca="false">INDEX(Inputs!$B$30:$B$34,MATCH(D70,Inputs!$A$30:$A$34,0))</f>
        <v>0.07</v>
      </c>
      <c r="I70" s="22" t="n">
        <f aca="false">F70*G70*H70</f>
        <v>0.001225</v>
      </c>
      <c r="J70" s="23" t="n">
        <f aca="false">INDEX('HB Evidence'!$F$6:$F$25,MATCH(E70,'HB Evidence'!$A$6:$A$25,0))</f>
        <v>0.0008</v>
      </c>
      <c r="K70" s="23" t="n">
        <f aca="false">INDEX('HB Evidence'!$H$6:$H$25,MATCH(E70,'HB Evidence'!$A$6:$A$25,0))</f>
        <v>0.00490647139970048</v>
      </c>
      <c r="L70" s="16" t="n">
        <v>2000</v>
      </c>
      <c r="M70" s="16" t="n">
        <v>487</v>
      </c>
      <c r="N70" s="24" t="n">
        <f aca="false">M70/L70</f>
        <v>0.2435</v>
      </c>
      <c r="O70" s="24" t="n">
        <f aca="false">IF(M70=L70,1,BETAINV(Inputs!$B$10,M70+1,L70-M70))</f>
        <v>0.276783622609822</v>
      </c>
      <c r="P70" s="25" t="n">
        <v>0.018636</v>
      </c>
      <c r="Q70" s="26" t="n">
        <v>14.41</v>
      </c>
      <c r="R70" s="13" t="n">
        <f aca="false">I70*J70*N70*P70</f>
        <v>4.44710868E-009</v>
      </c>
      <c r="S70" s="13" t="n">
        <f aca="false">I70*K70*O70*P70</f>
        <v>3.10026238638971E-008</v>
      </c>
      <c r="T70" s="15" t="n">
        <f aca="false">IF(Summary!$B$6&gt;0,R70/Summary!$B$6,0)</f>
        <v>0.215085087577112</v>
      </c>
      <c r="U70" s="13" t="n">
        <f aca="false">I70*K70</f>
        <v>6.01042746463309E-006</v>
      </c>
      <c r="V70" s="13" t="n">
        <f aca="false">I70*O70*P70</f>
        <v>6.31872099892188E-006</v>
      </c>
      <c r="W70" s="18" t="n">
        <f aca="false">INDEX('HB Evidence'!$I$6:$I$25,MATCH(E70,'HB Evidence'!$A$6:$A$25,0))</f>
        <v>0.0006</v>
      </c>
      <c r="X70" s="18" t="n">
        <f aca="false">I70*W70*N70*P70</f>
        <v>3.33533151E-009</v>
      </c>
      <c r="Y70" s="27" t="n">
        <f aca="false">SUMIF('Concrete Scenarios'!$B$6:$B$1005,A70,'Concrete Scenarios'!$N$6:$N$1005)</f>
        <v>3.5467756026507</v>
      </c>
      <c r="Z70" s="28" t="n">
        <f aca="false">IF(SUMIF('Concrete Scenarios'!$B$6:$B$1005,A70,'Concrete Scenarios'!$T$6:$T$1005)&gt;0,Y70^2/SUMIF('Concrete Scenarios'!$B$6:$B$1005,A70,'Concrete Scenarios'!$T$6:$T$1005),0)</f>
        <v>4.00889276829201</v>
      </c>
      <c r="AA70" s="29" t="n">
        <f aca="false">SUMIF('Concrete Scenarios'!$B$6:$B$1005,A70,'Concrete Scenarios'!$O$6:$O$1005)</f>
        <v>8</v>
      </c>
      <c r="AB70" s="23" t="n">
        <f aca="false">SUMIF('Concrete Scenarios'!$B$6:$B$1005,A70,'Concrete Scenarios'!$S$6:$S$1005)/COUNTIF('Concrete Scenarios'!$B$6:$B$1005,A70)</f>
        <v>0.0043968799376383</v>
      </c>
      <c r="AC70" s="13" t="n">
        <f aca="false">I70*J70*AB70</f>
        <v>4.30894233888554E-009</v>
      </c>
    </row>
    <row r="71" customFormat="false" ht="15" hidden="false" customHeight="false" outlineLevel="0" collapsed="false">
      <c r="A71" s="5" t="s">
        <v>203</v>
      </c>
      <c r="B71" s="5" t="s">
        <v>58</v>
      </c>
      <c r="C71" s="5" t="s">
        <v>64</v>
      </c>
      <c r="D71" s="5" t="s">
        <v>68</v>
      </c>
      <c r="E71" s="5" t="s">
        <v>101</v>
      </c>
      <c r="F71" s="21" t="n">
        <f aca="false">INDEX(Inputs!$B$15:$B$19,MATCH(B71,Inputs!$A$15:$A$19,0))</f>
        <v>0.05</v>
      </c>
      <c r="G71" s="21" t="n">
        <f aca="false">INDEX(Inputs!$B$23:$B$26,MATCH(C71,Inputs!$A$23:$A$26,0))</f>
        <v>0.4</v>
      </c>
      <c r="H71" s="21" t="n">
        <f aca="false">INDEX(Inputs!$B$30:$B$34,MATCH(D71,Inputs!$A$30:$A$34,0))</f>
        <v>0.45</v>
      </c>
      <c r="I71" s="22" t="n">
        <f aca="false">F71*G71*H71</f>
        <v>0.009</v>
      </c>
      <c r="J71" s="23" t="n">
        <f aca="false">INDEX('HB Evidence'!$F$6:$F$25,MATCH(E71,'HB Evidence'!$A$6:$A$25,0))</f>
        <v>0</v>
      </c>
      <c r="K71" s="23" t="n">
        <f aca="false">INDEX('HB Evidence'!$H$6:$H$25,MATCH(E71,'HB Evidence'!$A$6:$A$25,0))</f>
        <v>0.00259440800544538</v>
      </c>
      <c r="L71" s="16" t="n">
        <v>2000</v>
      </c>
      <c r="M71" s="16" t="n">
        <v>0</v>
      </c>
      <c r="N71" s="24" t="n">
        <f aca="false">M71/L71</f>
        <v>0</v>
      </c>
      <c r="O71" s="24" t="n">
        <f aca="false">IF(M71=L71,1,BETAINV(Inputs!$B$10,M71+1,L71-M71))</f>
        <v>0.00388404949945426</v>
      </c>
      <c r="P71" s="25" t="n">
        <v>0</v>
      </c>
      <c r="Q71" s="26" t="n">
        <v>0</v>
      </c>
      <c r="R71" s="13" t="n">
        <f aca="false">I71*J71*N71*P71</f>
        <v>0</v>
      </c>
      <c r="S71" s="13" t="n">
        <f aca="false">I71*K71*O71*P71</f>
        <v>0</v>
      </c>
      <c r="T71" s="15" t="n">
        <f aca="false">IF(Summary!$B$6&gt;0,R71/Summary!$B$6,0)</f>
        <v>0</v>
      </c>
      <c r="U71" s="13" t="n">
        <f aca="false">I71*K71</f>
        <v>2.33496720490085E-005</v>
      </c>
      <c r="V71" s="13" t="n">
        <f aca="false">I71*O71*P71</f>
        <v>0</v>
      </c>
      <c r="W71" s="18" t="n">
        <f aca="false">INDEX('HB Evidence'!$I$6:$I$25,MATCH(E71,'HB Evidence'!$A$6:$A$25,0))</f>
        <v>0.0006</v>
      </c>
      <c r="X71" s="18" t="n">
        <f aca="false">I71*W71*N71*P71</f>
        <v>0</v>
      </c>
      <c r="Y71" s="27" t="n">
        <f aca="false">SUMIF('Concrete Scenarios'!$B$6:$B$1005,A71,'Concrete Scenarios'!$N$6:$N$1005)</f>
        <v>15.1247802174709</v>
      </c>
      <c r="Z71" s="28" t="n">
        <f aca="false">IF(SUMIF('Concrete Scenarios'!$B$6:$B$1005,A71,'Concrete Scenarios'!$T$6:$T$1005)&gt;0,Y71^2/SUMIF('Concrete Scenarios'!$B$6:$B$1005,A71,'Concrete Scenarios'!$T$6:$T$1005),0)</f>
        <v>5.22617731274936</v>
      </c>
      <c r="AA71" s="29" t="n">
        <f aca="false">SUMIF('Concrete Scenarios'!$B$6:$B$1005,A71,'Concrete Scenarios'!$O$6:$O$1005)</f>
        <v>0</v>
      </c>
      <c r="AB71" s="23" t="n">
        <f aca="false">SUMIF('Concrete Scenarios'!$B$6:$B$1005,A71,'Concrete Scenarios'!$S$6:$S$1005)/COUNTIF('Concrete Scenarios'!$B$6:$B$1005,A71)</f>
        <v>0</v>
      </c>
      <c r="AC71" s="13" t="n">
        <f aca="false">I71*J71*AB71</f>
        <v>0</v>
      </c>
    </row>
    <row r="72" customFormat="false" ht="15" hidden="false" customHeight="false" outlineLevel="0" collapsed="false">
      <c r="A72" s="5" t="s">
        <v>204</v>
      </c>
      <c r="B72" s="5" t="s">
        <v>58</v>
      </c>
      <c r="C72" s="5" t="s">
        <v>64</v>
      </c>
      <c r="D72" s="5" t="s">
        <v>70</v>
      </c>
      <c r="E72" s="5" t="s">
        <v>101</v>
      </c>
      <c r="F72" s="21" t="n">
        <f aca="false">INDEX(Inputs!$B$15:$B$19,MATCH(B72,Inputs!$A$15:$A$19,0))</f>
        <v>0.05</v>
      </c>
      <c r="G72" s="21" t="n">
        <f aca="false">INDEX(Inputs!$B$23:$B$26,MATCH(C72,Inputs!$A$23:$A$26,0))</f>
        <v>0.4</v>
      </c>
      <c r="H72" s="21" t="n">
        <f aca="false">INDEX(Inputs!$B$30:$B$34,MATCH(D72,Inputs!$A$30:$A$34,0))</f>
        <v>0.2</v>
      </c>
      <c r="I72" s="22" t="n">
        <f aca="false">F72*G72*H72</f>
        <v>0.004</v>
      </c>
      <c r="J72" s="23" t="n">
        <f aca="false">INDEX('HB Evidence'!$F$6:$F$25,MATCH(E72,'HB Evidence'!$A$6:$A$25,0))</f>
        <v>0</v>
      </c>
      <c r="K72" s="23" t="n">
        <f aca="false">INDEX('HB Evidence'!$H$6:$H$25,MATCH(E72,'HB Evidence'!$A$6:$A$25,0))</f>
        <v>0.00259440800544538</v>
      </c>
      <c r="L72" s="16" t="n">
        <v>2000</v>
      </c>
      <c r="M72" s="16" t="n">
        <v>1</v>
      </c>
      <c r="N72" s="24" t="n">
        <f aca="false">M72/L72</f>
        <v>0.0005</v>
      </c>
      <c r="O72" s="24" t="n">
        <f aca="false">IF(M72=L72,1,BETAINV(Inputs!$B$10,M72+1,L72-M72))</f>
        <v>0.00508781553003008</v>
      </c>
      <c r="P72" s="25" t="n">
        <v>0.015245</v>
      </c>
      <c r="Q72" s="26" t="n">
        <v>15.82</v>
      </c>
      <c r="R72" s="13" t="n">
        <f aca="false">I72*J72*N72*P72</f>
        <v>0</v>
      </c>
      <c r="S72" s="13" t="n">
        <f aca="false">I72*K72*O72*P72</f>
        <v>8.04928032434876E-010</v>
      </c>
      <c r="T72" s="15" t="n">
        <f aca="false">IF(Summary!$B$6&gt;0,R72/Summary!$B$6,0)</f>
        <v>0</v>
      </c>
      <c r="U72" s="13" t="n">
        <f aca="false">I72*K72</f>
        <v>1.03776320217815E-005</v>
      </c>
      <c r="V72" s="13" t="n">
        <f aca="false">I72*O72*P72</f>
        <v>3.10254991021234E-007</v>
      </c>
      <c r="W72" s="18" t="n">
        <f aca="false">INDEX('HB Evidence'!$I$6:$I$25,MATCH(E72,'HB Evidence'!$A$6:$A$25,0))</f>
        <v>0.0006</v>
      </c>
      <c r="X72" s="18" t="n">
        <f aca="false">I72*W72*N72*P72</f>
        <v>1.8294E-011</v>
      </c>
      <c r="Y72" s="27" t="n">
        <f aca="false">SUMIF('Concrete Scenarios'!$B$6:$B$1005,A72,'Concrete Scenarios'!$N$6:$N$1005)</f>
        <v>10.3158838476227</v>
      </c>
      <c r="Z72" s="28" t="n">
        <f aca="false">IF(SUMIF('Concrete Scenarios'!$B$6:$B$1005,A72,'Concrete Scenarios'!$T$6:$T$1005)&gt;0,Y72^2/SUMIF('Concrete Scenarios'!$B$6:$B$1005,A72,'Concrete Scenarios'!$T$6:$T$1005),0)</f>
        <v>5.6708114634932</v>
      </c>
      <c r="AA72" s="29" t="n">
        <f aca="false">SUMIF('Concrete Scenarios'!$B$6:$B$1005,A72,'Concrete Scenarios'!$O$6:$O$1005)</f>
        <v>0</v>
      </c>
      <c r="AB72" s="23" t="n">
        <f aca="false">SUMIF('Concrete Scenarios'!$B$6:$B$1005,A72,'Concrete Scenarios'!$S$6:$S$1005)/COUNTIF('Concrete Scenarios'!$B$6:$B$1005,A72)</f>
        <v>0</v>
      </c>
      <c r="AC72" s="13" t="n">
        <f aca="false">I72*J72*AB72</f>
        <v>0</v>
      </c>
    </row>
    <row r="73" customFormat="false" ht="15" hidden="false" customHeight="false" outlineLevel="0" collapsed="false">
      <c r="A73" s="5" t="s">
        <v>205</v>
      </c>
      <c r="B73" s="5" t="s">
        <v>58</v>
      </c>
      <c r="C73" s="5" t="s">
        <v>64</v>
      </c>
      <c r="D73" s="5" t="s">
        <v>71</v>
      </c>
      <c r="E73" s="5" t="s">
        <v>101</v>
      </c>
      <c r="F73" s="21" t="n">
        <f aca="false">INDEX(Inputs!$B$15:$B$19,MATCH(B73,Inputs!$A$15:$A$19,0))</f>
        <v>0.05</v>
      </c>
      <c r="G73" s="21" t="n">
        <f aca="false">INDEX(Inputs!$B$23:$B$26,MATCH(C73,Inputs!$A$23:$A$26,0))</f>
        <v>0.4</v>
      </c>
      <c r="H73" s="21" t="n">
        <f aca="false">INDEX(Inputs!$B$30:$B$34,MATCH(D73,Inputs!$A$30:$A$34,0))</f>
        <v>0.15</v>
      </c>
      <c r="I73" s="22" t="n">
        <f aca="false">F73*G73*H73</f>
        <v>0.003</v>
      </c>
      <c r="J73" s="23" t="n">
        <f aca="false">INDEX('HB Evidence'!$F$6:$F$25,MATCH(E73,'HB Evidence'!$A$6:$A$25,0))</f>
        <v>0</v>
      </c>
      <c r="K73" s="23" t="n">
        <f aca="false">INDEX('HB Evidence'!$H$6:$H$25,MATCH(E73,'HB Evidence'!$A$6:$A$25,0))</f>
        <v>0.00259440800544538</v>
      </c>
      <c r="L73" s="16" t="n">
        <v>2000</v>
      </c>
      <c r="M73" s="16" t="n">
        <v>9</v>
      </c>
      <c r="N73" s="24" t="n">
        <f aca="false">M73/L73</f>
        <v>0.0045</v>
      </c>
      <c r="O73" s="24" t="n">
        <f aca="false">IF(M73=L73,1,BETAINV(Inputs!$B$10,M73+1,L73-M73))</f>
        <v>0.0119709502817834</v>
      </c>
      <c r="P73" s="25" t="n">
        <v>0.034534</v>
      </c>
      <c r="Q73" s="26" t="n">
        <v>17.87</v>
      </c>
      <c r="R73" s="13" t="n">
        <f aca="false">I73*J73*N73*P73</f>
        <v>0</v>
      </c>
      <c r="S73" s="13" t="n">
        <f aca="false">I73*K73*O73*P73</f>
        <v>3.2176221447211E-009</v>
      </c>
      <c r="T73" s="15" t="n">
        <f aca="false">IF(Summary!$B$6&gt;0,R73/Summary!$B$6,0)</f>
        <v>0</v>
      </c>
      <c r="U73" s="13" t="n">
        <f aca="false">I73*K73</f>
        <v>7.78322401633615E-006</v>
      </c>
      <c r="V73" s="13" t="n">
        <f aca="false">I73*O73*P73</f>
        <v>1.24021439109333E-006</v>
      </c>
      <c r="W73" s="18" t="n">
        <f aca="false">INDEX('HB Evidence'!$I$6:$I$25,MATCH(E73,'HB Evidence'!$A$6:$A$25,0))</f>
        <v>0.0006</v>
      </c>
      <c r="X73" s="18" t="n">
        <f aca="false">I73*W73*N73*P73</f>
        <v>2.797254E-010</v>
      </c>
      <c r="Y73" s="27" t="n">
        <f aca="false">SUMIF('Concrete Scenarios'!$B$6:$B$1005,A73,'Concrete Scenarios'!$N$6:$N$1005)</f>
        <v>8.65914920964117</v>
      </c>
      <c r="Z73" s="28" t="n">
        <f aca="false">IF(SUMIF('Concrete Scenarios'!$B$6:$B$1005,A73,'Concrete Scenarios'!$T$6:$T$1005)&gt;0,Y73^2/SUMIF('Concrete Scenarios'!$B$6:$B$1005,A73,'Concrete Scenarios'!$T$6:$T$1005),0)</f>
        <v>1.85273069045907</v>
      </c>
      <c r="AA73" s="29" t="n">
        <f aca="false">SUMIF('Concrete Scenarios'!$B$6:$B$1005,A73,'Concrete Scenarios'!$O$6:$O$1005)</f>
        <v>0</v>
      </c>
      <c r="AB73" s="23" t="n">
        <f aca="false">SUMIF('Concrete Scenarios'!$B$6:$B$1005,A73,'Concrete Scenarios'!$S$6:$S$1005)/COUNTIF('Concrete Scenarios'!$B$6:$B$1005,A73)</f>
        <v>0</v>
      </c>
      <c r="AC73" s="13" t="n">
        <f aca="false">I73*J73*AB73</f>
        <v>0</v>
      </c>
    </row>
    <row r="74" customFormat="false" ht="15" hidden="false" customHeight="false" outlineLevel="0" collapsed="false">
      <c r="A74" s="5" t="s">
        <v>206</v>
      </c>
      <c r="B74" s="5" t="s">
        <v>58</v>
      </c>
      <c r="C74" s="5" t="s">
        <v>64</v>
      </c>
      <c r="D74" s="5" t="s">
        <v>72</v>
      </c>
      <c r="E74" s="5" t="s">
        <v>101</v>
      </c>
      <c r="F74" s="21" t="n">
        <f aca="false">INDEX(Inputs!$B$15:$B$19,MATCH(B74,Inputs!$A$15:$A$19,0))</f>
        <v>0.05</v>
      </c>
      <c r="G74" s="21" t="n">
        <f aca="false">INDEX(Inputs!$B$23:$B$26,MATCH(C74,Inputs!$A$23:$A$26,0))</f>
        <v>0.4</v>
      </c>
      <c r="H74" s="21" t="n">
        <f aca="false">INDEX(Inputs!$B$30:$B$34,MATCH(D74,Inputs!$A$30:$A$34,0))</f>
        <v>0.13</v>
      </c>
      <c r="I74" s="22" t="n">
        <f aca="false">F74*G74*H74</f>
        <v>0.0026</v>
      </c>
      <c r="J74" s="23" t="n">
        <f aca="false">INDEX('HB Evidence'!$F$6:$F$25,MATCH(E74,'HB Evidence'!$A$6:$A$25,0))</f>
        <v>0</v>
      </c>
      <c r="K74" s="23" t="n">
        <f aca="false">INDEX('HB Evidence'!$H$6:$H$25,MATCH(E74,'HB Evidence'!$A$6:$A$25,0))</f>
        <v>0.00259440800544538</v>
      </c>
      <c r="L74" s="16" t="n">
        <v>2000</v>
      </c>
      <c r="M74" s="16" t="n">
        <v>40</v>
      </c>
      <c r="N74" s="24" t="n">
        <f aca="false">M74/L74</f>
        <v>0.02</v>
      </c>
      <c r="O74" s="24" t="n">
        <f aca="false">IF(M74=L74,1,BETAINV(Inputs!$B$10,M74+1,L74-M74))</f>
        <v>0.032703665518694</v>
      </c>
      <c r="P74" s="25" t="n">
        <v>0.048977</v>
      </c>
      <c r="Q74" s="26" t="n">
        <v>18.64</v>
      </c>
      <c r="R74" s="13" t="n">
        <f aca="false">I74*J74*N74*P74</f>
        <v>0</v>
      </c>
      <c r="S74" s="13" t="n">
        <f aca="false">I74*K74*O74*P74</f>
        <v>1.08043895877809E-008</v>
      </c>
      <c r="T74" s="15" t="n">
        <f aca="false">IF(Summary!$B$6&gt;0,R74/Summary!$B$6,0)</f>
        <v>0</v>
      </c>
      <c r="U74" s="13" t="n">
        <f aca="false">I74*K74</f>
        <v>6.745460814158E-006</v>
      </c>
      <c r="V74" s="13" t="n">
        <f aca="false">I74*O74*P74</f>
        <v>4.1644913078836E-006</v>
      </c>
      <c r="W74" s="18" t="n">
        <f aca="false">INDEX('HB Evidence'!$I$6:$I$25,MATCH(E74,'HB Evidence'!$A$6:$A$25,0))</f>
        <v>0.0006</v>
      </c>
      <c r="X74" s="18" t="n">
        <f aca="false">I74*W74*N74*P74</f>
        <v>1.5280824E-009</v>
      </c>
      <c r="Y74" s="27" t="n">
        <f aca="false">SUMIF('Concrete Scenarios'!$B$6:$B$1005,A74,'Concrete Scenarios'!$N$6:$N$1005)</f>
        <v>6.47549853148971</v>
      </c>
      <c r="Z74" s="28" t="n">
        <f aca="false">IF(SUMIF('Concrete Scenarios'!$B$6:$B$1005,A74,'Concrete Scenarios'!$T$6:$T$1005)&gt;0,Y74^2/SUMIF('Concrete Scenarios'!$B$6:$B$1005,A74,'Concrete Scenarios'!$T$6:$T$1005),0)</f>
        <v>5.04035409978353</v>
      </c>
      <c r="AA74" s="29" t="n">
        <f aca="false">SUMIF('Concrete Scenarios'!$B$6:$B$1005,A74,'Concrete Scenarios'!$O$6:$O$1005)</f>
        <v>1</v>
      </c>
      <c r="AB74" s="23" t="n">
        <f aca="false">SUMIF('Concrete Scenarios'!$B$6:$B$1005,A74,'Concrete Scenarios'!$S$6:$S$1005)/COUNTIF('Concrete Scenarios'!$B$6:$B$1005,A74)</f>
        <v>0.000791104351751602</v>
      </c>
      <c r="AC74" s="13" t="n">
        <f aca="false">I74*J74*AB74</f>
        <v>0</v>
      </c>
    </row>
    <row r="75" customFormat="false" ht="15" hidden="false" customHeight="false" outlineLevel="0" collapsed="false">
      <c r="A75" s="5" t="s">
        <v>207</v>
      </c>
      <c r="B75" s="5" t="s">
        <v>58</v>
      </c>
      <c r="C75" s="5" t="s">
        <v>64</v>
      </c>
      <c r="D75" s="5" t="s">
        <v>73</v>
      </c>
      <c r="E75" s="5" t="s">
        <v>101</v>
      </c>
      <c r="F75" s="21" t="n">
        <f aca="false">INDEX(Inputs!$B$15:$B$19,MATCH(B75,Inputs!$A$15:$A$19,0))</f>
        <v>0.05</v>
      </c>
      <c r="G75" s="21" t="n">
        <f aca="false">INDEX(Inputs!$B$23:$B$26,MATCH(C75,Inputs!$A$23:$A$26,0))</f>
        <v>0.4</v>
      </c>
      <c r="H75" s="21" t="n">
        <f aca="false">INDEX(Inputs!$B$30:$B$34,MATCH(D75,Inputs!$A$30:$A$34,0))</f>
        <v>0.07</v>
      </c>
      <c r="I75" s="22" t="n">
        <f aca="false">F75*G75*H75</f>
        <v>0.0014</v>
      </c>
      <c r="J75" s="23" t="n">
        <f aca="false">INDEX('HB Evidence'!$F$6:$F$25,MATCH(E75,'HB Evidence'!$A$6:$A$25,0))</f>
        <v>0</v>
      </c>
      <c r="K75" s="23" t="n">
        <f aca="false">INDEX('HB Evidence'!$H$6:$H$25,MATCH(E75,'HB Evidence'!$A$6:$A$25,0))</f>
        <v>0.00259440800544538</v>
      </c>
      <c r="L75" s="16" t="n">
        <v>2000</v>
      </c>
      <c r="M75" s="16" t="n">
        <v>178</v>
      </c>
      <c r="N75" s="24" t="n">
        <f aca="false">M75/L75</f>
        <v>0.089</v>
      </c>
      <c r="O75" s="24" t="n">
        <f aca="false">IF(M75=L75,1,BETAINV(Inputs!$B$10,M75+1,L75-M75))</f>
        <v>0.112145511655719</v>
      </c>
      <c r="P75" s="25" t="n">
        <v>0.03564</v>
      </c>
      <c r="Q75" s="26" t="n">
        <v>17.4</v>
      </c>
      <c r="R75" s="13" t="n">
        <f aca="false">I75*J75*N75*P75</f>
        <v>0</v>
      </c>
      <c r="S75" s="13" t="n">
        <f aca="false">I75*K75*O75*P75</f>
        <v>1.4517301734544E-008</v>
      </c>
      <c r="T75" s="15" t="n">
        <f aca="false">IF(Summary!$B$6&gt;0,R75/Summary!$B$6,0)</f>
        <v>0</v>
      </c>
      <c r="U75" s="13" t="n">
        <f aca="false">I75*K75</f>
        <v>3.63217120762354E-006</v>
      </c>
      <c r="V75" s="13" t="n">
        <f aca="false">I75*O75*P75</f>
        <v>5.59561244957376E-006</v>
      </c>
      <c r="W75" s="18" t="n">
        <f aca="false">INDEX('HB Evidence'!$I$6:$I$25,MATCH(E75,'HB Evidence'!$A$6:$A$25,0))</f>
        <v>0.0006</v>
      </c>
      <c r="X75" s="18" t="n">
        <f aca="false">I75*W75*N75*P75</f>
        <v>2.6644464E-009</v>
      </c>
      <c r="Y75" s="27" t="n">
        <f aca="false">SUMIF('Concrete Scenarios'!$B$6:$B$1005,A75,'Concrete Scenarios'!$N$6:$N$1005)</f>
        <v>8.77323208509577</v>
      </c>
      <c r="Z75" s="28" t="n">
        <f aca="false">IF(SUMIF('Concrete Scenarios'!$B$6:$B$1005,A75,'Concrete Scenarios'!$T$6:$T$1005)&gt;0,Y75^2/SUMIF('Concrete Scenarios'!$B$6:$B$1005,A75,'Concrete Scenarios'!$T$6:$T$1005),0)</f>
        <v>6.54787623483111</v>
      </c>
      <c r="AA75" s="29" t="n">
        <f aca="false">SUMIF('Concrete Scenarios'!$B$6:$B$1005,A75,'Concrete Scenarios'!$O$6:$O$1005)</f>
        <v>3</v>
      </c>
      <c r="AB75" s="23" t="n">
        <f aca="false">SUMIF('Concrete Scenarios'!$B$6:$B$1005,A75,'Concrete Scenarios'!$S$6:$S$1005)/COUNTIF('Concrete Scenarios'!$B$6:$B$1005,A75)</f>
        <v>0.000651760397169707</v>
      </c>
      <c r="AC75" s="13" t="n">
        <f aca="false">I75*J75*AB75</f>
        <v>0</v>
      </c>
    </row>
    <row r="76" customFormat="false" ht="15" hidden="false" customHeight="false" outlineLevel="0" collapsed="false">
      <c r="A76" s="5" t="s">
        <v>208</v>
      </c>
      <c r="B76" s="5" t="s">
        <v>58</v>
      </c>
      <c r="C76" s="5" t="s">
        <v>65</v>
      </c>
      <c r="D76" s="5" t="s">
        <v>68</v>
      </c>
      <c r="E76" s="5" t="s">
        <v>102</v>
      </c>
      <c r="F76" s="21" t="n">
        <f aca="false">INDEX(Inputs!$B$15:$B$19,MATCH(B76,Inputs!$A$15:$A$19,0))</f>
        <v>0.05</v>
      </c>
      <c r="G76" s="21" t="n">
        <f aca="false">INDEX(Inputs!$B$23:$B$26,MATCH(C76,Inputs!$A$23:$A$26,0))</f>
        <v>0.15</v>
      </c>
      <c r="H76" s="21" t="n">
        <f aca="false">INDEX(Inputs!$B$30:$B$34,MATCH(D76,Inputs!$A$30:$A$34,0))</f>
        <v>0.45</v>
      </c>
      <c r="I76" s="22" t="n">
        <f aca="false">F76*G76*H76</f>
        <v>0.003375</v>
      </c>
      <c r="J76" s="23" t="n">
        <f aca="false">INDEX('HB Evidence'!$F$6:$F$25,MATCH(E76,'HB Evidence'!$A$6:$A$25,0))</f>
        <v>0.0005</v>
      </c>
      <c r="K76" s="23" t="n">
        <f aca="false">INDEX('HB Evidence'!$H$6:$H$25,MATCH(E76,'HB Evidence'!$A$6:$A$25,0))</f>
        <v>0.00509952663038825</v>
      </c>
      <c r="L76" s="16" t="n">
        <v>2000</v>
      </c>
      <c r="M76" s="16" t="n">
        <v>0</v>
      </c>
      <c r="N76" s="24" t="n">
        <f aca="false">M76/L76</f>
        <v>0</v>
      </c>
      <c r="O76" s="24" t="n">
        <f aca="false">IF(M76=L76,1,BETAINV(Inputs!$B$10,M76+1,L76-M76))</f>
        <v>0.00388404949945426</v>
      </c>
      <c r="P76" s="25" t="n">
        <v>0</v>
      </c>
      <c r="Q76" s="26" t="n">
        <v>0</v>
      </c>
      <c r="R76" s="13" t="n">
        <f aca="false">I76*J76*N76*P76</f>
        <v>0</v>
      </c>
      <c r="S76" s="13" t="n">
        <f aca="false">I76*K76*O76*P76</f>
        <v>0</v>
      </c>
      <c r="T76" s="15" t="n">
        <f aca="false">IF(Summary!$B$6&gt;0,R76/Summary!$B$6,0)</f>
        <v>0</v>
      </c>
      <c r="U76" s="13" t="n">
        <f aca="false">I76*K76</f>
        <v>1.72109023775603E-005</v>
      </c>
      <c r="V76" s="13" t="n">
        <f aca="false">I76*O76*P76</f>
        <v>0</v>
      </c>
      <c r="W76" s="18" t="n">
        <f aca="false">INDEX('HB Evidence'!$I$6:$I$25,MATCH(E76,'HB Evidence'!$A$6:$A$25,0))</f>
        <v>0.00072</v>
      </c>
      <c r="X76" s="18" t="n">
        <f aca="false">I76*W76*N76*P76</f>
        <v>0</v>
      </c>
      <c r="Y76" s="27" t="n">
        <f aca="false">SUMIF('Concrete Scenarios'!$B$6:$B$1005,A76,'Concrete Scenarios'!$N$6:$N$1005)</f>
        <v>43.0362816805915</v>
      </c>
      <c r="Z76" s="28" t="n">
        <f aca="false">IF(SUMIF('Concrete Scenarios'!$B$6:$B$1005,A76,'Concrete Scenarios'!$T$6:$T$1005)&gt;0,Y76^2/SUMIF('Concrete Scenarios'!$B$6:$B$1005,A76,'Concrete Scenarios'!$T$6:$T$1005),0)</f>
        <v>1.62555744398587</v>
      </c>
      <c r="AA76" s="29" t="n">
        <f aca="false">SUMIF('Concrete Scenarios'!$B$6:$B$1005,A76,'Concrete Scenarios'!$O$6:$O$1005)</f>
        <v>0</v>
      </c>
      <c r="AB76" s="23" t="n">
        <f aca="false">SUMIF('Concrete Scenarios'!$B$6:$B$1005,A76,'Concrete Scenarios'!$S$6:$S$1005)/COUNTIF('Concrete Scenarios'!$B$6:$B$1005,A76)</f>
        <v>0</v>
      </c>
      <c r="AC76" s="13" t="n">
        <f aca="false">I76*J76*AB76</f>
        <v>0</v>
      </c>
    </row>
    <row r="77" customFormat="false" ht="15" hidden="false" customHeight="false" outlineLevel="0" collapsed="false">
      <c r="A77" s="5" t="s">
        <v>209</v>
      </c>
      <c r="B77" s="5" t="s">
        <v>58</v>
      </c>
      <c r="C77" s="5" t="s">
        <v>65</v>
      </c>
      <c r="D77" s="5" t="s">
        <v>70</v>
      </c>
      <c r="E77" s="5" t="s">
        <v>102</v>
      </c>
      <c r="F77" s="21" t="n">
        <f aca="false">INDEX(Inputs!$B$15:$B$19,MATCH(B77,Inputs!$A$15:$A$19,0))</f>
        <v>0.05</v>
      </c>
      <c r="G77" s="21" t="n">
        <f aca="false">INDEX(Inputs!$B$23:$B$26,MATCH(C77,Inputs!$A$23:$A$26,0))</f>
        <v>0.15</v>
      </c>
      <c r="H77" s="21" t="n">
        <f aca="false">INDEX(Inputs!$B$30:$B$34,MATCH(D77,Inputs!$A$30:$A$34,0))</f>
        <v>0.2</v>
      </c>
      <c r="I77" s="22" t="n">
        <f aca="false">F77*G77*H77</f>
        <v>0.0015</v>
      </c>
      <c r="J77" s="23" t="n">
        <f aca="false">INDEX('HB Evidence'!$F$6:$F$25,MATCH(E77,'HB Evidence'!$A$6:$A$25,0))</f>
        <v>0.0005</v>
      </c>
      <c r="K77" s="23" t="n">
        <f aca="false">INDEX('HB Evidence'!$H$6:$H$25,MATCH(E77,'HB Evidence'!$A$6:$A$25,0))</f>
        <v>0.00509952663038825</v>
      </c>
      <c r="L77" s="16" t="n">
        <v>2000</v>
      </c>
      <c r="M77" s="16" t="n">
        <v>0</v>
      </c>
      <c r="N77" s="24" t="n">
        <f aca="false">M77/L77</f>
        <v>0</v>
      </c>
      <c r="O77" s="24" t="n">
        <f aca="false">IF(M77=L77,1,BETAINV(Inputs!$B$10,M77+1,L77-M77))</f>
        <v>0.00388404949945426</v>
      </c>
      <c r="P77" s="25" t="n">
        <v>0</v>
      </c>
      <c r="Q77" s="26" t="n">
        <v>0</v>
      </c>
      <c r="R77" s="13" t="n">
        <f aca="false">I77*J77*N77*P77</f>
        <v>0</v>
      </c>
      <c r="S77" s="13" t="n">
        <f aca="false">I77*K77*O77*P77</f>
        <v>0</v>
      </c>
      <c r="T77" s="15" t="n">
        <f aca="false">IF(Summary!$B$6&gt;0,R77/Summary!$B$6,0)</f>
        <v>0</v>
      </c>
      <c r="U77" s="13" t="n">
        <f aca="false">I77*K77</f>
        <v>7.64928994558237E-006</v>
      </c>
      <c r="V77" s="13" t="n">
        <f aca="false">I77*O77*P77</f>
        <v>0</v>
      </c>
      <c r="W77" s="18" t="n">
        <f aca="false">INDEX('HB Evidence'!$I$6:$I$25,MATCH(E77,'HB Evidence'!$A$6:$A$25,0))</f>
        <v>0.00072</v>
      </c>
      <c r="X77" s="18" t="n">
        <f aca="false">I77*W77*N77*P77</f>
        <v>0</v>
      </c>
      <c r="Y77" s="27" t="n">
        <f aca="false">SUMIF('Concrete Scenarios'!$B$6:$B$1005,A77,'Concrete Scenarios'!$N$6:$N$1005)</f>
        <v>23.3457838387641</v>
      </c>
      <c r="Z77" s="28" t="n">
        <f aca="false">IF(SUMIF('Concrete Scenarios'!$B$6:$B$1005,A77,'Concrete Scenarios'!$T$6:$T$1005)&gt;0,Y77^2/SUMIF('Concrete Scenarios'!$B$6:$B$1005,A77,'Concrete Scenarios'!$T$6:$T$1005),0)</f>
        <v>1.44952850187316</v>
      </c>
      <c r="AA77" s="29" t="n">
        <f aca="false">SUMIF('Concrete Scenarios'!$B$6:$B$1005,A77,'Concrete Scenarios'!$O$6:$O$1005)</f>
        <v>0</v>
      </c>
      <c r="AB77" s="23" t="n">
        <f aca="false">SUMIF('Concrete Scenarios'!$B$6:$B$1005,A77,'Concrete Scenarios'!$S$6:$S$1005)/COUNTIF('Concrete Scenarios'!$B$6:$B$1005,A77)</f>
        <v>0</v>
      </c>
      <c r="AC77" s="13" t="n">
        <f aca="false">I77*J77*AB77</f>
        <v>0</v>
      </c>
    </row>
    <row r="78" customFormat="false" ht="15" hidden="false" customHeight="false" outlineLevel="0" collapsed="false">
      <c r="A78" s="5" t="s">
        <v>210</v>
      </c>
      <c r="B78" s="5" t="s">
        <v>58</v>
      </c>
      <c r="C78" s="5" t="s">
        <v>65</v>
      </c>
      <c r="D78" s="5" t="s">
        <v>71</v>
      </c>
      <c r="E78" s="5" t="s">
        <v>102</v>
      </c>
      <c r="F78" s="21" t="n">
        <f aca="false">INDEX(Inputs!$B$15:$B$19,MATCH(B78,Inputs!$A$15:$A$19,0))</f>
        <v>0.05</v>
      </c>
      <c r="G78" s="21" t="n">
        <f aca="false">INDEX(Inputs!$B$23:$B$26,MATCH(C78,Inputs!$A$23:$A$26,0))</f>
        <v>0.15</v>
      </c>
      <c r="H78" s="21" t="n">
        <f aca="false">INDEX(Inputs!$B$30:$B$34,MATCH(D78,Inputs!$A$30:$A$34,0))</f>
        <v>0.15</v>
      </c>
      <c r="I78" s="22" t="n">
        <f aca="false">F78*G78*H78</f>
        <v>0.001125</v>
      </c>
      <c r="J78" s="23" t="n">
        <f aca="false">INDEX('HB Evidence'!$F$6:$F$25,MATCH(E78,'HB Evidence'!$A$6:$A$25,0))</f>
        <v>0.0005</v>
      </c>
      <c r="K78" s="23" t="n">
        <f aca="false">INDEX('HB Evidence'!$H$6:$H$25,MATCH(E78,'HB Evidence'!$A$6:$A$25,0))</f>
        <v>0.00509952663038825</v>
      </c>
      <c r="L78" s="16" t="n">
        <v>2000</v>
      </c>
      <c r="M78" s="16" t="n">
        <v>0</v>
      </c>
      <c r="N78" s="24" t="n">
        <f aca="false">M78/L78</f>
        <v>0</v>
      </c>
      <c r="O78" s="24" t="n">
        <f aca="false">IF(M78=L78,1,BETAINV(Inputs!$B$10,M78+1,L78-M78))</f>
        <v>0.00388404949945426</v>
      </c>
      <c r="P78" s="25" t="n">
        <v>0</v>
      </c>
      <c r="Q78" s="26" t="n">
        <v>0</v>
      </c>
      <c r="R78" s="13" t="n">
        <f aca="false">I78*J78*N78*P78</f>
        <v>0</v>
      </c>
      <c r="S78" s="13" t="n">
        <f aca="false">I78*K78*O78*P78</f>
        <v>0</v>
      </c>
      <c r="T78" s="15" t="n">
        <f aca="false">IF(Summary!$B$6&gt;0,R78/Summary!$B$6,0)</f>
        <v>0</v>
      </c>
      <c r="U78" s="13" t="n">
        <f aca="false">I78*K78</f>
        <v>5.73696745918678E-006</v>
      </c>
      <c r="V78" s="13" t="n">
        <f aca="false">I78*O78*P78</f>
        <v>0</v>
      </c>
      <c r="W78" s="18" t="n">
        <f aca="false">INDEX('HB Evidence'!$I$6:$I$25,MATCH(E78,'HB Evidence'!$A$6:$A$25,0))</f>
        <v>0.00072</v>
      </c>
      <c r="X78" s="18" t="n">
        <f aca="false">I78*W78*N78*P78</f>
        <v>0</v>
      </c>
      <c r="Y78" s="27" t="n">
        <f aca="false">SUMIF('Concrete Scenarios'!$B$6:$B$1005,A78,'Concrete Scenarios'!$N$6:$N$1005)</f>
        <v>3.41004470176203</v>
      </c>
      <c r="Z78" s="28" t="n">
        <f aca="false">IF(SUMIF('Concrete Scenarios'!$B$6:$B$1005,A78,'Concrete Scenarios'!$T$6:$T$1005)&gt;0,Y78^2/SUMIF('Concrete Scenarios'!$B$6:$B$1005,A78,'Concrete Scenarios'!$T$6:$T$1005),0)</f>
        <v>4.75469292857483</v>
      </c>
      <c r="AA78" s="29" t="n">
        <f aca="false">SUMIF('Concrete Scenarios'!$B$6:$B$1005,A78,'Concrete Scenarios'!$O$6:$O$1005)</f>
        <v>0</v>
      </c>
      <c r="AB78" s="23" t="n">
        <f aca="false">SUMIF('Concrete Scenarios'!$B$6:$B$1005,A78,'Concrete Scenarios'!$S$6:$S$1005)/COUNTIF('Concrete Scenarios'!$B$6:$B$1005,A78)</f>
        <v>0</v>
      </c>
      <c r="AC78" s="13" t="n">
        <f aca="false">I78*J78*AB78</f>
        <v>0</v>
      </c>
    </row>
    <row r="79" customFormat="false" ht="15" hidden="false" customHeight="false" outlineLevel="0" collapsed="false">
      <c r="A79" s="5" t="s">
        <v>211</v>
      </c>
      <c r="B79" s="5" t="s">
        <v>58</v>
      </c>
      <c r="C79" s="5" t="s">
        <v>65</v>
      </c>
      <c r="D79" s="5" t="s">
        <v>72</v>
      </c>
      <c r="E79" s="5" t="s">
        <v>102</v>
      </c>
      <c r="F79" s="21" t="n">
        <f aca="false">INDEX(Inputs!$B$15:$B$19,MATCH(B79,Inputs!$A$15:$A$19,0))</f>
        <v>0.05</v>
      </c>
      <c r="G79" s="21" t="n">
        <f aca="false">INDEX(Inputs!$B$23:$B$26,MATCH(C79,Inputs!$A$23:$A$26,0))</f>
        <v>0.15</v>
      </c>
      <c r="H79" s="21" t="n">
        <f aca="false">INDEX(Inputs!$B$30:$B$34,MATCH(D79,Inputs!$A$30:$A$34,0))</f>
        <v>0.13</v>
      </c>
      <c r="I79" s="22" t="n">
        <f aca="false">F79*G79*H79</f>
        <v>0.000975</v>
      </c>
      <c r="J79" s="23" t="n">
        <f aca="false">INDEX('HB Evidence'!$F$6:$F$25,MATCH(E79,'HB Evidence'!$A$6:$A$25,0))</f>
        <v>0.0005</v>
      </c>
      <c r="K79" s="23" t="n">
        <f aca="false">INDEX('HB Evidence'!$H$6:$H$25,MATCH(E79,'HB Evidence'!$A$6:$A$25,0))</f>
        <v>0.00509952663038825</v>
      </c>
      <c r="L79" s="16" t="n">
        <v>2000</v>
      </c>
      <c r="M79" s="16" t="n">
        <v>8</v>
      </c>
      <c r="N79" s="24" t="n">
        <f aca="false">M79/L79</f>
        <v>0.004</v>
      </c>
      <c r="O79" s="24" t="n">
        <f aca="false">IF(M79=L79,1,BETAINV(Inputs!$B$10,M79+1,L79-M79))</f>
        <v>0.0112052408385336</v>
      </c>
      <c r="P79" s="25" t="n">
        <v>0.166652</v>
      </c>
      <c r="Q79" s="26" t="n">
        <v>25.39</v>
      </c>
      <c r="R79" s="13" t="n">
        <f aca="false">I79*J79*N79*P79</f>
        <v>3.249714E-010</v>
      </c>
      <c r="S79" s="13" t="n">
        <f aca="false">I79*K79*O79*P79</f>
        <v>9.28466428673862E-009</v>
      </c>
      <c r="T79" s="15" t="n">
        <f aca="false">IF(Summary!$B$6&gt;0,R79/Summary!$B$6,0)</f>
        <v>0.0157172911791885</v>
      </c>
      <c r="U79" s="13" t="n">
        <f aca="false">I79*K79</f>
        <v>4.97203846462854E-006</v>
      </c>
      <c r="V79" s="13" t="n">
        <f aca="false">I79*O79*P79</f>
        <v>1.82069140131772E-006</v>
      </c>
      <c r="W79" s="18" t="n">
        <f aca="false">INDEX('HB Evidence'!$I$6:$I$25,MATCH(E79,'HB Evidence'!$A$6:$A$25,0))</f>
        <v>0.00072</v>
      </c>
      <c r="X79" s="18" t="n">
        <f aca="false">I79*W79*N79*P79</f>
        <v>4.67958816E-010</v>
      </c>
      <c r="Y79" s="27" t="n">
        <f aca="false">SUMIF('Concrete Scenarios'!$B$6:$B$1005,A79,'Concrete Scenarios'!$N$6:$N$1005)</f>
        <v>3.78419802812361</v>
      </c>
      <c r="Z79" s="28" t="n">
        <f aca="false">IF(SUMIF('Concrete Scenarios'!$B$6:$B$1005,A79,'Concrete Scenarios'!$T$6:$T$1005)&gt;0,Y79^2/SUMIF('Concrete Scenarios'!$B$6:$B$1005,A79,'Concrete Scenarios'!$T$6:$T$1005),0)</f>
        <v>5.27560777666321</v>
      </c>
      <c r="AA79" s="29" t="n">
        <f aca="false">SUMIF('Concrete Scenarios'!$B$6:$B$1005,A79,'Concrete Scenarios'!$O$6:$O$1005)</f>
        <v>2</v>
      </c>
      <c r="AB79" s="23" t="n">
        <f aca="false">SUMIF('Concrete Scenarios'!$B$6:$B$1005,A79,'Concrete Scenarios'!$S$6:$S$1005)/COUNTIF('Concrete Scenarios'!$B$6:$B$1005,A79)</f>
        <v>3.82368985706632E-005</v>
      </c>
      <c r="AC79" s="13" t="n">
        <f aca="false">I79*J79*AB79</f>
        <v>1.86404880531983E-011</v>
      </c>
    </row>
    <row r="80" customFormat="false" ht="15" hidden="false" customHeight="false" outlineLevel="0" collapsed="false">
      <c r="A80" s="5" t="s">
        <v>212</v>
      </c>
      <c r="B80" s="5" t="s">
        <v>58</v>
      </c>
      <c r="C80" s="5" t="s">
        <v>65</v>
      </c>
      <c r="D80" s="5" t="s">
        <v>73</v>
      </c>
      <c r="E80" s="5" t="s">
        <v>102</v>
      </c>
      <c r="F80" s="21" t="n">
        <f aca="false">INDEX(Inputs!$B$15:$B$19,MATCH(B80,Inputs!$A$15:$A$19,0))</f>
        <v>0.05</v>
      </c>
      <c r="G80" s="21" t="n">
        <f aca="false">INDEX(Inputs!$B$23:$B$26,MATCH(C80,Inputs!$A$23:$A$26,0))</f>
        <v>0.15</v>
      </c>
      <c r="H80" s="21" t="n">
        <f aca="false">INDEX(Inputs!$B$30:$B$34,MATCH(D80,Inputs!$A$30:$A$34,0))</f>
        <v>0.07</v>
      </c>
      <c r="I80" s="22" t="n">
        <f aca="false">F80*G80*H80</f>
        <v>0.000525</v>
      </c>
      <c r="J80" s="23" t="n">
        <f aca="false">INDEX('HB Evidence'!$F$6:$F$25,MATCH(E80,'HB Evidence'!$A$6:$A$25,0))</f>
        <v>0.0005</v>
      </c>
      <c r="K80" s="23" t="n">
        <f aca="false">INDEX('HB Evidence'!$H$6:$H$25,MATCH(E80,'HB Evidence'!$A$6:$A$25,0))</f>
        <v>0.00509952663038825</v>
      </c>
      <c r="L80" s="16" t="n">
        <v>2000</v>
      </c>
      <c r="M80" s="16" t="n">
        <v>74</v>
      </c>
      <c r="N80" s="24" t="n">
        <f aca="false">M80/L80</f>
        <v>0.037</v>
      </c>
      <c r="O80" s="24" t="n">
        <f aca="false">IF(M80=L80,1,BETAINV(Inputs!$B$10,M80+1,L80-M80))</f>
        <v>0.0532328517113825</v>
      </c>
      <c r="P80" s="25" t="n">
        <v>0.047945</v>
      </c>
      <c r="Q80" s="26" t="n">
        <v>19.63</v>
      </c>
      <c r="R80" s="13" t="n">
        <f aca="false">I80*J80*N80*P80</f>
        <v>4.656658125E-010</v>
      </c>
      <c r="S80" s="13" t="n">
        <f aca="false">I80*K80*O80*P80</f>
        <v>6.83301261661595E-009</v>
      </c>
      <c r="T80" s="15" t="n">
        <f aca="false">IF(Summary!$B$6&gt;0,R80/Summary!$B$6,0)</f>
        <v>0.0225219978350584</v>
      </c>
      <c r="U80" s="13" t="n">
        <f aca="false">I80*K80</f>
        <v>2.67725148095383E-006</v>
      </c>
      <c r="V80" s="13" t="n">
        <f aca="false">I80*O80*P80</f>
        <v>1.33993076453367E-006</v>
      </c>
      <c r="W80" s="18" t="n">
        <f aca="false">INDEX('HB Evidence'!$I$6:$I$25,MATCH(E80,'HB Evidence'!$A$6:$A$25,0))</f>
        <v>0.00072</v>
      </c>
      <c r="X80" s="18" t="n">
        <f aca="false">I80*W80*N80*P80</f>
        <v>6.7055877E-010</v>
      </c>
      <c r="Y80" s="27" t="n">
        <f aca="false">SUMIF('Concrete Scenarios'!$B$6:$B$1005,A80,'Concrete Scenarios'!$N$6:$N$1005)</f>
        <v>10.8681099909231</v>
      </c>
      <c r="Z80" s="28" t="n">
        <f aca="false">IF(SUMIF('Concrete Scenarios'!$B$6:$B$1005,A80,'Concrete Scenarios'!$T$6:$T$1005)&gt;0,Y80^2/SUMIF('Concrete Scenarios'!$B$6:$B$1005,A80,'Concrete Scenarios'!$T$6:$T$1005),0)</f>
        <v>2.38411940037321</v>
      </c>
      <c r="AA80" s="29" t="n">
        <f aca="false">SUMIF('Concrete Scenarios'!$B$6:$B$1005,A80,'Concrete Scenarios'!$O$6:$O$1005)</f>
        <v>1</v>
      </c>
      <c r="AB80" s="23" t="n">
        <f aca="false">SUMIF('Concrete Scenarios'!$B$6:$B$1005,A80,'Concrete Scenarios'!$S$6:$S$1005)/COUNTIF('Concrete Scenarios'!$B$6:$B$1005,A80)</f>
        <v>5.68348058053897E-005</v>
      </c>
      <c r="AC80" s="13" t="n">
        <f aca="false">I80*J80*AB80</f>
        <v>1.49191365239148E-011</v>
      </c>
    </row>
    <row r="81" customFormat="false" ht="15" hidden="false" customHeight="false" outlineLevel="0" collapsed="false">
      <c r="A81" s="5" t="s">
        <v>213</v>
      </c>
      <c r="B81" s="5" t="s">
        <v>58</v>
      </c>
      <c r="C81" s="5" t="s">
        <v>66</v>
      </c>
      <c r="D81" s="5" t="s">
        <v>68</v>
      </c>
      <c r="E81" s="5" t="s">
        <v>103</v>
      </c>
      <c r="F81" s="21" t="n">
        <f aca="false">INDEX(Inputs!$B$15:$B$19,MATCH(B81,Inputs!$A$15:$A$19,0))</f>
        <v>0.05</v>
      </c>
      <c r="G81" s="21" t="n">
        <f aca="false">INDEX(Inputs!$B$23:$B$26,MATCH(C81,Inputs!$A$23:$A$26,0))</f>
        <v>0.1</v>
      </c>
      <c r="H81" s="21" t="n">
        <f aca="false">INDEX(Inputs!$B$30:$B$34,MATCH(D81,Inputs!$A$30:$A$34,0))</f>
        <v>0.45</v>
      </c>
      <c r="I81" s="22" t="n">
        <f aca="false">F81*G81*H81</f>
        <v>0.00225</v>
      </c>
      <c r="J81" s="23" t="n">
        <f aca="false">INDEX('HB Evidence'!$F$6:$F$25,MATCH(E81,'HB Evidence'!$A$6:$A$25,0))</f>
        <v>0</v>
      </c>
      <c r="K81" s="23" t="n">
        <f aca="false">INDEX('HB Evidence'!$H$6:$H$25,MATCH(E81,'HB Evidence'!$A$6:$A$25,0))</f>
        <v>0.00518881601089077</v>
      </c>
      <c r="L81" s="16" t="n">
        <v>2000</v>
      </c>
      <c r="M81" s="16" t="n">
        <v>0</v>
      </c>
      <c r="N81" s="24" t="n">
        <f aca="false">M81/L81</f>
        <v>0</v>
      </c>
      <c r="O81" s="24" t="n">
        <f aca="false">IF(M81=L81,1,BETAINV(Inputs!$B$10,M81+1,L81-M81))</f>
        <v>0.00388404949945426</v>
      </c>
      <c r="P81" s="25" t="n">
        <v>0</v>
      </c>
      <c r="Q81" s="26" t="n">
        <v>0</v>
      </c>
      <c r="R81" s="13" t="n">
        <f aca="false">I81*J81*N81*P81</f>
        <v>0</v>
      </c>
      <c r="S81" s="13" t="n">
        <f aca="false">I81*K81*O81*P81</f>
        <v>0</v>
      </c>
      <c r="T81" s="15" t="n">
        <f aca="false">IF(Summary!$B$6&gt;0,R81/Summary!$B$6,0)</f>
        <v>0</v>
      </c>
      <c r="U81" s="13" t="n">
        <f aca="false">I81*K81</f>
        <v>1.16748360245042E-005</v>
      </c>
      <c r="V81" s="13" t="n">
        <f aca="false">I81*O81*P81</f>
        <v>0</v>
      </c>
      <c r="W81" s="18" t="n">
        <f aca="false">INDEX('HB Evidence'!$I$6:$I$25,MATCH(E81,'HB Evidence'!$A$6:$A$25,0))</f>
        <v>0.0009</v>
      </c>
      <c r="X81" s="18" t="n">
        <f aca="false">I81*W81*N81*P81</f>
        <v>0</v>
      </c>
      <c r="Y81" s="27" t="n">
        <f aca="false">SUMIF('Concrete Scenarios'!$B$6:$B$1005,A81,'Concrete Scenarios'!$N$6:$N$1005)</f>
        <v>9.80182776846207</v>
      </c>
      <c r="Z81" s="28" t="n">
        <f aca="false">IF(SUMIF('Concrete Scenarios'!$B$6:$B$1005,A81,'Concrete Scenarios'!$T$6:$T$1005)&gt;0,Y81^2/SUMIF('Concrete Scenarios'!$B$6:$B$1005,A81,'Concrete Scenarios'!$T$6:$T$1005),0)</f>
        <v>5.09708453739098</v>
      </c>
      <c r="AA81" s="29" t="n">
        <f aca="false">SUMIF('Concrete Scenarios'!$B$6:$B$1005,A81,'Concrete Scenarios'!$O$6:$O$1005)</f>
        <v>0</v>
      </c>
      <c r="AB81" s="23" t="n">
        <f aca="false">SUMIF('Concrete Scenarios'!$B$6:$B$1005,A81,'Concrete Scenarios'!$S$6:$S$1005)/COUNTIF('Concrete Scenarios'!$B$6:$B$1005,A81)</f>
        <v>0</v>
      </c>
      <c r="AC81" s="13" t="n">
        <f aca="false">I81*J81*AB81</f>
        <v>0</v>
      </c>
    </row>
    <row r="82" customFormat="false" ht="15" hidden="false" customHeight="false" outlineLevel="0" collapsed="false">
      <c r="A82" s="5" t="s">
        <v>214</v>
      </c>
      <c r="B82" s="5" t="s">
        <v>58</v>
      </c>
      <c r="C82" s="5" t="s">
        <v>66</v>
      </c>
      <c r="D82" s="5" t="s">
        <v>70</v>
      </c>
      <c r="E82" s="5" t="s">
        <v>103</v>
      </c>
      <c r="F82" s="21" t="n">
        <f aca="false">INDEX(Inputs!$B$15:$B$19,MATCH(B82,Inputs!$A$15:$A$19,0))</f>
        <v>0.05</v>
      </c>
      <c r="G82" s="21" t="n">
        <f aca="false">INDEX(Inputs!$B$23:$B$26,MATCH(C82,Inputs!$A$23:$A$26,0))</f>
        <v>0.1</v>
      </c>
      <c r="H82" s="21" t="n">
        <f aca="false">INDEX(Inputs!$B$30:$B$34,MATCH(D82,Inputs!$A$30:$A$34,0))</f>
        <v>0.2</v>
      </c>
      <c r="I82" s="22" t="n">
        <f aca="false">F82*G82*H82</f>
        <v>0.001</v>
      </c>
      <c r="J82" s="23" t="n">
        <f aca="false">INDEX('HB Evidence'!$F$6:$F$25,MATCH(E82,'HB Evidence'!$A$6:$A$25,0))</f>
        <v>0</v>
      </c>
      <c r="K82" s="23" t="n">
        <f aca="false">INDEX('HB Evidence'!$H$6:$H$25,MATCH(E82,'HB Evidence'!$A$6:$A$25,0))</f>
        <v>0.00518881601089077</v>
      </c>
      <c r="L82" s="16" t="n">
        <v>2000</v>
      </c>
      <c r="M82" s="16" t="n">
        <v>0</v>
      </c>
      <c r="N82" s="24" t="n">
        <f aca="false">M82/L82</f>
        <v>0</v>
      </c>
      <c r="O82" s="24" t="n">
        <f aca="false">IF(M82=L82,1,BETAINV(Inputs!$B$10,M82+1,L82-M82))</f>
        <v>0.00388404949945426</v>
      </c>
      <c r="P82" s="25" t="n">
        <v>0</v>
      </c>
      <c r="Q82" s="26" t="n">
        <v>0</v>
      </c>
      <c r="R82" s="13" t="n">
        <f aca="false">I82*J82*N82*P82</f>
        <v>0</v>
      </c>
      <c r="S82" s="13" t="n">
        <f aca="false">I82*K82*O82*P82</f>
        <v>0</v>
      </c>
      <c r="T82" s="15" t="n">
        <f aca="false">IF(Summary!$B$6&gt;0,R82/Summary!$B$6,0)</f>
        <v>0</v>
      </c>
      <c r="U82" s="13" t="n">
        <f aca="false">I82*K82</f>
        <v>5.18881601089077E-006</v>
      </c>
      <c r="V82" s="13" t="n">
        <f aca="false">I82*O82*P82</f>
        <v>0</v>
      </c>
      <c r="W82" s="18" t="n">
        <f aca="false">INDEX('HB Evidence'!$I$6:$I$25,MATCH(E82,'HB Evidence'!$A$6:$A$25,0))</f>
        <v>0.0009</v>
      </c>
      <c r="X82" s="18" t="n">
        <f aca="false">I82*W82*N82*P82</f>
        <v>0</v>
      </c>
      <c r="Y82" s="27" t="n">
        <f aca="false">SUMIF('Concrete Scenarios'!$B$6:$B$1005,A82,'Concrete Scenarios'!$N$6:$N$1005)</f>
        <v>11.8789088050129</v>
      </c>
      <c r="Z82" s="28" t="n">
        <f aca="false">IF(SUMIF('Concrete Scenarios'!$B$6:$B$1005,A82,'Concrete Scenarios'!$T$6:$T$1005)&gt;0,Y82^2/SUMIF('Concrete Scenarios'!$B$6:$B$1005,A82,'Concrete Scenarios'!$T$6:$T$1005),0)</f>
        <v>5.77546487805939</v>
      </c>
      <c r="AA82" s="29" t="n">
        <f aca="false">SUMIF('Concrete Scenarios'!$B$6:$B$1005,A82,'Concrete Scenarios'!$O$6:$O$1005)</f>
        <v>0</v>
      </c>
      <c r="AB82" s="23" t="n">
        <f aca="false">SUMIF('Concrete Scenarios'!$B$6:$B$1005,A82,'Concrete Scenarios'!$S$6:$S$1005)/COUNTIF('Concrete Scenarios'!$B$6:$B$1005,A82)</f>
        <v>0</v>
      </c>
      <c r="AC82" s="13" t="n">
        <f aca="false">I82*J82*AB82</f>
        <v>0</v>
      </c>
    </row>
    <row r="83" customFormat="false" ht="15" hidden="false" customHeight="false" outlineLevel="0" collapsed="false">
      <c r="A83" s="5" t="s">
        <v>215</v>
      </c>
      <c r="B83" s="5" t="s">
        <v>58</v>
      </c>
      <c r="C83" s="5" t="s">
        <v>66</v>
      </c>
      <c r="D83" s="5" t="s">
        <v>71</v>
      </c>
      <c r="E83" s="5" t="s">
        <v>103</v>
      </c>
      <c r="F83" s="21" t="n">
        <f aca="false">INDEX(Inputs!$B$15:$B$19,MATCH(B83,Inputs!$A$15:$A$19,0))</f>
        <v>0.05</v>
      </c>
      <c r="G83" s="21" t="n">
        <f aca="false">INDEX(Inputs!$B$23:$B$26,MATCH(C83,Inputs!$A$23:$A$26,0))</f>
        <v>0.1</v>
      </c>
      <c r="H83" s="21" t="n">
        <f aca="false">INDEX(Inputs!$B$30:$B$34,MATCH(D83,Inputs!$A$30:$A$34,0))</f>
        <v>0.15</v>
      </c>
      <c r="I83" s="22" t="n">
        <f aca="false">F83*G83*H83</f>
        <v>0.00075</v>
      </c>
      <c r="J83" s="23" t="n">
        <f aca="false">INDEX('HB Evidence'!$F$6:$F$25,MATCH(E83,'HB Evidence'!$A$6:$A$25,0))</f>
        <v>0</v>
      </c>
      <c r="K83" s="23" t="n">
        <f aca="false">INDEX('HB Evidence'!$H$6:$H$25,MATCH(E83,'HB Evidence'!$A$6:$A$25,0))</f>
        <v>0.00518881601089077</v>
      </c>
      <c r="L83" s="16" t="n">
        <v>2000</v>
      </c>
      <c r="M83" s="16" t="n">
        <v>1</v>
      </c>
      <c r="N83" s="24" t="n">
        <f aca="false">M83/L83</f>
        <v>0.0005</v>
      </c>
      <c r="O83" s="24" t="n">
        <f aca="false">IF(M83=L83,1,BETAINV(Inputs!$B$10,M83+1,L83-M83))</f>
        <v>0.00508781553003008</v>
      </c>
      <c r="P83" s="25" t="n">
        <v>0.014804</v>
      </c>
      <c r="Q83" s="26" t="n">
        <v>15.61</v>
      </c>
      <c r="R83" s="13" t="n">
        <f aca="false">I83*J83*N83*P83</f>
        <v>0</v>
      </c>
      <c r="S83" s="13" t="n">
        <f aca="false">I83*K83*O83*P83</f>
        <v>2.93116298593782E-010</v>
      </c>
      <c r="T83" s="15" t="n">
        <f aca="false">IF(Summary!$B$6&gt;0,R83/Summary!$B$6,0)</f>
        <v>0</v>
      </c>
      <c r="U83" s="13" t="n">
        <f aca="false">I83*K83</f>
        <v>3.89161200816808E-006</v>
      </c>
      <c r="V83" s="13" t="n">
        <f aca="false">I83*O83*P83</f>
        <v>5.6490015829924E-008</v>
      </c>
      <c r="W83" s="18" t="n">
        <f aca="false">INDEX('HB Evidence'!$I$6:$I$25,MATCH(E83,'HB Evidence'!$A$6:$A$25,0))</f>
        <v>0.0009</v>
      </c>
      <c r="X83" s="18" t="n">
        <f aca="false">I83*W83*N83*P83</f>
        <v>4.99635E-012</v>
      </c>
      <c r="Y83" s="27" t="n">
        <f aca="false">SUMIF('Concrete Scenarios'!$B$6:$B$1005,A83,'Concrete Scenarios'!$N$6:$N$1005)</f>
        <v>4.67492730294783</v>
      </c>
      <c r="Z83" s="28" t="n">
        <f aca="false">IF(SUMIF('Concrete Scenarios'!$B$6:$B$1005,A83,'Concrete Scenarios'!$T$6:$T$1005)&gt;0,Y83^2/SUMIF('Concrete Scenarios'!$B$6:$B$1005,A83,'Concrete Scenarios'!$T$6:$T$1005),0)</f>
        <v>4.65916890652724</v>
      </c>
      <c r="AA83" s="29" t="n">
        <f aca="false">SUMIF('Concrete Scenarios'!$B$6:$B$1005,A83,'Concrete Scenarios'!$O$6:$O$1005)</f>
        <v>1</v>
      </c>
      <c r="AB83" s="23" t="n">
        <f aca="false">SUMIF('Concrete Scenarios'!$B$6:$B$1005,A83,'Concrete Scenarios'!$S$6:$S$1005)/COUNTIF('Concrete Scenarios'!$B$6:$B$1005,A83)</f>
        <v>2.77934688766417E-005</v>
      </c>
      <c r="AC83" s="13" t="n">
        <f aca="false">I83*J83*AB83</f>
        <v>0</v>
      </c>
    </row>
    <row r="84" customFormat="false" ht="15" hidden="false" customHeight="false" outlineLevel="0" collapsed="false">
      <c r="A84" s="5" t="s">
        <v>216</v>
      </c>
      <c r="B84" s="5" t="s">
        <v>58</v>
      </c>
      <c r="C84" s="5" t="s">
        <v>66</v>
      </c>
      <c r="D84" s="5" t="s">
        <v>72</v>
      </c>
      <c r="E84" s="5" t="s">
        <v>103</v>
      </c>
      <c r="F84" s="21" t="n">
        <f aca="false">INDEX(Inputs!$B$15:$B$19,MATCH(B84,Inputs!$A$15:$A$19,0))</f>
        <v>0.05</v>
      </c>
      <c r="G84" s="21" t="n">
        <f aca="false">INDEX(Inputs!$B$23:$B$26,MATCH(C84,Inputs!$A$23:$A$26,0))</f>
        <v>0.1</v>
      </c>
      <c r="H84" s="21" t="n">
        <f aca="false">INDEX(Inputs!$B$30:$B$34,MATCH(D84,Inputs!$A$30:$A$34,0))</f>
        <v>0.13</v>
      </c>
      <c r="I84" s="22" t="n">
        <f aca="false">F84*G84*H84</f>
        <v>0.00065</v>
      </c>
      <c r="J84" s="23" t="n">
        <f aca="false">INDEX('HB Evidence'!$F$6:$F$25,MATCH(E84,'HB Evidence'!$A$6:$A$25,0))</f>
        <v>0</v>
      </c>
      <c r="K84" s="23" t="n">
        <f aca="false">INDEX('HB Evidence'!$H$6:$H$25,MATCH(E84,'HB Evidence'!$A$6:$A$25,0))</f>
        <v>0.00518881601089077</v>
      </c>
      <c r="L84" s="16" t="n">
        <v>2000</v>
      </c>
      <c r="M84" s="16" t="n">
        <v>1</v>
      </c>
      <c r="N84" s="24" t="n">
        <f aca="false">M84/L84</f>
        <v>0.0005</v>
      </c>
      <c r="O84" s="24" t="n">
        <f aca="false">IF(M84=L84,1,BETAINV(Inputs!$B$10,M84+1,L84-M84))</f>
        <v>0.00508781553003008</v>
      </c>
      <c r="P84" s="25" t="n">
        <v>0.041339</v>
      </c>
      <c r="Q84" s="26" t="n">
        <v>22.99</v>
      </c>
      <c r="R84" s="13" t="n">
        <f aca="false">I84*J84*N84*P84</f>
        <v>0</v>
      </c>
      <c r="S84" s="13" t="n">
        <f aca="false">I84*K84*O84*P84</f>
        <v>7.09370218312118E-010</v>
      </c>
      <c r="T84" s="15" t="n">
        <f aca="false">IF(Summary!$B$6&gt;0,R84/Summary!$B$6,0)</f>
        <v>0</v>
      </c>
      <c r="U84" s="13" t="n">
        <f aca="false">I84*K84</f>
        <v>3.372730407079E-006</v>
      </c>
      <c r="V84" s="13" t="n">
        <f aca="false">I84*O84*P84</f>
        <v>1.36711384027344E-007</v>
      </c>
      <c r="W84" s="18" t="n">
        <f aca="false">INDEX('HB Evidence'!$I$6:$I$25,MATCH(E84,'HB Evidence'!$A$6:$A$25,0))</f>
        <v>0.0009</v>
      </c>
      <c r="X84" s="18" t="n">
        <f aca="false">I84*W84*N84*P84</f>
        <v>1.20916575E-011</v>
      </c>
      <c r="Y84" s="27" t="n">
        <f aca="false">SUMIF('Concrete Scenarios'!$B$6:$B$1005,A84,'Concrete Scenarios'!$N$6:$N$1005)</f>
        <v>4.06361308701986</v>
      </c>
      <c r="Z84" s="28" t="n">
        <f aca="false">IF(SUMIF('Concrete Scenarios'!$B$6:$B$1005,A84,'Concrete Scenarios'!$T$6:$T$1005)&gt;0,Y84^2/SUMIF('Concrete Scenarios'!$B$6:$B$1005,A84,'Concrete Scenarios'!$T$6:$T$1005),0)</f>
        <v>5.60543918328311</v>
      </c>
      <c r="AA84" s="29" t="n">
        <f aca="false">SUMIF('Concrete Scenarios'!$B$6:$B$1005,A84,'Concrete Scenarios'!$O$6:$O$1005)</f>
        <v>1</v>
      </c>
      <c r="AB84" s="23" t="n">
        <f aca="false">SUMIF('Concrete Scenarios'!$B$6:$B$1005,A84,'Concrete Scenarios'!$S$6:$S$1005)/COUNTIF('Concrete Scenarios'!$B$6:$B$1005,A84)</f>
        <v>0.000155224874625078</v>
      </c>
      <c r="AC84" s="13" t="n">
        <f aca="false">I84*J84*AB84</f>
        <v>0</v>
      </c>
    </row>
    <row r="85" customFormat="false" ht="15" hidden="false" customHeight="false" outlineLevel="0" collapsed="false">
      <c r="A85" s="5" t="s">
        <v>217</v>
      </c>
      <c r="B85" s="5" t="s">
        <v>58</v>
      </c>
      <c r="C85" s="5" t="s">
        <v>66</v>
      </c>
      <c r="D85" s="5" t="s">
        <v>73</v>
      </c>
      <c r="E85" s="5" t="s">
        <v>103</v>
      </c>
      <c r="F85" s="21" t="n">
        <f aca="false">INDEX(Inputs!$B$15:$B$19,MATCH(B85,Inputs!$A$15:$A$19,0))</f>
        <v>0.05</v>
      </c>
      <c r="G85" s="21" t="n">
        <f aca="false">INDEX(Inputs!$B$23:$B$26,MATCH(C85,Inputs!$A$23:$A$26,0))</f>
        <v>0.1</v>
      </c>
      <c r="H85" s="21" t="n">
        <f aca="false">INDEX(Inputs!$B$30:$B$34,MATCH(D85,Inputs!$A$30:$A$34,0))</f>
        <v>0.07</v>
      </c>
      <c r="I85" s="22" t="n">
        <f aca="false">F85*G85*H85</f>
        <v>0.00035</v>
      </c>
      <c r="J85" s="23" t="n">
        <f aca="false">INDEX('HB Evidence'!$F$6:$F$25,MATCH(E85,'HB Evidence'!$A$6:$A$25,0))</f>
        <v>0</v>
      </c>
      <c r="K85" s="23" t="n">
        <f aca="false">INDEX('HB Evidence'!$H$6:$H$25,MATCH(E85,'HB Evidence'!$A$6:$A$25,0))</f>
        <v>0.00518881601089077</v>
      </c>
      <c r="L85" s="16" t="n">
        <v>2000</v>
      </c>
      <c r="M85" s="16" t="n">
        <v>24</v>
      </c>
      <c r="N85" s="24" t="n">
        <f aca="false">M85/L85</f>
        <v>0.012</v>
      </c>
      <c r="O85" s="24" t="n">
        <f aca="false">IF(M85=L85,1,BETAINV(Inputs!$B$10,M85+1,L85-M85))</f>
        <v>0.0224576410966508</v>
      </c>
      <c r="P85" s="25" t="n">
        <v>0.051454</v>
      </c>
      <c r="Q85" s="26" t="n">
        <v>18.16</v>
      </c>
      <c r="R85" s="13" t="n">
        <f aca="false">I85*J85*N85*P85</f>
        <v>0</v>
      </c>
      <c r="S85" s="13" t="n">
        <f aca="false">I85*K85*O85*P85</f>
        <v>2.09855132265696E-009</v>
      </c>
      <c r="T85" s="15" t="n">
        <f aca="false">IF(Summary!$B$6&gt;0,R85/Summary!$B$6,0)</f>
        <v>0</v>
      </c>
      <c r="U85" s="13" t="n">
        <f aca="false">I85*K85</f>
        <v>1.81608560381177E-006</v>
      </c>
      <c r="V85" s="13" t="n">
        <f aca="false">I85*O85*P85</f>
        <v>4.04437412745475E-007</v>
      </c>
      <c r="W85" s="18" t="n">
        <f aca="false">INDEX('HB Evidence'!$I$6:$I$25,MATCH(E85,'HB Evidence'!$A$6:$A$25,0))</f>
        <v>0.0009</v>
      </c>
      <c r="X85" s="18" t="n">
        <f aca="false">I85*W85*N85*P85</f>
        <v>1.9449612E-010</v>
      </c>
      <c r="Y85" s="27" t="n">
        <f aca="false">SUMIF('Concrete Scenarios'!$B$6:$B$1005,A85,'Concrete Scenarios'!$N$6:$N$1005)</f>
        <v>3.52914773733186</v>
      </c>
      <c r="Z85" s="28" t="n">
        <f aca="false">IF(SUMIF('Concrete Scenarios'!$B$6:$B$1005,A85,'Concrete Scenarios'!$T$6:$T$1005)&gt;0,Y85^2/SUMIF('Concrete Scenarios'!$B$6:$B$1005,A85,'Concrete Scenarios'!$T$6:$T$1005),0)</f>
        <v>4.40932408164513</v>
      </c>
      <c r="AA85" s="29" t="n">
        <f aca="false">SUMIF('Concrete Scenarios'!$B$6:$B$1005,A85,'Concrete Scenarios'!$O$6:$O$1005)</f>
        <v>2</v>
      </c>
      <c r="AB85" s="23" t="n">
        <f aca="false">SUMIF('Concrete Scenarios'!$B$6:$B$1005,A85,'Concrete Scenarios'!$S$6:$S$1005)/COUNTIF('Concrete Scenarios'!$B$6:$B$1005,A85)</f>
        <v>0.00113776608599512</v>
      </c>
      <c r="AC85" s="13" t="n">
        <f aca="false">I85*J85*AB85</f>
        <v>0</v>
      </c>
    </row>
    <row r="86" customFormat="false" ht="15" hidden="false" customHeight="false" outlineLevel="0" collapsed="false">
      <c r="A86" s="5" t="s">
        <v>218</v>
      </c>
      <c r="B86" s="5" t="s">
        <v>59</v>
      </c>
      <c r="C86" s="5" t="s">
        <v>62</v>
      </c>
      <c r="D86" s="5" t="s">
        <v>68</v>
      </c>
      <c r="E86" s="5" t="s">
        <v>104</v>
      </c>
      <c r="F86" s="21" t="n">
        <f aca="false">INDEX(Inputs!$B$15:$B$19,MATCH(B86,Inputs!$A$15:$A$19,0))</f>
        <v>0.03</v>
      </c>
      <c r="G86" s="21" t="n">
        <f aca="false">INDEX(Inputs!$B$23:$B$26,MATCH(C86,Inputs!$A$23:$A$26,0))</f>
        <v>0.35</v>
      </c>
      <c r="H86" s="21" t="n">
        <f aca="false">INDEX(Inputs!$B$30:$B$34,MATCH(D86,Inputs!$A$30:$A$34,0))</f>
        <v>0.45</v>
      </c>
      <c r="I86" s="22" t="n">
        <f aca="false">F86*G86*H86</f>
        <v>0.004725</v>
      </c>
      <c r="J86" s="23" t="n">
        <f aca="false">INDEX('HB Evidence'!$F$6:$F$25,MATCH(E86,'HB Evidence'!$A$6:$A$25,0))</f>
        <v>0.0005</v>
      </c>
      <c r="K86" s="23" t="n">
        <f aca="false">INDEX('HB Evidence'!$H$6:$H$25,MATCH(E86,'HB Evidence'!$A$6:$A$25,0))</f>
        <v>0.00509952663038825</v>
      </c>
      <c r="L86" s="16" t="n">
        <v>2000</v>
      </c>
      <c r="M86" s="16" t="n">
        <v>0</v>
      </c>
      <c r="N86" s="24" t="n">
        <f aca="false">M86/L86</f>
        <v>0</v>
      </c>
      <c r="O86" s="24" t="n">
        <f aca="false">IF(M86=L86,1,BETAINV(Inputs!$B$10,M86+1,L86-M86))</f>
        <v>0.00388404949945426</v>
      </c>
      <c r="P86" s="25" t="n">
        <v>0</v>
      </c>
      <c r="Q86" s="26" t="n">
        <v>0</v>
      </c>
      <c r="R86" s="13" t="n">
        <f aca="false">I86*J86*N86*P86</f>
        <v>0</v>
      </c>
      <c r="S86" s="13" t="n">
        <f aca="false">I86*K86*O86*P86</f>
        <v>0</v>
      </c>
      <c r="T86" s="15" t="n">
        <f aca="false">IF(Summary!$B$6&gt;0,R86/Summary!$B$6,0)</f>
        <v>0</v>
      </c>
      <c r="U86" s="13" t="n">
        <f aca="false">I86*K86</f>
        <v>2.40952633285845E-005</v>
      </c>
      <c r="V86" s="13" t="n">
        <f aca="false">I86*O86*P86</f>
        <v>0</v>
      </c>
      <c r="W86" s="18" t="n">
        <f aca="false">INDEX('HB Evidence'!$I$6:$I$25,MATCH(E86,'HB Evidence'!$A$6:$A$25,0))</f>
        <v>0.0003</v>
      </c>
      <c r="X86" s="18" t="n">
        <f aca="false">I86*W86*N86*P86</f>
        <v>0</v>
      </c>
      <c r="Y86" s="27" t="n">
        <f aca="false">SUMIF('Concrete Scenarios'!$B$6:$B$1005,A86,'Concrete Scenarios'!$N$6:$N$1005)</f>
        <v>6.53520426072859</v>
      </c>
      <c r="Z86" s="28" t="n">
        <f aca="false">IF(SUMIF('Concrete Scenarios'!$B$6:$B$1005,A86,'Concrete Scenarios'!$T$6:$T$1005)&gt;0,Y86^2/SUMIF('Concrete Scenarios'!$B$6:$B$1005,A86,'Concrete Scenarios'!$T$6:$T$1005),0)</f>
        <v>6.62476547458989</v>
      </c>
      <c r="AA86" s="29" t="n">
        <f aca="false">SUMIF('Concrete Scenarios'!$B$6:$B$1005,A86,'Concrete Scenarios'!$O$6:$O$1005)</f>
        <v>0</v>
      </c>
      <c r="AB86" s="23" t="n">
        <f aca="false">SUMIF('Concrete Scenarios'!$B$6:$B$1005,A86,'Concrete Scenarios'!$S$6:$S$1005)/COUNTIF('Concrete Scenarios'!$B$6:$B$1005,A86)</f>
        <v>0</v>
      </c>
      <c r="AC86" s="13" t="n">
        <f aca="false">I86*J86*AB86</f>
        <v>0</v>
      </c>
    </row>
    <row r="87" customFormat="false" ht="15" hidden="false" customHeight="false" outlineLevel="0" collapsed="false">
      <c r="A87" s="5" t="s">
        <v>219</v>
      </c>
      <c r="B87" s="5" t="s">
        <v>59</v>
      </c>
      <c r="C87" s="5" t="s">
        <v>62</v>
      </c>
      <c r="D87" s="5" t="s">
        <v>70</v>
      </c>
      <c r="E87" s="5" t="s">
        <v>104</v>
      </c>
      <c r="F87" s="21" t="n">
        <f aca="false">INDEX(Inputs!$B$15:$B$19,MATCH(B87,Inputs!$A$15:$A$19,0))</f>
        <v>0.03</v>
      </c>
      <c r="G87" s="21" t="n">
        <f aca="false">INDEX(Inputs!$B$23:$B$26,MATCH(C87,Inputs!$A$23:$A$26,0))</f>
        <v>0.35</v>
      </c>
      <c r="H87" s="21" t="n">
        <f aca="false">INDEX(Inputs!$B$30:$B$34,MATCH(D87,Inputs!$A$30:$A$34,0))</f>
        <v>0.2</v>
      </c>
      <c r="I87" s="22" t="n">
        <f aca="false">F87*G87*H87</f>
        <v>0.0021</v>
      </c>
      <c r="J87" s="23" t="n">
        <f aca="false">INDEX('HB Evidence'!$F$6:$F$25,MATCH(E87,'HB Evidence'!$A$6:$A$25,0))</f>
        <v>0.0005</v>
      </c>
      <c r="K87" s="23" t="n">
        <f aca="false">INDEX('HB Evidence'!$H$6:$H$25,MATCH(E87,'HB Evidence'!$A$6:$A$25,0))</f>
        <v>0.00509952663038825</v>
      </c>
      <c r="L87" s="16" t="n">
        <v>2000</v>
      </c>
      <c r="M87" s="16" t="n">
        <v>2</v>
      </c>
      <c r="N87" s="24" t="n">
        <f aca="false">M87/L87</f>
        <v>0.001</v>
      </c>
      <c r="O87" s="24" t="n">
        <f aca="false">IF(M87=L87,1,BETAINV(Inputs!$B$10,M87+1,L87-M87))</f>
        <v>0.00611737163154275</v>
      </c>
      <c r="P87" s="25" t="n">
        <v>0.007698</v>
      </c>
      <c r="Q87" s="26" t="n">
        <v>10.97</v>
      </c>
      <c r="R87" s="13" t="n">
        <f aca="false">I87*J87*N87*P87</f>
        <v>8.0829E-012</v>
      </c>
      <c r="S87" s="13" t="n">
        <f aca="false">I87*K87*O87*P87</f>
        <v>5.04303439672777E-010</v>
      </c>
      <c r="T87" s="15" t="n">
        <f aca="false">IF(Summary!$B$6&gt;0,R87/Summary!$B$6,0)</f>
        <v>0.000390930687661323</v>
      </c>
      <c r="U87" s="13" t="n">
        <f aca="false">I87*K87</f>
        <v>1.07090059238153E-005</v>
      </c>
      <c r="V87" s="13" t="n">
        <f aca="false">I87*O87*P87</f>
        <v>9.88922063211938E-008</v>
      </c>
      <c r="W87" s="18" t="n">
        <f aca="false">INDEX('HB Evidence'!$I$6:$I$25,MATCH(E87,'HB Evidence'!$A$6:$A$25,0))</f>
        <v>0.0003</v>
      </c>
      <c r="X87" s="18" t="n">
        <f aca="false">I87*W87*N87*P87</f>
        <v>4.84974E-012</v>
      </c>
      <c r="Y87" s="27" t="n">
        <f aca="false">SUMIF('Concrete Scenarios'!$B$6:$B$1005,A87,'Concrete Scenarios'!$N$6:$N$1005)</f>
        <v>5.40977021527374</v>
      </c>
      <c r="Z87" s="28" t="n">
        <f aca="false">IF(SUMIF('Concrete Scenarios'!$B$6:$B$1005,A87,'Concrete Scenarios'!$T$6:$T$1005)&gt;0,Y87^2/SUMIF('Concrete Scenarios'!$B$6:$B$1005,A87,'Concrete Scenarios'!$T$6:$T$1005),0)</f>
        <v>3.79658406517431</v>
      </c>
      <c r="AA87" s="29" t="n">
        <f aca="false">SUMIF('Concrete Scenarios'!$B$6:$B$1005,A87,'Concrete Scenarios'!$O$6:$O$1005)</f>
        <v>0</v>
      </c>
      <c r="AB87" s="23" t="n">
        <f aca="false">SUMIF('Concrete Scenarios'!$B$6:$B$1005,A87,'Concrete Scenarios'!$S$6:$S$1005)/COUNTIF('Concrete Scenarios'!$B$6:$B$1005,A87)</f>
        <v>0</v>
      </c>
      <c r="AC87" s="13" t="n">
        <f aca="false">I87*J87*AB87</f>
        <v>0</v>
      </c>
    </row>
    <row r="88" customFormat="false" ht="15" hidden="false" customHeight="false" outlineLevel="0" collapsed="false">
      <c r="A88" s="5" t="s">
        <v>220</v>
      </c>
      <c r="B88" s="5" t="s">
        <v>59</v>
      </c>
      <c r="C88" s="5" t="s">
        <v>62</v>
      </c>
      <c r="D88" s="5" t="s">
        <v>71</v>
      </c>
      <c r="E88" s="5" t="s">
        <v>104</v>
      </c>
      <c r="F88" s="21" t="n">
        <f aca="false">INDEX(Inputs!$B$15:$B$19,MATCH(B88,Inputs!$A$15:$A$19,0))</f>
        <v>0.03</v>
      </c>
      <c r="G88" s="21" t="n">
        <f aca="false">INDEX(Inputs!$B$23:$B$26,MATCH(C88,Inputs!$A$23:$A$26,0))</f>
        <v>0.35</v>
      </c>
      <c r="H88" s="21" t="n">
        <f aca="false">INDEX(Inputs!$B$30:$B$34,MATCH(D88,Inputs!$A$30:$A$34,0))</f>
        <v>0.15</v>
      </c>
      <c r="I88" s="22" t="n">
        <f aca="false">F88*G88*H88</f>
        <v>0.001575</v>
      </c>
      <c r="J88" s="23" t="n">
        <f aca="false">INDEX('HB Evidence'!$F$6:$F$25,MATCH(E88,'HB Evidence'!$A$6:$A$25,0))</f>
        <v>0.0005</v>
      </c>
      <c r="K88" s="23" t="n">
        <f aca="false">INDEX('HB Evidence'!$H$6:$H$25,MATCH(E88,'HB Evidence'!$A$6:$A$25,0))</f>
        <v>0.00509952663038825</v>
      </c>
      <c r="L88" s="16" t="n">
        <v>2000</v>
      </c>
      <c r="M88" s="16" t="n">
        <v>25</v>
      </c>
      <c r="N88" s="24" t="n">
        <f aca="false">M88/L88</f>
        <v>0.0125</v>
      </c>
      <c r="O88" s="24" t="n">
        <f aca="false">IF(M88=L88,1,BETAINV(Inputs!$B$10,M88+1,L88-M88))</f>
        <v>0.0231172374996389</v>
      </c>
      <c r="P88" s="25" t="n">
        <v>0.017432</v>
      </c>
      <c r="Q88" s="26" t="n">
        <v>14.44</v>
      </c>
      <c r="R88" s="13" t="n">
        <f aca="false">I88*J88*N88*P88</f>
        <v>1.7159625E-010</v>
      </c>
      <c r="S88" s="13" t="n">
        <f aca="false">I88*K88*O88*P88</f>
        <v>3.23663386810254E-009</v>
      </c>
      <c r="T88" s="15" t="n">
        <f aca="false">IF(Summary!$B$6&gt;0,R88/Summary!$B$6,0)</f>
        <v>0.00829927872577965</v>
      </c>
      <c r="U88" s="13" t="n">
        <f aca="false">I88*K88</f>
        <v>8.03175444286149E-006</v>
      </c>
      <c r="V88" s="13" t="n">
        <f aca="false">I88*O88*P88</f>
        <v>6.34693002447586E-007</v>
      </c>
      <c r="W88" s="18" t="n">
        <f aca="false">INDEX('HB Evidence'!$I$6:$I$25,MATCH(E88,'HB Evidence'!$A$6:$A$25,0))</f>
        <v>0.0003</v>
      </c>
      <c r="X88" s="18" t="n">
        <f aca="false">I88*W88*N88*P88</f>
        <v>1.0295775E-010</v>
      </c>
      <c r="Y88" s="27" t="n">
        <f aca="false">SUMIF('Concrete Scenarios'!$B$6:$B$1005,A88,'Concrete Scenarios'!$N$6:$N$1005)</f>
        <v>6.36216674528687</v>
      </c>
      <c r="Z88" s="28" t="n">
        <f aca="false">IF(SUMIF('Concrete Scenarios'!$B$6:$B$1005,A88,'Concrete Scenarios'!$T$6:$T$1005)&gt;0,Y88^2/SUMIF('Concrete Scenarios'!$B$6:$B$1005,A88,'Concrete Scenarios'!$T$6:$T$1005),0)</f>
        <v>5.32633186307897</v>
      </c>
      <c r="AA88" s="29" t="n">
        <f aca="false">SUMIF('Concrete Scenarios'!$B$6:$B$1005,A88,'Concrete Scenarios'!$O$6:$O$1005)</f>
        <v>0</v>
      </c>
      <c r="AB88" s="23" t="n">
        <f aca="false">SUMIF('Concrete Scenarios'!$B$6:$B$1005,A88,'Concrete Scenarios'!$S$6:$S$1005)/COUNTIF('Concrete Scenarios'!$B$6:$B$1005,A88)</f>
        <v>0</v>
      </c>
      <c r="AC88" s="13" t="n">
        <f aca="false">I88*J88*AB88</f>
        <v>0</v>
      </c>
    </row>
    <row r="89" customFormat="false" ht="15" hidden="false" customHeight="false" outlineLevel="0" collapsed="false">
      <c r="A89" s="5" t="s">
        <v>221</v>
      </c>
      <c r="B89" s="5" t="s">
        <v>59</v>
      </c>
      <c r="C89" s="5" t="s">
        <v>62</v>
      </c>
      <c r="D89" s="5" t="s">
        <v>72</v>
      </c>
      <c r="E89" s="5" t="s">
        <v>104</v>
      </c>
      <c r="F89" s="21" t="n">
        <f aca="false">INDEX(Inputs!$B$15:$B$19,MATCH(B89,Inputs!$A$15:$A$19,0))</f>
        <v>0.03</v>
      </c>
      <c r="G89" s="21" t="n">
        <f aca="false">INDEX(Inputs!$B$23:$B$26,MATCH(C89,Inputs!$A$23:$A$26,0))</f>
        <v>0.35</v>
      </c>
      <c r="H89" s="21" t="n">
        <f aca="false">INDEX(Inputs!$B$30:$B$34,MATCH(D89,Inputs!$A$30:$A$34,0))</f>
        <v>0.13</v>
      </c>
      <c r="I89" s="22" t="n">
        <f aca="false">F89*G89*H89</f>
        <v>0.001365</v>
      </c>
      <c r="J89" s="23" t="n">
        <f aca="false">INDEX('HB Evidence'!$F$6:$F$25,MATCH(E89,'HB Evidence'!$A$6:$A$25,0))</f>
        <v>0.0005</v>
      </c>
      <c r="K89" s="23" t="n">
        <f aca="false">INDEX('HB Evidence'!$H$6:$H$25,MATCH(E89,'HB Evidence'!$A$6:$A$25,0))</f>
        <v>0.00509952663038825</v>
      </c>
      <c r="L89" s="16" t="n">
        <v>2000</v>
      </c>
      <c r="M89" s="16" t="n">
        <v>125</v>
      </c>
      <c r="N89" s="24" t="n">
        <f aca="false">M89/L89</f>
        <v>0.0625</v>
      </c>
      <c r="O89" s="24" t="n">
        <f aca="false">IF(M89=L89,1,BETAINV(Inputs!$B$10,M89+1,L89-M89))</f>
        <v>0.0825809844721759</v>
      </c>
      <c r="P89" s="25" t="n">
        <v>0.023652</v>
      </c>
      <c r="Q89" s="26" t="n">
        <v>15.55</v>
      </c>
      <c r="R89" s="13" t="n">
        <f aca="false">I89*J89*N89*P89</f>
        <v>1.008905625E-009</v>
      </c>
      <c r="S89" s="13" t="n">
        <f aca="false">I89*K89*O89*P89</f>
        <v>1.35959776407683E-008</v>
      </c>
      <c r="T89" s="15" t="n">
        <f aca="false">IF(Summary!$B$6&gt;0,R89/Summary!$B$6,0)</f>
        <v>0.0487958739767444</v>
      </c>
      <c r="U89" s="13" t="n">
        <f aca="false">I89*K89</f>
        <v>6.96085385047996E-006</v>
      </c>
      <c r="V89" s="13" t="n">
        <f aca="false">I89*O89*P89</f>
        <v>2.66612543206451E-006</v>
      </c>
      <c r="W89" s="18" t="n">
        <f aca="false">INDEX('HB Evidence'!$I$6:$I$25,MATCH(E89,'HB Evidence'!$A$6:$A$25,0))</f>
        <v>0.0003</v>
      </c>
      <c r="X89" s="18" t="n">
        <f aca="false">I89*W89*N89*P89</f>
        <v>6.05343375E-010</v>
      </c>
      <c r="Y89" s="27" t="n">
        <f aca="false">SUMIF('Concrete Scenarios'!$B$6:$B$1005,A89,'Concrete Scenarios'!$N$6:$N$1005)</f>
        <v>31.4261028678918</v>
      </c>
      <c r="Z89" s="28" t="n">
        <f aca="false">IF(SUMIF('Concrete Scenarios'!$B$6:$B$1005,A89,'Concrete Scenarios'!$T$6:$T$1005)&gt;0,Y89^2/SUMIF('Concrete Scenarios'!$B$6:$B$1005,A89,'Concrete Scenarios'!$T$6:$T$1005),0)</f>
        <v>1.8206004896979</v>
      </c>
      <c r="AA89" s="29" t="n">
        <f aca="false">SUMIF('Concrete Scenarios'!$B$6:$B$1005,A89,'Concrete Scenarios'!$O$6:$O$1005)</f>
        <v>5</v>
      </c>
      <c r="AB89" s="23" t="n">
        <f aca="false">SUMIF('Concrete Scenarios'!$B$6:$B$1005,A89,'Concrete Scenarios'!$S$6:$S$1005)/COUNTIF('Concrete Scenarios'!$B$6:$B$1005,A89)</f>
        <v>0.0010305249199164</v>
      </c>
      <c r="AC89" s="13" t="n">
        <f aca="false">I89*J89*AB89</f>
        <v>7.03333257842944E-010</v>
      </c>
    </row>
    <row r="90" customFormat="false" ht="15" hidden="false" customHeight="false" outlineLevel="0" collapsed="false">
      <c r="A90" s="5" t="s">
        <v>222</v>
      </c>
      <c r="B90" s="5" t="s">
        <v>59</v>
      </c>
      <c r="C90" s="5" t="s">
        <v>62</v>
      </c>
      <c r="D90" s="5" t="s">
        <v>73</v>
      </c>
      <c r="E90" s="5" t="s">
        <v>104</v>
      </c>
      <c r="F90" s="21" t="n">
        <f aca="false">INDEX(Inputs!$B$15:$B$19,MATCH(B90,Inputs!$A$15:$A$19,0))</f>
        <v>0.03</v>
      </c>
      <c r="G90" s="21" t="n">
        <f aca="false">INDEX(Inputs!$B$23:$B$26,MATCH(C90,Inputs!$A$23:$A$26,0))</f>
        <v>0.35</v>
      </c>
      <c r="H90" s="21" t="n">
        <f aca="false">INDEX(Inputs!$B$30:$B$34,MATCH(D90,Inputs!$A$30:$A$34,0))</f>
        <v>0.07</v>
      </c>
      <c r="I90" s="22" t="n">
        <f aca="false">F90*G90*H90</f>
        <v>0.000735</v>
      </c>
      <c r="J90" s="23" t="n">
        <f aca="false">INDEX('HB Evidence'!$F$6:$F$25,MATCH(E90,'HB Evidence'!$A$6:$A$25,0))</f>
        <v>0.0005</v>
      </c>
      <c r="K90" s="23" t="n">
        <f aca="false">INDEX('HB Evidence'!$H$6:$H$25,MATCH(E90,'HB Evidence'!$A$6:$A$25,0))</f>
        <v>0.00509952663038825</v>
      </c>
      <c r="L90" s="16" t="n">
        <v>2000</v>
      </c>
      <c r="M90" s="16" t="n">
        <v>494</v>
      </c>
      <c r="N90" s="24" t="n">
        <f aca="false">M90/L90</f>
        <v>0.247</v>
      </c>
      <c r="O90" s="24" t="n">
        <f aca="false">IF(M90=L90,1,BETAINV(Inputs!$B$10,M90+1,L90-M90))</f>
        <v>0.280424186237631</v>
      </c>
      <c r="P90" s="25" t="n">
        <v>0.020218</v>
      </c>
      <c r="Q90" s="26" t="n">
        <v>15.01</v>
      </c>
      <c r="R90" s="13" t="n">
        <f aca="false">I90*J90*N90*P90</f>
        <v>1.835238405E-009</v>
      </c>
      <c r="S90" s="13" t="n">
        <f aca="false">I90*K90*O90*P90</f>
        <v>2.12505837051222E-008</v>
      </c>
      <c r="T90" s="15" t="n">
        <f aca="false">IF(Summary!$B$6&gt;0,R90/Summary!$B$6,0)</f>
        <v>0.0887615845413304</v>
      </c>
      <c r="U90" s="13" t="n">
        <f aca="false">I90*K90</f>
        <v>3.74815207333536E-006</v>
      </c>
      <c r="V90" s="13" t="n">
        <f aca="false">I90*O90*P90</f>
        <v>4.16716790505403E-006</v>
      </c>
      <c r="W90" s="18" t="n">
        <f aca="false">INDEX('HB Evidence'!$I$6:$I$25,MATCH(E90,'HB Evidence'!$A$6:$A$25,0))</f>
        <v>0.0003</v>
      </c>
      <c r="X90" s="18" t="n">
        <f aca="false">I90*W90*N90*P90</f>
        <v>1.101143043E-009</v>
      </c>
      <c r="Y90" s="27" t="n">
        <f aca="false">SUMIF('Concrete Scenarios'!$B$6:$B$1005,A90,'Concrete Scenarios'!$N$6:$N$1005)</f>
        <v>14.5146345287673</v>
      </c>
      <c r="Z90" s="28" t="n">
        <f aca="false">IF(SUMIF('Concrete Scenarios'!$B$6:$B$1005,A90,'Concrete Scenarios'!$T$6:$T$1005)&gt;0,Y90^2/SUMIF('Concrete Scenarios'!$B$6:$B$1005,A90,'Concrete Scenarios'!$T$6:$T$1005),0)</f>
        <v>2.68957901531968</v>
      </c>
      <c r="AA90" s="29" t="n">
        <f aca="false">SUMIF('Concrete Scenarios'!$B$6:$B$1005,A90,'Concrete Scenarios'!$O$6:$O$1005)</f>
        <v>7</v>
      </c>
      <c r="AB90" s="23" t="n">
        <f aca="false">SUMIF('Concrete Scenarios'!$B$6:$B$1005,A90,'Concrete Scenarios'!$S$6:$S$1005)/COUNTIF('Concrete Scenarios'!$B$6:$B$1005,A90)</f>
        <v>0.00361349136565047</v>
      </c>
      <c r="AC90" s="13" t="n">
        <f aca="false">I90*J90*AB90</f>
        <v>1.32795807687655E-009</v>
      </c>
    </row>
    <row r="91" customFormat="false" ht="15" hidden="false" customHeight="false" outlineLevel="0" collapsed="false">
      <c r="A91" s="5" t="s">
        <v>223</v>
      </c>
      <c r="B91" s="5" t="s">
        <v>59</v>
      </c>
      <c r="C91" s="5" t="s">
        <v>64</v>
      </c>
      <c r="D91" s="5" t="s">
        <v>68</v>
      </c>
      <c r="E91" s="5" t="s">
        <v>105</v>
      </c>
      <c r="F91" s="21" t="n">
        <f aca="false">INDEX(Inputs!$B$15:$B$19,MATCH(B91,Inputs!$A$15:$A$19,0))</f>
        <v>0.03</v>
      </c>
      <c r="G91" s="21" t="n">
        <f aca="false">INDEX(Inputs!$B$23:$B$26,MATCH(C91,Inputs!$A$23:$A$26,0))</f>
        <v>0.4</v>
      </c>
      <c r="H91" s="21" t="n">
        <f aca="false">INDEX(Inputs!$B$30:$B$34,MATCH(D91,Inputs!$A$30:$A$34,0))</f>
        <v>0.45</v>
      </c>
      <c r="I91" s="22" t="n">
        <f aca="false">F91*G91*H91</f>
        <v>0.0054</v>
      </c>
      <c r="J91" s="23" t="n">
        <f aca="false">INDEX('HB Evidence'!$F$6:$F$25,MATCH(E91,'HB Evidence'!$A$6:$A$25,0))</f>
        <v>0</v>
      </c>
      <c r="K91" s="23" t="n">
        <f aca="false">INDEX('HB Evidence'!$H$6:$H$25,MATCH(E91,'HB Evidence'!$A$6:$A$25,0))</f>
        <v>0.00311328960653446</v>
      </c>
      <c r="L91" s="16" t="n">
        <v>2000</v>
      </c>
      <c r="M91" s="16" t="n">
        <v>0</v>
      </c>
      <c r="N91" s="24" t="n">
        <f aca="false">M91/L91</f>
        <v>0</v>
      </c>
      <c r="O91" s="24" t="n">
        <f aca="false">IF(M91=L91,1,BETAINV(Inputs!$B$10,M91+1,L91-M91))</f>
        <v>0.00388404949945426</v>
      </c>
      <c r="P91" s="25" t="n">
        <v>0</v>
      </c>
      <c r="Q91" s="26" t="n">
        <v>0</v>
      </c>
      <c r="R91" s="13" t="n">
        <f aca="false">I91*J91*N91*P91</f>
        <v>0</v>
      </c>
      <c r="S91" s="13" t="n">
        <f aca="false">I91*K91*O91*P91</f>
        <v>0</v>
      </c>
      <c r="T91" s="15" t="n">
        <f aca="false">IF(Summary!$B$6&gt;0,R91/Summary!$B$6,0)</f>
        <v>0</v>
      </c>
      <c r="U91" s="13" t="n">
        <f aca="false">I91*K91</f>
        <v>1.68117638752861E-005</v>
      </c>
      <c r="V91" s="13" t="n">
        <f aca="false">I91*O91*P91</f>
        <v>0</v>
      </c>
      <c r="W91" s="18" t="n">
        <f aca="false">INDEX('HB Evidence'!$I$6:$I$25,MATCH(E91,'HB Evidence'!$A$6:$A$25,0))</f>
        <v>0.0003</v>
      </c>
      <c r="X91" s="18" t="n">
        <f aca="false">I91*W91*N91*P91</f>
        <v>0</v>
      </c>
      <c r="Y91" s="27" t="n">
        <f aca="false">SUMIF('Concrete Scenarios'!$B$6:$B$1005,A91,'Concrete Scenarios'!$N$6:$N$1005)</f>
        <v>5.01854439266924</v>
      </c>
      <c r="Z91" s="28" t="n">
        <f aca="false">IF(SUMIF('Concrete Scenarios'!$B$6:$B$1005,A91,'Concrete Scenarios'!$T$6:$T$1005)&gt;0,Y91^2/SUMIF('Concrete Scenarios'!$B$6:$B$1005,A91,'Concrete Scenarios'!$T$6:$T$1005),0)</f>
        <v>3.113988653029</v>
      </c>
      <c r="AA91" s="29" t="n">
        <f aca="false">SUMIF('Concrete Scenarios'!$B$6:$B$1005,A91,'Concrete Scenarios'!$O$6:$O$1005)</f>
        <v>0</v>
      </c>
      <c r="AB91" s="23" t="n">
        <f aca="false">SUMIF('Concrete Scenarios'!$B$6:$B$1005,A91,'Concrete Scenarios'!$S$6:$S$1005)/COUNTIF('Concrete Scenarios'!$B$6:$B$1005,A91)</f>
        <v>0</v>
      </c>
      <c r="AC91" s="13" t="n">
        <f aca="false">I91*J91*AB91</f>
        <v>0</v>
      </c>
    </row>
    <row r="92" customFormat="false" ht="15" hidden="false" customHeight="false" outlineLevel="0" collapsed="false">
      <c r="A92" s="5" t="s">
        <v>224</v>
      </c>
      <c r="B92" s="5" t="s">
        <v>59</v>
      </c>
      <c r="C92" s="5" t="s">
        <v>64</v>
      </c>
      <c r="D92" s="5" t="s">
        <v>70</v>
      </c>
      <c r="E92" s="5" t="s">
        <v>105</v>
      </c>
      <c r="F92" s="21" t="n">
        <f aca="false">INDEX(Inputs!$B$15:$B$19,MATCH(B92,Inputs!$A$15:$A$19,0))</f>
        <v>0.03</v>
      </c>
      <c r="G92" s="21" t="n">
        <f aca="false">INDEX(Inputs!$B$23:$B$26,MATCH(C92,Inputs!$A$23:$A$26,0))</f>
        <v>0.4</v>
      </c>
      <c r="H92" s="21" t="n">
        <f aca="false">INDEX(Inputs!$B$30:$B$34,MATCH(D92,Inputs!$A$30:$A$34,0))</f>
        <v>0.2</v>
      </c>
      <c r="I92" s="22" t="n">
        <f aca="false">F92*G92*H92</f>
        <v>0.0024</v>
      </c>
      <c r="J92" s="23" t="n">
        <f aca="false">INDEX('HB Evidence'!$F$6:$F$25,MATCH(E92,'HB Evidence'!$A$6:$A$25,0))</f>
        <v>0</v>
      </c>
      <c r="K92" s="23" t="n">
        <f aca="false">INDEX('HB Evidence'!$H$6:$H$25,MATCH(E92,'HB Evidence'!$A$6:$A$25,0))</f>
        <v>0.00311328960653446</v>
      </c>
      <c r="L92" s="16" t="n">
        <v>2000</v>
      </c>
      <c r="M92" s="16" t="n">
        <v>1</v>
      </c>
      <c r="N92" s="24" t="n">
        <f aca="false">M92/L92</f>
        <v>0.0005</v>
      </c>
      <c r="O92" s="24" t="n">
        <f aca="false">IF(M92=L92,1,BETAINV(Inputs!$B$10,M92+1,L92-M92))</f>
        <v>0.00508781553003008</v>
      </c>
      <c r="P92" s="25" t="n">
        <v>0.059154</v>
      </c>
      <c r="Q92" s="26" t="n">
        <v>25.63</v>
      </c>
      <c r="R92" s="13" t="n">
        <f aca="false">I92*J92*N92*P92</f>
        <v>0</v>
      </c>
      <c r="S92" s="13" t="n">
        <f aca="false">I92*K92*O92*P92</f>
        <v>2.24877620453066E-009</v>
      </c>
      <c r="T92" s="15" t="n">
        <f aca="false">IF(Summary!$B$6&gt;0,R92/Summary!$B$6,0)</f>
        <v>0</v>
      </c>
      <c r="U92" s="13" t="n">
        <f aca="false">I92*K92</f>
        <v>7.4718950556827E-006</v>
      </c>
      <c r="V92" s="13" t="n">
        <f aca="false">I92*O92*P92</f>
        <v>7.22315135672159E-007</v>
      </c>
      <c r="W92" s="18" t="n">
        <f aca="false">INDEX('HB Evidence'!$I$6:$I$25,MATCH(E92,'HB Evidence'!$A$6:$A$25,0))</f>
        <v>0.0003</v>
      </c>
      <c r="X92" s="18" t="n">
        <f aca="false">I92*W92*N92*P92</f>
        <v>2.129544E-011</v>
      </c>
      <c r="Y92" s="27" t="n">
        <f aca="false">SUMIF('Concrete Scenarios'!$B$6:$B$1005,A92,'Concrete Scenarios'!$N$6:$N$1005)</f>
        <v>18.5024315403302</v>
      </c>
      <c r="Z92" s="28" t="n">
        <f aca="false">IF(SUMIF('Concrete Scenarios'!$B$6:$B$1005,A92,'Concrete Scenarios'!$T$6:$T$1005)&gt;0,Y92^2/SUMIF('Concrete Scenarios'!$B$6:$B$1005,A92,'Concrete Scenarios'!$T$6:$T$1005),0)</f>
        <v>2.96391274839824</v>
      </c>
      <c r="AA92" s="29" t="n">
        <f aca="false">SUMIF('Concrete Scenarios'!$B$6:$B$1005,A92,'Concrete Scenarios'!$O$6:$O$1005)</f>
        <v>0</v>
      </c>
      <c r="AB92" s="23" t="n">
        <f aca="false">SUMIF('Concrete Scenarios'!$B$6:$B$1005,A92,'Concrete Scenarios'!$S$6:$S$1005)/COUNTIF('Concrete Scenarios'!$B$6:$B$1005,A92)</f>
        <v>0</v>
      </c>
      <c r="AC92" s="13" t="n">
        <f aca="false">I92*J92*AB92</f>
        <v>0</v>
      </c>
    </row>
    <row r="93" customFormat="false" ht="15" hidden="false" customHeight="false" outlineLevel="0" collapsed="false">
      <c r="A93" s="5" t="s">
        <v>225</v>
      </c>
      <c r="B93" s="5" t="s">
        <v>59</v>
      </c>
      <c r="C93" s="5" t="s">
        <v>64</v>
      </c>
      <c r="D93" s="5" t="s">
        <v>71</v>
      </c>
      <c r="E93" s="5" t="s">
        <v>105</v>
      </c>
      <c r="F93" s="21" t="n">
        <f aca="false">INDEX(Inputs!$B$15:$B$19,MATCH(B93,Inputs!$A$15:$A$19,0))</f>
        <v>0.03</v>
      </c>
      <c r="G93" s="21" t="n">
        <f aca="false">INDEX(Inputs!$B$23:$B$26,MATCH(C93,Inputs!$A$23:$A$26,0))</f>
        <v>0.4</v>
      </c>
      <c r="H93" s="21" t="n">
        <f aca="false">INDEX(Inputs!$B$30:$B$34,MATCH(D93,Inputs!$A$30:$A$34,0))</f>
        <v>0.15</v>
      </c>
      <c r="I93" s="22" t="n">
        <f aca="false">F93*G93*H93</f>
        <v>0.0018</v>
      </c>
      <c r="J93" s="23" t="n">
        <f aca="false">INDEX('HB Evidence'!$F$6:$F$25,MATCH(E93,'HB Evidence'!$A$6:$A$25,0))</f>
        <v>0</v>
      </c>
      <c r="K93" s="23" t="n">
        <f aca="false">INDEX('HB Evidence'!$H$6:$H$25,MATCH(E93,'HB Evidence'!$A$6:$A$25,0))</f>
        <v>0.00311328960653446</v>
      </c>
      <c r="L93" s="16" t="n">
        <v>2000</v>
      </c>
      <c r="M93" s="16" t="n">
        <v>6</v>
      </c>
      <c r="N93" s="24" t="n">
        <f aca="false">M93/L93</f>
        <v>0.003</v>
      </c>
      <c r="O93" s="24" t="n">
        <f aca="false">IF(M93=L93,1,BETAINV(Inputs!$B$10,M93+1,L93-M93))</f>
        <v>0.00962418520988131</v>
      </c>
      <c r="P93" s="25" t="n">
        <v>0.013281</v>
      </c>
      <c r="Q93" s="26" t="n">
        <v>13.94</v>
      </c>
      <c r="R93" s="13" t="n">
        <f aca="false">I93*J93*N93*P93</f>
        <v>0</v>
      </c>
      <c r="S93" s="13" t="n">
        <f aca="false">I93*K93*O93*P93</f>
        <v>7.16286515947894E-010</v>
      </c>
      <c r="T93" s="15" t="n">
        <f aca="false">IF(Summary!$B$6&gt;0,R93/Summary!$B$6,0)</f>
        <v>0</v>
      </c>
      <c r="U93" s="13" t="n">
        <f aca="false">I93*K93</f>
        <v>5.60392129176203E-006</v>
      </c>
      <c r="V93" s="13" t="n">
        <f aca="false">I93*O93*P93</f>
        <v>2.30073846790381E-007</v>
      </c>
      <c r="W93" s="18" t="n">
        <f aca="false">INDEX('HB Evidence'!$I$6:$I$25,MATCH(E93,'HB Evidence'!$A$6:$A$25,0))</f>
        <v>0.0003</v>
      </c>
      <c r="X93" s="18" t="n">
        <f aca="false">I93*W93*N93*P93</f>
        <v>2.151522E-011</v>
      </c>
      <c r="Y93" s="27" t="n">
        <f aca="false">SUMIF('Concrete Scenarios'!$B$6:$B$1005,A93,'Concrete Scenarios'!$N$6:$N$1005)</f>
        <v>3.45292511469171</v>
      </c>
      <c r="Z93" s="28" t="n">
        <f aca="false">IF(SUMIF('Concrete Scenarios'!$B$6:$B$1005,A93,'Concrete Scenarios'!$T$6:$T$1005)&gt;0,Y93^2/SUMIF('Concrete Scenarios'!$B$6:$B$1005,A93,'Concrete Scenarios'!$T$6:$T$1005),0)</f>
        <v>3.80873953973202</v>
      </c>
      <c r="AA93" s="29" t="n">
        <f aca="false">SUMIF('Concrete Scenarios'!$B$6:$B$1005,A93,'Concrete Scenarios'!$O$6:$O$1005)</f>
        <v>1</v>
      </c>
      <c r="AB93" s="23" t="n">
        <f aca="false">SUMIF('Concrete Scenarios'!$B$6:$B$1005,A93,'Concrete Scenarios'!$S$6:$S$1005)/COUNTIF('Concrete Scenarios'!$B$6:$B$1005,A93)</f>
        <v>4.6296681401653E-005</v>
      </c>
      <c r="AC93" s="13" t="n">
        <f aca="false">I93*J93*AB93</f>
        <v>0</v>
      </c>
    </row>
    <row r="94" customFormat="false" ht="15" hidden="false" customHeight="false" outlineLevel="0" collapsed="false">
      <c r="A94" s="5" t="s">
        <v>226</v>
      </c>
      <c r="B94" s="5" t="s">
        <v>59</v>
      </c>
      <c r="C94" s="5" t="s">
        <v>64</v>
      </c>
      <c r="D94" s="5" t="s">
        <v>72</v>
      </c>
      <c r="E94" s="5" t="s">
        <v>105</v>
      </c>
      <c r="F94" s="21" t="n">
        <f aca="false">INDEX(Inputs!$B$15:$B$19,MATCH(B94,Inputs!$A$15:$A$19,0))</f>
        <v>0.03</v>
      </c>
      <c r="G94" s="21" t="n">
        <f aca="false">INDEX(Inputs!$B$23:$B$26,MATCH(C94,Inputs!$A$23:$A$26,0))</f>
        <v>0.4</v>
      </c>
      <c r="H94" s="21" t="n">
        <f aca="false">INDEX(Inputs!$B$30:$B$34,MATCH(D94,Inputs!$A$30:$A$34,0))</f>
        <v>0.13</v>
      </c>
      <c r="I94" s="22" t="n">
        <f aca="false">F94*G94*H94</f>
        <v>0.00156</v>
      </c>
      <c r="J94" s="23" t="n">
        <f aca="false">INDEX('HB Evidence'!$F$6:$F$25,MATCH(E94,'HB Evidence'!$A$6:$A$25,0))</f>
        <v>0</v>
      </c>
      <c r="K94" s="23" t="n">
        <f aca="false">INDEX('HB Evidence'!$H$6:$H$25,MATCH(E94,'HB Evidence'!$A$6:$A$25,0))</f>
        <v>0.00311328960653446</v>
      </c>
      <c r="L94" s="16" t="n">
        <v>2000</v>
      </c>
      <c r="M94" s="16" t="n">
        <v>38</v>
      </c>
      <c r="N94" s="24" t="n">
        <f aca="false">M94/L94</f>
        <v>0.019</v>
      </c>
      <c r="O94" s="24" t="n">
        <f aca="false">IF(M94=L94,1,BETAINV(Inputs!$B$10,M94+1,L94-M94))</f>
        <v>0.0314523215269925</v>
      </c>
      <c r="P94" s="25" t="n">
        <v>0.056236</v>
      </c>
      <c r="Q94" s="26" t="n">
        <v>19.4</v>
      </c>
      <c r="R94" s="13" t="n">
        <f aca="false">I94*J94*N94*P94</f>
        <v>0</v>
      </c>
      <c r="S94" s="13" t="n">
        <f aca="false">I94*K94*O94*P94</f>
        <v>8.5903577193164E-009</v>
      </c>
      <c r="T94" s="15" t="n">
        <f aca="false">IF(Summary!$B$6&gt;0,R94/Summary!$B$6,0)</f>
        <v>0</v>
      </c>
      <c r="U94" s="13" t="n">
        <f aca="false">I94*K94</f>
        <v>4.85673178619376E-006</v>
      </c>
      <c r="V94" s="13" t="n">
        <f aca="false">I94*O94*P94</f>
        <v>2.75925429529144E-006</v>
      </c>
      <c r="W94" s="18" t="n">
        <f aca="false">INDEX('HB Evidence'!$I$6:$I$25,MATCH(E94,'HB Evidence'!$A$6:$A$25,0))</f>
        <v>0.0003</v>
      </c>
      <c r="X94" s="18" t="n">
        <f aca="false">I94*W94*N94*P94</f>
        <v>5.00050512E-010</v>
      </c>
      <c r="Y94" s="27" t="n">
        <f aca="false">SUMIF('Concrete Scenarios'!$B$6:$B$1005,A94,'Concrete Scenarios'!$N$6:$N$1005)</f>
        <v>2.23620104734473</v>
      </c>
      <c r="Z94" s="28" t="n">
        <f aca="false">IF(SUMIF('Concrete Scenarios'!$B$6:$B$1005,A94,'Concrete Scenarios'!$T$6:$T$1005)&gt;0,Y94^2/SUMIF('Concrete Scenarios'!$B$6:$B$1005,A94,'Concrete Scenarios'!$T$6:$T$1005),0)</f>
        <v>4.92712295178354</v>
      </c>
      <c r="AA94" s="29" t="n">
        <f aca="false">SUMIF('Concrete Scenarios'!$B$6:$B$1005,A94,'Concrete Scenarios'!$O$6:$O$1005)</f>
        <v>3</v>
      </c>
      <c r="AB94" s="23" t="n">
        <f aca="false">SUMIF('Concrete Scenarios'!$B$6:$B$1005,A94,'Concrete Scenarios'!$S$6:$S$1005)/COUNTIF('Concrete Scenarios'!$B$6:$B$1005,A94)</f>
        <v>0.000261807573622499</v>
      </c>
      <c r="AC94" s="13" t="n">
        <f aca="false">I94*J94*AB94</f>
        <v>0</v>
      </c>
    </row>
    <row r="95" customFormat="false" ht="15" hidden="false" customHeight="false" outlineLevel="0" collapsed="false">
      <c r="A95" s="5" t="s">
        <v>227</v>
      </c>
      <c r="B95" s="5" t="s">
        <v>59</v>
      </c>
      <c r="C95" s="5" t="s">
        <v>64</v>
      </c>
      <c r="D95" s="5" t="s">
        <v>73</v>
      </c>
      <c r="E95" s="5" t="s">
        <v>105</v>
      </c>
      <c r="F95" s="21" t="n">
        <f aca="false">INDEX(Inputs!$B$15:$B$19,MATCH(B95,Inputs!$A$15:$A$19,0))</f>
        <v>0.03</v>
      </c>
      <c r="G95" s="21" t="n">
        <f aca="false">INDEX(Inputs!$B$23:$B$26,MATCH(C95,Inputs!$A$23:$A$26,0))</f>
        <v>0.4</v>
      </c>
      <c r="H95" s="21" t="n">
        <f aca="false">INDEX(Inputs!$B$30:$B$34,MATCH(D95,Inputs!$A$30:$A$34,0))</f>
        <v>0.07</v>
      </c>
      <c r="I95" s="22" t="n">
        <f aca="false">F95*G95*H95</f>
        <v>0.00084</v>
      </c>
      <c r="J95" s="23" t="n">
        <f aca="false">INDEX('HB Evidence'!$F$6:$F$25,MATCH(E95,'HB Evidence'!$A$6:$A$25,0))</f>
        <v>0</v>
      </c>
      <c r="K95" s="23" t="n">
        <f aca="false">INDEX('HB Evidence'!$H$6:$H$25,MATCH(E95,'HB Evidence'!$A$6:$A$25,0))</f>
        <v>0.00311328960653446</v>
      </c>
      <c r="L95" s="16" t="n">
        <v>2000</v>
      </c>
      <c r="M95" s="16" t="n">
        <v>173</v>
      </c>
      <c r="N95" s="24" t="n">
        <f aca="false">M95/L95</f>
        <v>0.0865</v>
      </c>
      <c r="O95" s="24" t="n">
        <f aca="false">IF(M95=L95,1,BETAINV(Inputs!$B$10,M95+1,L95-M95))</f>
        <v>0.109384737179319</v>
      </c>
      <c r="P95" s="25" t="n">
        <v>0.03103</v>
      </c>
      <c r="Q95" s="26" t="n">
        <v>16.65</v>
      </c>
      <c r="R95" s="13" t="n">
        <f aca="false">I95*J95*N95*P95</f>
        <v>0</v>
      </c>
      <c r="S95" s="13" t="n">
        <f aca="false">I95*K95*O95*P95</f>
        <v>8.87640912274319E-009</v>
      </c>
      <c r="T95" s="15" t="n">
        <f aca="false">IF(Summary!$B$6&gt;0,R95/Summary!$B$6,0)</f>
        <v>0</v>
      </c>
      <c r="U95" s="13" t="n">
        <f aca="false">I95*K95</f>
        <v>2.61516326948895E-006</v>
      </c>
      <c r="V95" s="13" t="n">
        <f aca="false">I95*O95*P95</f>
        <v>2.85113505152639E-006</v>
      </c>
      <c r="W95" s="18" t="n">
        <f aca="false">INDEX('HB Evidence'!$I$6:$I$25,MATCH(E95,'HB Evidence'!$A$6:$A$25,0))</f>
        <v>0.0003</v>
      </c>
      <c r="X95" s="18" t="n">
        <f aca="false">I95*W95*N95*P95</f>
        <v>6.7639194E-010</v>
      </c>
      <c r="Y95" s="27" t="n">
        <f aca="false">SUMIF('Concrete Scenarios'!$B$6:$B$1005,A95,'Concrete Scenarios'!$N$6:$N$1005)</f>
        <v>9.64436120455769</v>
      </c>
      <c r="Z95" s="28" t="n">
        <f aca="false">IF(SUMIF('Concrete Scenarios'!$B$6:$B$1005,A95,'Concrete Scenarios'!$T$6:$T$1005)&gt;0,Y95^2/SUMIF('Concrete Scenarios'!$B$6:$B$1005,A95,'Concrete Scenarios'!$T$6:$T$1005),0)</f>
        <v>2.70649602094859</v>
      </c>
      <c r="AA95" s="29" t="n">
        <f aca="false">SUMIF('Concrete Scenarios'!$B$6:$B$1005,A95,'Concrete Scenarios'!$O$6:$O$1005)</f>
        <v>6</v>
      </c>
      <c r="AB95" s="23" t="n">
        <f aca="false">SUMIF('Concrete Scenarios'!$B$6:$B$1005,A95,'Concrete Scenarios'!$S$6:$S$1005)/COUNTIF('Concrete Scenarios'!$B$6:$B$1005,A95)</f>
        <v>0.00637451269911002</v>
      </c>
      <c r="AC95" s="13" t="n">
        <f aca="false">I95*J95*AB95</f>
        <v>0</v>
      </c>
    </row>
    <row r="96" customFormat="false" ht="15" hidden="false" customHeight="false" outlineLevel="0" collapsed="false">
      <c r="A96" s="5" t="s">
        <v>228</v>
      </c>
      <c r="B96" s="5" t="s">
        <v>59</v>
      </c>
      <c r="C96" s="5" t="s">
        <v>65</v>
      </c>
      <c r="D96" s="5" t="s">
        <v>68</v>
      </c>
      <c r="E96" s="5" t="s">
        <v>106</v>
      </c>
      <c r="F96" s="21" t="n">
        <f aca="false">INDEX(Inputs!$B$15:$B$19,MATCH(B96,Inputs!$A$15:$A$19,0))</f>
        <v>0.03</v>
      </c>
      <c r="G96" s="21" t="n">
        <f aca="false">INDEX(Inputs!$B$23:$B$26,MATCH(C96,Inputs!$A$23:$A$26,0))</f>
        <v>0.15</v>
      </c>
      <c r="H96" s="21" t="n">
        <f aca="false">INDEX(Inputs!$B$30:$B$34,MATCH(D96,Inputs!$A$30:$A$34,0))</f>
        <v>0.45</v>
      </c>
      <c r="I96" s="22" t="n">
        <f aca="false">F96*G96*H96</f>
        <v>0.002025</v>
      </c>
      <c r="J96" s="23" t="n">
        <f aca="false">INDEX('HB Evidence'!$F$6:$F$25,MATCH(E96,'HB Evidence'!$A$6:$A$25,0))</f>
        <v>0</v>
      </c>
      <c r="K96" s="23" t="n">
        <f aca="false">INDEX('HB Evidence'!$H$6:$H$25,MATCH(E96,'HB Evidence'!$A$6:$A$25,0))</f>
        <v>0.00518881601089077</v>
      </c>
      <c r="L96" s="16" t="n">
        <v>2000</v>
      </c>
      <c r="M96" s="16" t="n">
        <v>0</v>
      </c>
      <c r="N96" s="24" t="n">
        <f aca="false">M96/L96</f>
        <v>0</v>
      </c>
      <c r="O96" s="24" t="n">
        <f aca="false">IF(M96=L96,1,BETAINV(Inputs!$B$10,M96+1,L96-M96))</f>
        <v>0.00388404949945426</v>
      </c>
      <c r="P96" s="25" t="n">
        <v>0</v>
      </c>
      <c r="Q96" s="26" t="n">
        <v>0</v>
      </c>
      <c r="R96" s="13" t="n">
        <f aca="false">I96*J96*N96*P96</f>
        <v>0</v>
      </c>
      <c r="S96" s="13" t="n">
        <f aca="false">I96*K96*O96*P96</f>
        <v>0</v>
      </c>
      <c r="T96" s="15" t="n">
        <f aca="false">IF(Summary!$B$6&gt;0,R96/Summary!$B$6,0)</f>
        <v>0</v>
      </c>
      <c r="U96" s="13" t="n">
        <f aca="false">I96*K96</f>
        <v>1.05073524220538E-005</v>
      </c>
      <c r="V96" s="13" t="n">
        <f aca="false">I96*O96*P96</f>
        <v>0</v>
      </c>
      <c r="W96" s="18" t="n">
        <f aca="false">INDEX('HB Evidence'!$I$6:$I$25,MATCH(E96,'HB Evidence'!$A$6:$A$25,0))</f>
        <v>0.00036</v>
      </c>
      <c r="X96" s="18" t="n">
        <f aca="false">I96*W96*N96*P96</f>
        <v>0</v>
      </c>
      <c r="Y96" s="27" t="n">
        <f aca="false">SUMIF('Concrete Scenarios'!$B$6:$B$1005,A96,'Concrete Scenarios'!$N$6:$N$1005)</f>
        <v>10.6292321975714</v>
      </c>
      <c r="Z96" s="28" t="n">
        <f aca="false">IF(SUMIF('Concrete Scenarios'!$B$6:$B$1005,A96,'Concrete Scenarios'!$T$6:$T$1005)&gt;0,Y96^2/SUMIF('Concrete Scenarios'!$B$6:$B$1005,A96,'Concrete Scenarios'!$T$6:$T$1005),0)</f>
        <v>4.55867489668072</v>
      </c>
      <c r="AA96" s="29" t="n">
        <f aca="false">SUMIF('Concrete Scenarios'!$B$6:$B$1005,A96,'Concrete Scenarios'!$O$6:$O$1005)</f>
        <v>0</v>
      </c>
      <c r="AB96" s="23" t="n">
        <f aca="false">SUMIF('Concrete Scenarios'!$B$6:$B$1005,A96,'Concrete Scenarios'!$S$6:$S$1005)/COUNTIF('Concrete Scenarios'!$B$6:$B$1005,A96)</f>
        <v>0</v>
      </c>
      <c r="AC96" s="13" t="n">
        <f aca="false">I96*J96*AB96</f>
        <v>0</v>
      </c>
    </row>
    <row r="97" customFormat="false" ht="15" hidden="false" customHeight="false" outlineLevel="0" collapsed="false">
      <c r="A97" s="5" t="s">
        <v>229</v>
      </c>
      <c r="B97" s="5" t="s">
        <v>59</v>
      </c>
      <c r="C97" s="5" t="s">
        <v>65</v>
      </c>
      <c r="D97" s="5" t="s">
        <v>70</v>
      </c>
      <c r="E97" s="5" t="s">
        <v>106</v>
      </c>
      <c r="F97" s="21" t="n">
        <f aca="false">INDEX(Inputs!$B$15:$B$19,MATCH(B97,Inputs!$A$15:$A$19,0))</f>
        <v>0.03</v>
      </c>
      <c r="G97" s="21" t="n">
        <f aca="false">INDEX(Inputs!$B$23:$B$26,MATCH(C97,Inputs!$A$23:$A$26,0))</f>
        <v>0.15</v>
      </c>
      <c r="H97" s="21" t="n">
        <f aca="false">INDEX(Inputs!$B$30:$B$34,MATCH(D97,Inputs!$A$30:$A$34,0))</f>
        <v>0.2</v>
      </c>
      <c r="I97" s="22" t="n">
        <f aca="false">F97*G97*H97</f>
        <v>0.0009</v>
      </c>
      <c r="J97" s="23" t="n">
        <f aca="false">INDEX('HB Evidence'!$F$6:$F$25,MATCH(E97,'HB Evidence'!$A$6:$A$25,0))</f>
        <v>0</v>
      </c>
      <c r="K97" s="23" t="n">
        <f aca="false">INDEX('HB Evidence'!$H$6:$H$25,MATCH(E97,'HB Evidence'!$A$6:$A$25,0))</f>
        <v>0.00518881601089077</v>
      </c>
      <c r="L97" s="16" t="n">
        <v>2000</v>
      </c>
      <c r="M97" s="16" t="n">
        <v>0</v>
      </c>
      <c r="N97" s="24" t="n">
        <f aca="false">M97/L97</f>
        <v>0</v>
      </c>
      <c r="O97" s="24" t="n">
        <f aca="false">IF(M97=L97,1,BETAINV(Inputs!$B$10,M97+1,L97-M97))</f>
        <v>0.00388404949945426</v>
      </c>
      <c r="P97" s="25" t="n">
        <v>0</v>
      </c>
      <c r="Q97" s="26" t="n">
        <v>0</v>
      </c>
      <c r="R97" s="13" t="n">
        <f aca="false">I97*J97*N97*P97</f>
        <v>0</v>
      </c>
      <c r="S97" s="13" t="n">
        <f aca="false">I97*K97*O97*P97</f>
        <v>0</v>
      </c>
      <c r="T97" s="15" t="n">
        <f aca="false">IF(Summary!$B$6&gt;0,R97/Summary!$B$6,0)</f>
        <v>0</v>
      </c>
      <c r="U97" s="13" t="n">
        <f aca="false">I97*K97</f>
        <v>4.66993440980169E-006</v>
      </c>
      <c r="V97" s="13" t="n">
        <f aca="false">I97*O97*P97</f>
        <v>0</v>
      </c>
      <c r="W97" s="18" t="n">
        <f aca="false">INDEX('HB Evidence'!$I$6:$I$25,MATCH(E97,'HB Evidence'!$A$6:$A$25,0))</f>
        <v>0.00036</v>
      </c>
      <c r="X97" s="18" t="n">
        <f aca="false">I97*W97*N97*P97</f>
        <v>0</v>
      </c>
      <c r="Y97" s="27" t="n">
        <f aca="false">SUMIF('Concrete Scenarios'!$B$6:$B$1005,A97,'Concrete Scenarios'!$N$6:$N$1005)</f>
        <v>7.73622012942043</v>
      </c>
      <c r="Z97" s="28" t="n">
        <f aca="false">IF(SUMIF('Concrete Scenarios'!$B$6:$B$1005,A97,'Concrete Scenarios'!$T$6:$T$1005)&gt;0,Y97^2/SUMIF('Concrete Scenarios'!$B$6:$B$1005,A97,'Concrete Scenarios'!$T$6:$T$1005),0)</f>
        <v>3.20230512551692</v>
      </c>
      <c r="AA97" s="29" t="n">
        <f aca="false">SUMIF('Concrete Scenarios'!$B$6:$B$1005,A97,'Concrete Scenarios'!$O$6:$O$1005)</f>
        <v>0</v>
      </c>
      <c r="AB97" s="23" t="n">
        <f aca="false">SUMIF('Concrete Scenarios'!$B$6:$B$1005,A97,'Concrete Scenarios'!$S$6:$S$1005)/COUNTIF('Concrete Scenarios'!$B$6:$B$1005,A97)</f>
        <v>0</v>
      </c>
      <c r="AC97" s="13" t="n">
        <f aca="false">I97*J97*AB97</f>
        <v>0</v>
      </c>
    </row>
    <row r="98" customFormat="false" ht="15" hidden="false" customHeight="false" outlineLevel="0" collapsed="false">
      <c r="A98" s="5" t="s">
        <v>230</v>
      </c>
      <c r="B98" s="5" t="s">
        <v>59</v>
      </c>
      <c r="C98" s="5" t="s">
        <v>65</v>
      </c>
      <c r="D98" s="5" t="s">
        <v>71</v>
      </c>
      <c r="E98" s="5" t="s">
        <v>106</v>
      </c>
      <c r="F98" s="21" t="n">
        <f aca="false">INDEX(Inputs!$B$15:$B$19,MATCH(B98,Inputs!$A$15:$A$19,0))</f>
        <v>0.03</v>
      </c>
      <c r="G98" s="21" t="n">
        <f aca="false">INDEX(Inputs!$B$23:$B$26,MATCH(C98,Inputs!$A$23:$A$26,0))</f>
        <v>0.15</v>
      </c>
      <c r="H98" s="21" t="n">
        <f aca="false">INDEX(Inputs!$B$30:$B$34,MATCH(D98,Inputs!$A$30:$A$34,0))</f>
        <v>0.15</v>
      </c>
      <c r="I98" s="22" t="n">
        <f aca="false">F98*G98*H98</f>
        <v>0.000675</v>
      </c>
      <c r="J98" s="23" t="n">
        <f aca="false">INDEX('HB Evidence'!$F$6:$F$25,MATCH(E98,'HB Evidence'!$A$6:$A$25,0))</f>
        <v>0</v>
      </c>
      <c r="K98" s="23" t="n">
        <f aca="false">INDEX('HB Evidence'!$H$6:$H$25,MATCH(E98,'HB Evidence'!$A$6:$A$25,0))</f>
        <v>0.00518881601089077</v>
      </c>
      <c r="L98" s="16" t="n">
        <v>2000</v>
      </c>
      <c r="M98" s="16" t="n">
        <v>2</v>
      </c>
      <c r="N98" s="24" t="n">
        <f aca="false">M98/L98</f>
        <v>0.001</v>
      </c>
      <c r="O98" s="24" t="n">
        <f aca="false">IF(M98=L98,1,BETAINV(Inputs!$B$10,M98+1,L98-M98))</f>
        <v>0.00611737163154275</v>
      </c>
      <c r="P98" s="25" t="n">
        <v>0.235649</v>
      </c>
      <c r="Q98" s="26" t="n">
        <v>26.48</v>
      </c>
      <c r="R98" s="13" t="n">
        <f aca="false">I98*J98*N98*P98</f>
        <v>0</v>
      </c>
      <c r="S98" s="13" t="n">
        <f aca="false">I98*K98*O98*P98</f>
        <v>5.04896674408783E-009</v>
      </c>
      <c r="T98" s="15" t="n">
        <f aca="false">IF(Summary!$B$6&gt;0,R98/Summary!$B$6,0)</f>
        <v>0</v>
      </c>
      <c r="U98" s="13" t="n">
        <f aca="false">I98*K98</f>
        <v>3.50245080735127E-006</v>
      </c>
      <c r="V98" s="13" t="n">
        <f aca="false">I98*O98*P98</f>
        <v>9.73047942630957E-007</v>
      </c>
      <c r="W98" s="18" t="n">
        <f aca="false">INDEX('HB Evidence'!$I$6:$I$25,MATCH(E98,'HB Evidence'!$A$6:$A$25,0))</f>
        <v>0.00036</v>
      </c>
      <c r="X98" s="18" t="n">
        <f aca="false">I98*W98*N98*P98</f>
        <v>5.7262707E-011</v>
      </c>
      <c r="Y98" s="27" t="n">
        <f aca="false">SUMIF('Concrete Scenarios'!$B$6:$B$1005,A98,'Concrete Scenarios'!$N$6:$N$1005)</f>
        <v>4.63653927620273</v>
      </c>
      <c r="Z98" s="28" t="n">
        <f aca="false">IF(SUMIF('Concrete Scenarios'!$B$6:$B$1005,A98,'Concrete Scenarios'!$T$6:$T$1005)&gt;0,Y98^2/SUMIF('Concrete Scenarios'!$B$6:$B$1005,A98,'Concrete Scenarios'!$T$6:$T$1005),0)</f>
        <v>5.83342102186703</v>
      </c>
      <c r="AA98" s="29" t="n">
        <f aca="false">SUMIF('Concrete Scenarios'!$B$6:$B$1005,A98,'Concrete Scenarios'!$O$6:$O$1005)</f>
        <v>0</v>
      </c>
      <c r="AB98" s="23" t="n">
        <f aca="false">SUMIF('Concrete Scenarios'!$B$6:$B$1005,A98,'Concrete Scenarios'!$S$6:$S$1005)/COUNTIF('Concrete Scenarios'!$B$6:$B$1005,A98)</f>
        <v>0</v>
      </c>
      <c r="AC98" s="13" t="n">
        <f aca="false">I98*J98*AB98</f>
        <v>0</v>
      </c>
    </row>
    <row r="99" customFormat="false" ht="15" hidden="false" customHeight="false" outlineLevel="0" collapsed="false">
      <c r="A99" s="5" t="s">
        <v>231</v>
      </c>
      <c r="B99" s="5" t="s">
        <v>59</v>
      </c>
      <c r="C99" s="5" t="s">
        <v>65</v>
      </c>
      <c r="D99" s="5" t="s">
        <v>72</v>
      </c>
      <c r="E99" s="5" t="s">
        <v>106</v>
      </c>
      <c r="F99" s="21" t="n">
        <f aca="false">INDEX(Inputs!$B$15:$B$19,MATCH(B99,Inputs!$A$15:$A$19,0))</f>
        <v>0.03</v>
      </c>
      <c r="G99" s="21" t="n">
        <f aca="false">INDEX(Inputs!$B$23:$B$26,MATCH(C99,Inputs!$A$23:$A$26,0))</f>
        <v>0.15</v>
      </c>
      <c r="H99" s="21" t="n">
        <f aca="false">INDEX(Inputs!$B$30:$B$34,MATCH(D99,Inputs!$A$30:$A$34,0))</f>
        <v>0.13</v>
      </c>
      <c r="I99" s="22" t="n">
        <f aca="false">F99*G99*H99</f>
        <v>0.000585</v>
      </c>
      <c r="J99" s="23" t="n">
        <f aca="false">INDEX('HB Evidence'!$F$6:$F$25,MATCH(E99,'HB Evidence'!$A$6:$A$25,0))</f>
        <v>0</v>
      </c>
      <c r="K99" s="23" t="n">
        <f aca="false">INDEX('HB Evidence'!$H$6:$H$25,MATCH(E99,'HB Evidence'!$A$6:$A$25,0))</f>
        <v>0.00518881601089077</v>
      </c>
      <c r="L99" s="16" t="n">
        <v>2000</v>
      </c>
      <c r="M99" s="16" t="n">
        <v>8</v>
      </c>
      <c r="N99" s="24" t="n">
        <f aca="false">M99/L99</f>
        <v>0.004</v>
      </c>
      <c r="O99" s="24" t="n">
        <f aca="false">IF(M99=L99,1,BETAINV(Inputs!$B$10,M99+1,L99-M99))</f>
        <v>0.0112052408385336</v>
      </c>
      <c r="P99" s="25" t="n">
        <v>0.030313</v>
      </c>
      <c r="Q99" s="26" t="n">
        <v>17.19</v>
      </c>
      <c r="R99" s="13" t="n">
        <f aca="false">I99*J99*N99*P99</f>
        <v>0</v>
      </c>
      <c r="S99" s="13" t="n">
        <f aca="false">I99*K99*O99*P99</f>
        <v>1.03103700401325E-009</v>
      </c>
      <c r="T99" s="15" t="n">
        <f aca="false">IF(Summary!$B$6&gt;0,R99/Summary!$B$6,0)</f>
        <v>0</v>
      </c>
      <c r="U99" s="13" t="n">
        <f aca="false">I99*K99</f>
        <v>3.0354573663711E-006</v>
      </c>
      <c r="V99" s="13" t="n">
        <f aca="false">I99*O99*P99</f>
        <v>1.98703712340005E-007</v>
      </c>
      <c r="W99" s="18" t="n">
        <f aca="false">INDEX('HB Evidence'!$I$6:$I$25,MATCH(E99,'HB Evidence'!$A$6:$A$25,0))</f>
        <v>0.00036</v>
      </c>
      <c r="X99" s="18" t="n">
        <f aca="false">I99*W99*N99*P99</f>
        <v>2.55356712E-011</v>
      </c>
      <c r="Y99" s="27" t="n">
        <f aca="false">SUMIF('Concrete Scenarios'!$B$6:$B$1005,A99,'Concrete Scenarios'!$N$6:$N$1005)</f>
        <v>7.39605765130067</v>
      </c>
      <c r="Z99" s="28" t="n">
        <f aca="false">IF(SUMIF('Concrete Scenarios'!$B$6:$B$1005,A99,'Concrete Scenarios'!$T$6:$T$1005)&gt;0,Y99^2/SUMIF('Concrete Scenarios'!$B$6:$B$1005,A99,'Concrete Scenarios'!$T$6:$T$1005),0)</f>
        <v>3.37589389396825</v>
      </c>
      <c r="AA99" s="29" t="n">
        <f aca="false">SUMIF('Concrete Scenarios'!$B$6:$B$1005,A99,'Concrete Scenarios'!$O$6:$O$1005)</f>
        <v>1</v>
      </c>
      <c r="AB99" s="23" t="n">
        <f aca="false">SUMIF('Concrete Scenarios'!$B$6:$B$1005,A99,'Concrete Scenarios'!$S$6:$S$1005)/COUNTIF('Concrete Scenarios'!$B$6:$B$1005,A99)</f>
        <v>5.21590830243403E-005</v>
      </c>
      <c r="AC99" s="13" t="n">
        <f aca="false">I99*J99*AB99</f>
        <v>0</v>
      </c>
    </row>
    <row r="100" customFormat="false" ht="15" hidden="false" customHeight="false" outlineLevel="0" collapsed="false">
      <c r="A100" s="5" t="s">
        <v>232</v>
      </c>
      <c r="B100" s="5" t="s">
        <v>59</v>
      </c>
      <c r="C100" s="5" t="s">
        <v>65</v>
      </c>
      <c r="D100" s="5" t="s">
        <v>73</v>
      </c>
      <c r="E100" s="5" t="s">
        <v>106</v>
      </c>
      <c r="F100" s="21" t="n">
        <f aca="false">INDEX(Inputs!$B$15:$B$19,MATCH(B100,Inputs!$A$15:$A$19,0))</f>
        <v>0.03</v>
      </c>
      <c r="G100" s="21" t="n">
        <f aca="false">INDEX(Inputs!$B$23:$B$26,MATCH(C100,Inputs!$A$23:$A$26,0))</f>
        <v>0.15</v>
      </c>
      <c r="H100" s="21" t="n">
        <f aca="false">INDEX(Inputs!$B$30:$B$34,MATCH(D100,Inputs!$A$30:$A$34,0))</f>
        <v>0.07</v>
      </c>
      <c r="I100" s="22" t="n">
        <f aca="false">F100*G100*H100</f>
        <v>0.000315</v>
      </c>
      <c r="J100" s="23" t="n">
        <f aca="false">INDEX('HB Evidence'!$F$6:$F$25,MATCH(E100,'HB Evidence'!$A$6:$A$25,0))</f>
        <v>0</v>
      </c>
      <c r="K100" s="23" t="n">
        <f aca="false">INDEX('HB Evidence'!$H$6:$H$25,MATCH(E100,'HB Evidence'!$A$6:$A$25,0))</f>
        <v>0.00518881601089077</v>
      </c>
      <c r="L100" s="16" t="n">
        <v>2000</v>
      </c>
      <c r="M100" s="16" t="n">
        <v>54</v>
      </c>
      <c r="N100" s="24" t="n">
        <f aca="false">M100/L100</f>
        <v>0.027</v>
      </c>
      <c r="O100" s="24" t="n">
        <f aca="false">IF(M100=L100,1,BETAINV(Inputs!$B$10,M100+1,L100-M100))</f>
        <v>0.0413019135648577</v>
      </c>
      <c r="P100" s="25" t="n">
        <v>0.035088</v>
      </c>
      <c r="Q100" s="26" t="n">
        <v>16.4</v>
      </c>
      <c r="R100" s="13" t="n">
        <f aca="false">I100*J100*N100*P100</f>
        <v>0</v>
      </c>
      <c r="S100" s="13" t="n">
        <f aca="false">I100*K100*O100*P100</f>
        <v>2.3686866536053E-009</v>
      </c>
      <c r="T100" s="15" t="n">
        <f aca="false">IF(Summary!$B$6&gt;0,R100/Summary!$B$6,0)</f>
        <v>0</v>
      </c>
      <c r="U100" s="13" t="n">
        <f aca="false">I100*K100</f>
        <v>1.63447704343059E-006</v>
      </c>
      <c r="V100" s="13" t="n">
        <f aca="false">I100*O100*P100</f>
        <v>4.56498486096574E-007</v>
      </c>
      <c r="W100" s="18" t="n">
        <f aca="false">INDEX('HB Evidence'!$I$6:$I$25,MATCH(E100,'HB Evidence'!$A$6:$A$25,0))</f>
        <v>0.00036</v>
      </c>
      <c r="X100" s="18" t="n">
        <f aca="false">I100*W100*N100*P100</f>
        <v>1.074324384E-010</v>
      </c>
      <c r="Y100" s="27" t="n">
        <f aca="false">SUMIF('Concrete Scenarios'!$B$6:$B$1005,A100,'Concrete Scenarios'!$N$6:$N$1005)</f>
        <v>15.5978004445285</v>
      </c>
      <c r="Z100" s="28" t="n">
        <f aca="false">IF(SUMIF('Concrete Scenarios'!$B$6:$B$1005,A100,'Concrete Scenarios'!$T$6:$T$1005)&gt;0,Y100^2/SUMIF('Concrete Scenarios'!$B$6:$B$1005,A100,'Concrete Scenarios'!$T$6:$T$1005),0)</f>
        <v>2.76732522094675</v>
      </c>
      <c r="AA100" s="29" t="n">
        <f aca="false">SUMIF('Concrete Scenarios'!$B$6:$B$1005,A100,'Concrete Scenarios'!$O$6:$O$1005)</f>
        <v>2</v>
      </c>
      <c r="AB100" s="23" t="n">
        <f aca="false">SUMIF('Concrete Scenarios'!$B$6:$B$1005,A100,'Concrete Scenarios'!$S$6:$S$1005)/COUNTIF('Concrete Scenarios'!$B$6:$B$1005,A100)</f>
        <v>0.000180887021025499</v>
      </c>
      <c r="AC100" s="13" t="n">
        <f aca="false">I100*J100*AB100</f>
        <v>0</v>
      </c>
    </row>
    <row r="101" customFormat="false" ht="15" hidden="false" customHeight="false" outlineLevel="0" collapsed="false">
      <c r="A101" s="5" t="s">
        <v>233</v>
      </c>
      <c r="B101" s="5" t="s">
        <v>59</v>
      </c>
      <c r="C101" s="5" t="s">
        <v>66</v>
      </c>
      <c r="D101" s="5" t="s">
        <v>68</v>
      </c>
      <c r="E101" s="5" t="s">
        <v>107</v>
      </c>
      <c r="F101" s="21" t="n">
        <f aca="false">INDEX(Inputs!$B$15:$B$19,MATCH(B101,Inputs!$A$15:$A$19,0))</f>
        <v>0.03</v>
      </c>
      <c r="G101" s="21" t="n">
        <f aca="false">INDEX(Inputs!$B$23:$B$26,MATCH(C101,Inputs!$A$23:$A$26,0))</f>
        <v>0.1</v>
      </c>
      <c r="H101" s="21" t="n">
        <f aca="false">INDEX(Inputs!$B$30:$B$34,MATCH(D101,Inputs!$A$30:$A$34,0))</f>
        <v>0.45</v>
      </c>
      <c r="I101" s="22" t="n">
        <f aca="false">F101*G101*H101</f>
        <v>0.00135</v>
      </c>
      <c r="J101" s="23" t="n">
        <f aca="false">INDEX('HB Evidence'!$F$6:$F$25,MATCH(E101,'HB Evidence'!$A$6:$A$25,0))</f>
        <v>0.002</v>
      </c>
      <c r="K101" s="23" t="n">
        <f aca="false">INDEX('HB Evidence'!$H$6:$H$25,MATCH(E101,'HB Evidence'!$A$6:$A$25,0))</f>
        <v>0.0122661784992512</v>
      </c>
      <c r="L101" s="16" t="n">
        <v>2000</v>
      </c>
      <c r="M101" s="16" t="n">
        <v>0</v>
      </c>
      <c r="N101" s="24" t="n">
        <f aca="false">M101/L101</f>
        <v>0</v>
      </c>
      <c r="O101" s="24" t="n">
        <f aca="false">IF(M101=L101,1,BETAINV(Inputs!$B$10,M101+1,L101-M101))</f>
        <v>0.00388404949945426</v>
      </c>
      <c r="P101" s="25" t="n">
        <v>0</v>
      </c>
      <c r="Q101" s="26" t="n">
        <v>0</v>
      </c>
      <c r="R101" s="13" t="n">
        <f aca="false">I101*J101*N101*P101</f>
        <v>0</v>
      </c>
      <c r="S101" s="13" t="n">
        <f aca="false">I101*K101*O101*P101</f>
        <v>0</v>
      </c>
      <c r="T101" s="15" t="n">
        <f aca="false">IF(Summary!$B$6&gt;0,R101/Summary!$B$6,0)</f>
        <v>0</v>
      </c>
      <c r="U101" s="13" t="n">
        <f aca="false">I101*K101</f>
        <v>1.65593409739891E-005</v>
      </c>
      <c r="V101" s="13" t="n">
        <f aca="false">I101*O101*P101</f>
        <v>0</v>
      </c>
      <c r="W101" s="18" t="n">
        <f aca="false">INDEX('HB Evidence'!$I$6:$I$25,MATCH(E101,'HB Evidence'!$A$6:$A$25,0))</f>
        <v>0.00045</v>
      </c>
      <c r="X101" s="18" t="n">
        <f aca="false">I101*W101*N101*P101</f>
        <v>0</v>
      </c>
      <c r="Y101" s="27" t="n">
        <f aca="false">SUMIF('Concrete Scenarios'!$B$6:$B$1005,A101,'Concrete Scenarios'!$N$6:$N$1005)</f>
        <v>8.80685040439363</v>
      </c>
      <c r="Z101" s="28" t="n">
        <f aca="false">IF(SUMIF('Concrete Scenarios'!$B$6:$B$1005,A101,'Concrete Scenarios'!$T$6:$T$1005)&gt;0,Y101^2/SUMIF('Concrete Scenarios'!$B$6:$B$1005,A101,'Concrete Scenarios'!$T$6:$T$1005),0)</f>
        <v>4.73308308430409</v>
      </c>
      <c r="AA101" s="29" t="n">
        <f aca="false">SUMIF('Concrete Scenarios'!$B$6:$B$1005,A101,'Concrete Scenarios'!$O$6:$O$1005)</f>
        <v>0</v>
      </c>
      <c r="AB101" s="23" t="n">
        <f aca="false">SUMIF('Concrete Scenarios'!$B$6:$B$1005,A101,'Concrete Scenarios'!$S$6:$S$1005)/COUNTIF('Concrete Scenarios'!$B$6:$B$1005,A101)</f>
        <v>0</v>
      </c>
      <c r="AC101" s="13" t="n">
        <f aca="false">I101*J101*AB101</f>
        <v>0</v>
      </c>
    </row>
    <row r="102" customFormat="false" ht="15" hidden="false" customHeight="false" outlineLevel="0" collapsed="false">
      <c r="A102" s="5" t="s">
        <v>234</v>
      </c>
      <c r="B102" s="5" t="s">
        <v>59</v>
      </c>
      <c r="C102" s="5" t="s">
        <v>66</v>
      </c>
      <c r="D102" s="5" t="s">
        <v>70</v>
      </c>
      <c r="E102" s="5" t="s">
        <v>107</v>
      </c>
      <c r="F102" s="21" t="n">
        <f aca="false">INDEX(Inputs!$B$15:$B$19,MATCH(B102,Inputs!$A$15:$A$19,0))</f>
        <v>0.03</v>
      </c>
      <c r="G102" s="21" t="n">
        <f aca="false">INDEX(Inputs!$B$23:$B$26,MATCH(C102,Inputs!$A$23:$A$26,0))</f>
        <v>0.1</v>
      </c>
      <c r="H102" s="21" t="n">
        <f aca="false">INDEX(Inputs!$B$30:$B$34,MATCH(D102,Inputs!$A$30:$A$34,0))</f>
        <v>0.2</v>
      </c>
      <c r="I102" s="22" t="n">
        <f aca="false">F102*G102*H102</f>
        <v>0.0006</v>
      </c>
      <c r="J102" s="23" t="n">
        <f aca="false">INDEX('HB Evidence'!$F$6:$F$25,MATCH(E102,'HB Evidence'!$A$6:$A$25,0))</f>
        <v>0.002</v>
      </c>
      <c r="K102" s="23" t="n">
        <f aca="false">INDEX('HB Evidence'!$H$6:$H$25,MATCH(E102,'HB Evidence'!$A$6:$A$25,0))</f>
        <v>0.0122661784992512</v>
      </c>
      <c r="L102" s="16" t="n">
        <v>2000</v>
      </c>
      <c r="M102" s="16" t="n">
        <v>0</v>
      </c>
      <c r="N102" s="24" t="n">
        <f aca="false">M102/L102</f>
        <v>0</v>
      </c>
      <c r="O102" s="24" t="n">
        <f aca="false">IF(M102=L102,1,BETAINV(Inputs!$B$10,M102+1,L102-M102))</f>
        <v>0.00388404949945426</v>
      </c>
      <c r="P102" s="25" t="n">
        <v>0</v>
      </c>
      <c r="Q102" s="26" t="n">
        <v>0</v>
      </c>
      <c r="R102" s="13" t="n">
        <f aca="false">I102*J102*N102*P102</f>
        <v>0</v>
      </c>
      <c r="S102" s="13" t="n">
        <f aca="false">I102*K102*O102*P102</f>
        <v>0</v>
      </c>
      <c r="T102" s="15" t="n">
        <f aca="false">IF(Summary!$B$6&gt;0,R102/Summary!$B$6,0)</f>
        <v>0</v>
      </c>
      <c r="U102" s="13" t="n">
        <f aca="false">I102*K102</f>
        <v>7.35970709955072E-006</v>
      </c>
      <c r="V102" s="13" t="n">
        <f aca="false">I102*O102*P102</f>
        <v>0</v>
      </c>
      <c r="W102" s="18" t="n">
        <f aca="false">INDEX('HB Evidence'!$I$6:$I$25,MATCH(E102,'HB Evidence'!$A$6:$A$25,0))</f>
        <v>0.00045</v>
      </c>
      <c r="X102" s="18" t="n">
        <f aca="false">I102*W102*N102*P102</f>
        <v>0</v>
      </c>
      <c r="Y102" s="27" t="n">
        <f aca="false">SUMIF('Concrete Scenarios'!$B$6:$B$1005,A102,'Concrete Scenarios'!$N$6:$N$1005)</f>
        <v>6.8700240200702</v>
      </c>
      <c r="Z102" s="28" t="n">
        <f aca="false">IF(SUMIF('Concrete Scenarios'!$B$6:$B$1005,A102,'Concrete Scenarios'!$T$6:$T$1005)&gt;0,Y102^2/SUMIF('Concrete Scenarios'!$B$6:$B$1005,A102,'Concrete Scenarios'!$T$6:$T$1005),0)</f>
        <v>3.76526568119763</v>
      </c>
      <c r="AA102" s="29" t="n">
        <f aca="false">SUMIF('Concrete Scenarios'!$B$6:$B$1005,A102,'Concrete Scenarios'!$O$6:$O$1005)</f>
        <v>0</v>
      </c>
      <c r="AB102" s="23" t="n">
        <f aca="false">SUMIF('Concrete Scenarios'!$B$6:$B$1005,A102,'Concrete Scenarios'!$S$6:$S$1005)/COUNTIF('Concrete Scenarios'!$B$6:$B$1005,A102)</f>
        <v>0</v>
      </c>
      <c r="AC102" s="13" t="n">
        <f aca="false">I102*J102*AB102</f>
        <v>0</v>
      </c>
    </row>
    <row r="103" customFormat="false" ht="15" hidden="false" customHeight="false" outlineLevel="0" collapsed="false">
      <c r="A103" s="5" t="s">
        <v>235</v>
      </c>
      <c r="B103" s="5" t="s">
        <v>59</v>
      </c>
      <c r="C103" s="5" t="s">
        <v>66</v>
      </c>
      <c r="D103" s="5" t="s">
        <v>71</v>
      </c>
      <c r="E103" s="5" t="s">
        <v>107</v>
      </c>
      <c r="F103" s="21" t="n">
        <f aca="false">INDEX(Inputs!$B$15:$B$19,MATCH(B103,Inputs!$A$15:$A$19,0))</f>
        <v>0.03</v>
      </c>
      <c r="G103" s="21" t="n">
        <f aca="false">INDEX(Inputs!$B$23:$B$26,MATCH(C103,Inputs!$A$23:$A$26,0))</f>
        <v>0.1</v>
      </c>
      <c r="H103" s="21" t="n">
        <f aca="false">INDEX(Inputs!$B$30:$B$34,MATCH(D103,Inputs!$A$30:$A$34,0))</f>
        <v>0.15</v>
      </c>
      <c r="I103" s="22" t="n">
        <f aca="false">F103*G103*H103</f>
        <v>0.00045</v>
      </c>
      <c r="J103" s="23" t="n">
        <f aca="false">INDEX('HB Evidence'!$F$6:$F$25,MATCH(E103,'HB Evidence'!$A$6:$A$25,0))</f>
        <v>0.002</v>
      </c>
      <c r="K103" s="23" t="n">
        <f aca="false">INDEX('HB Evidence'!$H$6:$H$25,MATCH(E103,'HB Evidence'!$A$6:$A$25,0))</f>
        <v>0.0122661784992512</v>
      </c>
      <c r="L103" s="16" t="n">
        <v>2000</v>
      </c>
      <c r="M103" s="16" t="n">
        <v>0</v>
      </c>
      <c r="N103" s="24" t="n">
        <f aca="false">M103/L103</f>
        <v>0</v>
      </c>
      <c r="O103" s="24" t="n">
        <f aca="false">IF(M103=L103,1,BETAINV(Inputs!$B$10,M103+1,L103-M103))</f>
        <v>0.00388404949945426</v>
      </c>
      <c r="P103" s="25" t="n">
        <v>0</v>
      </c>
      <c r="Q103" s="26" t="n">
        <v>0</v>
      </c>
      <c r="R103" s="13" t="n">
        <f aca="false">I103*J103*N103*P103</f>
        <v>0</v>
      </c>
      <c r="S103" s="13" t="n">
        <f aca="false">I103*K103*O103*P103</f>
        <v>0</v>
      </c>
      <c r="T103" s="15" t="n">
        <f aca="false">IF(Summary!$B$6&gt;0,R103/Summary!$B$6,0)</f>
        <v>0</v>
      </c>
      <c r="U103" s="13" t="n">
        <f aca="false">I103*K103</f>
        <v>5.51978032466304E-006</v>
      </c>
      <c r="V103" s="13" t="n">
        <f aca="false">I103*O103*P103</f>
        <v>0</v>
      </c>
      <c r="W103" s="18" t="n">
        <f aca="false">INDEX('HB Evidence'!$I$6:$I$25,MATCH(E103,'HB Evidence'!$A$6:$A$25,0))</f>
        <v>0.00045</v>
      </c>
      <c r="X103" s="18" t="n">
        <f aca="false">I103*W103*N103*P103</f>
        <v>0</v>
      </c>
      <c r="Y103" s="27" t="n">
        <f aca="false">SUMIF('Concrete Scenarios'!$B$6:$B$1005,A103,'Concrete Scenarios'!$N$6:$N$1005)</f>
        <v>5.73412235190624</v>
      </c>
      <c r="Z103" s="28" t="n">
        <f aca="false">IF(SUMIF('Concrete Scenarios'!$B$6:$B$1005,A103,'Concrete Scenarios'!$T$6:$T$1005)&gt;0,Y103^2/SUMIF('Concrete Scenarios'!$B$6:$B$1005,A103,'Concrete Scenarios'!$T$6:$T$1005),0)</f>
        <v>4.45297305518414</v>
      </c>
      <c r="AA103" s="29" t="n">
        <f aca="false">SUMIF('Concrete Scenarios'!$B$6:$B$1005,A103,'Concrete Scenarios'!$O$6:$O$1005)</f>
        <v>0</v>
      </c>
      <c r="AB103" s="23" t="n">
        <f aca="false">SUMIF('Concrete Scenarios'!$B$6:$B$1005,A103,'Concrete Scenarios'!$S$6:$S$1005)/COUNTIF('Concrete Scenarios'!$B$6:$B$1005,A103)</f>
        <v>0</v>
      </c>
      <c r="AC103" s="13" t="n">
        <f aca="false">I103*J103*AB103</f>
        <v>0</v>
      </c>
    </row>
    <row r="104" customFormat="false" ht="15" hidden="false" customHeight="false" outlineLevel="0" collapsed="false">
      <c r="A104" s="5" t="s">
        <v>236</v>
      </c>
      <c r="B104" s="5" t="s">
        <v>59</v>
      </c>
      <c r="C104" s="5" t="s">
        <v>66</v>
      </c>
      <c r="D104" s="5" t="s">
        <v>72</v>
      </c>
      <c r="E104" s="5" t="s">
        <v>107</v>
      </c>
      <c r="F104" s="21" t="n">
        <f aca="false">INDEX(Inputs!$B$15:$B$19,MATCH(B104,Inputs!$A$15:$A$19,0))</f>
        <v>0.03</v>
      </c>
      <c r="G104" s="21" t="n">
        <f aca="false">INDEX(Inputs!$B$23:$B$26,MATCH(C104,Inputs!$A$23:$A$26,0))</f>
        <v>0.1</v>
      </c>
      <c r="H104" s="21" t="n">
        <f aca="false">INDEX(Inputs!$B$30:$B$34,MATCH(D104,Inputs!$A$30:$A$34,0))</f>
        <v>0.13</v>
      </c>
      <c r="I104" s="22" t="n">
        <f aca="false">F104*G104*H104</f>
        <v>0.00039</v>
      </c>
      <c r="J104" s="23" t="n">
        <f aca="false">INDEX('HB Evidence'!$F$6:$F$25,MATCH(E104,'HB Evidence'!$A$6:$A$25,0))</f>
        <v>0.002</v>
      </c>
      <c r="K104" s="23" t="n">
        <f aca="false">INDEX('HB Evidence'!$H$6:$H$25,MATCH(E104,'HB Evidence'!$A$6:$A$25,0))</f>
        <v>0.0122661784992512</v>
      </c>
      <c r="L104" s="16" t="n">
        <v>2000</v>
      </c>
      <c r="M104" s="16" t="n">
        <v>2</v>
      </c>
      <c r="N104" s="24" t="n">
        <f aca="false">M104/L104</f>
        <v>0.001</v>
      </c>
      <c r="O104" s="24" t="n">
        <f aca="false">IF(M104=L104,1,BETAINV(Inputs!$B$10,M104+1,L104-M104))</f>
        <v>0.00611737163154275</v>
      </c>
      <c r="P104" s="25" t="n">
        <v>0.230719</v>
      </c>
      <c r="Q104" s="26" t="n">
        <v>34.66</v>
      </c>
      <c r="R104" s="13" t="n">
        <f aca="false">I104*J104*N104*P104</f>
        <v>1.7996082E-010</v>
      </c>
      <c r="S104" s="13" t="n">
        <f aca="false">I104*K104*O104*P104</f>
        <v>6.7518395437174E-009</v>
      </c>
      <c r="T104" s="15" t="n">
        <f aca="false">IF(Summary!$B$6&gt;0,R104/Summary!$B$6,0)</f>
        <v>0.00870383242582435</v>
      </c>
      <c r="U104" s="13" t="n">
        <f aca="false">I104*K104</f>
        <v>4.78380961470797E-006</v>
      </c>
      <c r="V104" s="13" t="n">
        <f aca="false">I104*O104*P104</f>
        <v>5.50443607528586E-007</v>
      </c>
      <c r="W104" s="18" t="n">
        <f aca="false">INDEX('HB Evidence'!$I$6:$I$25,MATCH(E104,'HB Evidence'!$A$6:$A$25,0))</f>
        <v>0.00045</v>
      </c>
      <c r="X104" s="18" t="n">
        <f aca="false">I104*W104*N104*P104</f>
        <v>4.04911845E-011</v>
      </c>
      <c r="Y104" s="27" t="n">
        <f aca="false">SUMIF('Concrete Scenarios'!$B$6:$B$1005,A104,'Concrete Scenarios'!$N$6:$N$1005)</f>
        <v>7.26231136265567</v>
      </c>
      <c r="Z104" s="28" t="n">
        <f aca="false">IF(SUMIF('Concrete Scenarios'!$B$6:$B$1005,A104,'Concrete Scenarios'!$T$6:$T$1005)&gt;0,Y104^2/SUMIF('Concrete Scenarios'!$B$6:$B$1005,A104,'Concrete Scenarios'!$T$6:$T$1005),0)</f>
        <v>4.45794034747639</v>
      </c>
      <c r="AA104" s="29" t="n">
        <f aca="false">SUMIF('Concrete Scenarios'!$B$6:$B$1005,A104,'Concrete Scenarios'!$O$6:$O$1005)</f>
        <v>0</v>
      </c>
      <c r="AB104" s="23" t="n">
        <f aca="false">SUMIF('Concrete Scenarios'!$B$6:$B$1005,A104,'Concrete Scenarios'!$S$6:$S$1005)/COUNTIF('Concrete Scenarios'!$B$6:$B$1005,A104)</f>
        <v>0</v>
      </c>
      <c r="AC104" s="13" t="n">
        <f aca="false">I104*J104*AB104</f>
        <v>0</v>
      </c>
    </row>
    <row r="105" customFormat="false" ht="15" hidden="false" customHeight="false" outlineLevel="0" collapsed="false">
      <c r="A105" s="5" t="s">
        <v>237</v>
      </c>
      <c r="B105" s="5" t="s">
        <v>59</v>
      </c>
      <c r="C105" s="5" t="s">
        <v>66</v>
      </c>
      <c r="D105" s="5" t="s">
        <v>73</v>
      </c>
      <c r="E105" s="5" t="s">
        <v>107</v>
      </c>
      <c r="F105" s="21" t="n">
        <f aca="false">INDEX(Inputs!$B$15:$B$19,MATCH(B105,Inputs!$A$15:$A$19,0))</f>
        <v>0.03</v>
      </c>
      <c r="G105" s="21" t="n">
        <f aca="false">INDEX(Inputs!$B$23:$B$26,MATCH(C105,Inputs!$A$23:$A$26,0))</f>
        <v>0.1</v>
      </c>
      <c r="H105" s="21" t="n">
        <f aca="false">INDEX(Inputs!$B$30:$B$34,MATCH(D105,Inputs!$A$30:$A$34,0))</f>
        <v>0.07</v>
      </c>
      <c r="I105" s="22" t="n">
        <f aca="false">F105*G105*H105</f>
        <v>0.00021</v>
      </c>
      <c r="J105" s="23" t="n">
        <f aca="false">INDEX('HB Evidence'!$F$6:$F$25,MATCH(E105,'HB Evidence'!$A$6:$A$25,0))</f>
        <v>0.002</v>
      </c>
      <c r="K105" s="23" t="n">
        <f aca="false">INDEX('HB Evidence'!$H$6:$H$25,MATCH(E105,'HB Evidence'!$A$6:$A$25,0))</f>
        <v>0.0122661784992512</v>
      </c>
      <c r="L105" s="16" t="n">
        <v>2000</v>
      </c>
      <c r="M105" s="16" t="n">
        <v>27</v>
      </c>
      <c r="N105" s="24" t="n">
        <f aca="false">M105/L105</f>
        <v>0.0135</v>
      </c>
      <c r="O105" s="24" t="n">
        <f aca="false">IF(M105=L105,1,BETAINV(Inputs!$B$10,M105+1,L105-M105))</f>
        <v>0.0244270304144489</v>
      </c>
      <c r="P105" s="25" t="n">
        <v>0.066489</v>
      </c>
      <c r="Q105" s="26" t="n">
        <v>21.87</v>
      </c>
      <c r="R105" s="13" t="n">
        <f aca="false">I105*J105*N105*P105</f>
        <v>3.7699263E-010</v>
      </c>
      <c r="S105" s="13" t="n">
        <f aca="false">I105*K105*O105*P105</f>
        <v>4.18358935596102E-009</v>
      </c>
      <c r="T105" s="15" t="n">
        <f aca="false">IF(Summary!$B$6&gt;0,R105/Summary!$B$6,0)</f>
        <v>0.018233305878973</v>
      </c>
      <c r="U105" s="13" t="n">
        <f aca="false">I105*K105</f>
        <v>2.57589748484275E-006</v>
      </c>
      <c r="V105" s="13" t="n">
        <f aca="false">I105*O105*P105</f>
        <v>3.41067053297521E-007</v>
      </c>
      <c r="W105" s="18" t="n">
        <f aca="false">INDEX('HB Evidence'!$I$6:$I$25,MATCH(E105,'HB Evidence'!$A$6:$A$25,0))</f>
        <v>0.00045</v>
      </c>
      <c r="X105" s="18" t="n">
        <f aca="false">I105*W105*N105*P105</f>
        <v>8.482334175E-011</v>
      </c>
      <c r="Y105" s="27" t="n">
        <f aca="false">SUMIF('Concrete Scenarios'!$B$6:$B$1005,A105,'Concrete Scenarios'!$N$6:$N$1005)</f>
        <v>6.90935707288121</v>
      </c>
      <c r="Z105" s="28" t="n">
        <f aca="false">IF(SUMIF('Concrete Scenarios'!$B$6:$B$1005,A105,'Concrete Scenarios'!$T$6:$T$1005)&gt;0,Y105^2/SUMIF('Concrete Scenarios'!$B$6:$B$1005,A105,'Concrete Scenarios'!$T$6:$T$1005),0)</f>
        <v>4.04565208344081</v>
      </c>
      <c r="AA105" s="29" t="n">
        <f aca="false">SUMIF('Concrete Scenarios'!$B$6:$B$1005,A105,'Concrete Scenarios'!$O$6:$O$1005)</f>
        <v>3</v>
      </c>
      <c r="AB105" s="23" t="n">
        <f aca="false">SUMIF('Concrete Scenarios'!$B$6:$B$1005,A105,'Concrete Scenarios'!$S$6:$S$1005)/COUNTIF('Concrete Scenarios'!$B$6:$B$1005,A105)</f>
        <v>0.0012435321510536</v>
      </c>
      <c r="AC105" s="13" t="n">
        <f aca="false">I105*J105*AB105</f>
        <v>5.22283503442514E-010</v>
      </c>
    </row>
    <row r="107" customFormat="false" ht="15" hidden="false" customHeight="false" outlineLevel="0" collapsed="false">
      <c r="A107" s="20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8" min="6" style="0" width="10"/>
    <col collapsed="false" customWidth="true" hidden="false" outlineLevel="0" max="9" min="9" style="0" width="9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8" min="16" style="0" width="10"/>
    <col collapsed="false" customWidth="true" hidden="false" outlineLevel="0" max="19" min="19" style="0" width="12"/>
    <col collapsed="false" customWidth="true" hidden="false" outlineLevel="0" max="20" min="20" style="0" width="10"/>
  </cols>
  <sheetData>
    <row r="1" customFormat="false" ht="17.35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5" customFormat="false" ht="45" hidden="false" customHeight="true" outlineLevel="0" collapsed="false">
      <c r="A5" s="7" t="s">
        <v>241</v>
      </c>
      <c r="B5" s="7" t="s">
        <v>242</v>
      </c>
      <c r="C5" s="7" t="s">
        <v>51</v>
      </c>
      <c r="D5" s="7" t="s">
        <v>79</v>
      </c>
      <c r="E5" s="7" t="s">
        <v>113</v>
      </c>
      <c r="F5" s="7" t="s">
        <v>243</v>
      </c>
      <c r="G5" s="7" t="s">
        <v>244</v>
      </c>
      <c r="H5" s="7" t="s">
        <v>245</v>
      </c>
      <c r="I5" s="7" t="s">
        <v>246</v>
      </c>
      <c r="J5" s="7" t="s">
        <v>247</v>
      </c>
      <c r="K5" s="7" t="s">
        <v>248</v>
      </c>
      <c r="L5" s="7" t="s">
        <v>249</v>
      </c>
      <c r="M5" s="7" t="s">
        <v>250</v>
      </c>
      <c r="N5" s="7" t="s">
        <v>251</v>
      </c>
      <c r="O5" s="7" t="s">
        <v>252</v>
      </c>
      <c r="P5" s="7" t="s">
        <v>253</v>
      </c>
      <c r="Q5" s="7" t="s">
        <v>254</v>
      </c>
      <c r="R5" s="7" t="s">
        <v>255</v>
      </c>
      <c r="S5" s="7" t="s">
        <v>256</v>
      </c>
      <c r="T5" s="7" t="s">
        <v>257</v>
      </c>
    </row>
    <row r="6" customFormat="false" ht="15" hidden="false" customHeight="false" outlineLevel="0" collapsed="false">
      <c r="A6" s="5" t="s">
        <v>258</v>
      </c>
      <c r="B6" s="5" t="s">
        <v>138</v>
      </c>
      <c r="C6" s="5" t="s">
        <v>54</v>
      </c>
      <c r="D6" s="5" t="s">
        <v>62</v>
      </c>
      <c r="E6" s="5" t="s">
        <v>68</v>
      </c>
      <c r="F6" s="26" t="n">
        <v>20</v>
      </c>
      <c r="G6" s="26" t="n">
        <v>19.04</v>
      </c>
      <c r="H6" s="30" t="n">
        <v>3.131</v>
      </c>
      <c r="I6" s="28" t="n">
        <f aca="false">H6*G6/3.6</f>
        <v>16.5595111111111</v>
      </c>
      <c r="J6" s="30" t="n">
        <v>2.56</v>
      </c>
      <c r="K6" s="30" t="n">
        <v>1.127</v>
      </c>
      <c r="L6" s="30" t="n">
        <v>1.223</v>
      </c>
      <c r="M6" s="30" t="n">
        <v>6.94</v>
      </c>
      <c r="N6" s="25" t="n">
        <v>0.697242536778031</v>
      </c>
      <c r="O6" s="17" t="n">
        <v>0</v>
      </c>
      <c r="P6" s="26" t="n">
        <v>0</v>
      </c>
      <c r="Q6" s="24" t="n">
        <f aca="false">IF(O6=1,1/(1+EXP(-(P6-Inputs!$B$12)/Inputs!$B$13)),0)</f>
        <v>0</v>
      </c>
      <c r="R6" s="24" t="n">
        <f aca="false">N6*O6</f>
        <v>0</v>
      </c>
      <c r="S6" s="12" t="n">
        <f aca="false">N6*Q6</f>
        <v>0</v>
      </c>
      <c r="T6" s="24" t="n">
        <f aca="false">N6^2</f>
        <v>0.486147155092664</v>
      </c>
    </row>
    <row r="7" customFormat="false" ht="15" hidden="false" customHeight="false" outlineLevel="0" collapsed="false">
      <c r="A7" s="5" t="s">
        <v>259</v>
      </c>
      <c r="B7" s="5" t="s">
        <v>138</v>
      </c>
      <c r="C7" s="5" t="s">
        <v>54</v>
      </c>
      <c r="D7" s="5" t="s">
        <v>62</v>
      </c>
      <c r="E7" s="5" t="s">
        <v>68</v>
      </c>
      <c r="F7" s="26" t="n">
        <v>28.04</v>
      </c>
      <c r="G7" s="26" t="n">
        <v>27.17</v>
      </c>
      <c r="H7" s="30" t="n">
        <v>3.567</v>
      </c>
      <c r="I7" s="28" t="n">
        <f aca="false">H7*G7/3.6</f>
        <v>26.9209416666667</v>
      </c>
      <c r="J7" s="30" t="n">
        <v>4.94</v>
      </c>
      <c r="K7" s="30" t="n">
        <v>1.296</v>
      </c>
      <c r="L7" s="30" t="n">
        <v>1.426</v>
      </c>
      <c r="M7" s="30" t="n">
        <v>6.34</v>
      </c>
      <c r="N7" s="25" t="n">
        <v>0.317196470344855</v>
      </c>
      <c r="O7" s="17" t="n">
        <v>0</v>
      </c>
      <c r="P7" s="26" t="n">
        <v>0</v>
      </c>
      <c r="Q7" s="24" t="n">
        <f aca="false">IF(O7=1,1/(1+EXP(-(P7-Inputs!$B$12)/Inputs!$B$13)),0)</f>
        <v>0</v>
      </c>
      <c r="R7" s="24" t="n">
        <f aca="false">N7*O7</f>
        <v>0</v>
      </c>
      <c r="S7" s="12" t="n">
        <f aca="false">N7*Q7</f>
        <v>0</v>
      </c>
      <c r="T7" s="24" t="n">
        <f aca="false">N7^2</f>
        <v>0.100613600799234</v>
      </c>
    </row>
    <row r="8" customFormat="false" ht="15" hidden="false" customHeight="false" outlineLevel="0" collapsed="false">
      <c r="A8" s="5" t="s">
        <v>260</v>
      </c>
      <c r="B8" s="5" t="s">
        <v>138</v>
      </c>
      <c r="C8" s="5" t="s">
        <v>54</v>
      </c>
      <c r="D8" s="5" t="s">
        <v>62</v>
      </c>
      <c r="E8" s="5" t="s">
        <v>68</v>
      </c>
      <c r="F8" s="26" t="n">
        <v>21.44</v>
      </c>
      <c r="G8" s="26" t="n">
        <v>19.65</v>
      </c>
      <c r="H8" s="30" t="n">
        <v>3.565</v>
      </c>
      <c r="I8" s="28" t="n">
        <f aca="false">H8*G8/3.6</f>
        <v>19.4589583333333</v>
      </c>
      <c r="J8" s="30" t="n">
        <v>2.69</v>
      </c>
      <c r="K8" s="30" t="n">
        <v>0.694</v>
      </c>
      <c r="L8" s="30" t="n">
        <v>1.327</v>
      </c>
      <c r="M8" s="30" t="n">
        <v>6.01</v>
      </c>
      <c r="N8" s="25" t="n">
        <v>1.58380599092117</v>
      </c>
      <c r="O8" s="17" t="n">
        <v>0</v>
      </c>
      <c r="P8" s="26" t="n">
        <v>0</v>
      </c>
      <c r="Q8" s="24" t="n">
        <f aca="false">IF(O8=1,1/(1+EXP(-(P8-Inputs!$B$12)/Inputs!$B$13)),0)</f>
        <v>0</v>
      </c>
      <c r="R8" s="24" t="n">
        <f aca="false">N8*O8</f>
        <v>0</v>
      </c>
      <c r="S8" s="12" t="n">
        <f aca="false">N8*Q8</f>
        <v>0</v>
      </c>
      <c r="T8" s="24" t="n">
        <f aca="false">N8^2</f>
        <v>2.50844141687778</v>
      </c>
    </row>
    <row r="9" customFormat="false" ht="15" hidden="false" customHeight="false" outlineLevel="0" collapsed="false">
      <c r="A9" s="5" t="s">
        <v>261</v>
      </c>
      <c r="B9" s="5" t="s">
        <v>138</v>
      </c>
      <c r="C9" s="5" t="s">
        <v>54</v>
      </c>
      <c r="D9" s="5" t="s">
        <v>62</v>
      </c>
      <c r="E9" s="5" t="s">
        <v>68</v>
      </c>
      <c r="F9" s="26" t="n">
        <v>33.74</v>
      </c>
      <c r="G9" s="26" t="n">
        <v>31.83</v>
      </c>
      <c r="H9" s="30" t="n">
        <v>5.628</v>
      </c>
      <c r="I9" s="28" t="n">
        <f aca="false">H9*G9/3.6</f>
        <v>49.7609</v>
      </c>
      <c r="J9" s="30" t="n">
        <v>3.61</v>
      </c>
      <c r="K9" s="30" t="n">
        <v>2.193</v>
      </c>
      <c r="L9" s="30" t="n">
        <v>1.31</v>
      </c>
      <c r="M9" s="30" t="n">
        <v>7.64</v>
      </c>
      <c r="N9" s="25" t="n">
        <v>0.321239792646717</v>
      </c>
      <c r="O9" s="17" t="n">
        <v>0</v>
      </c>
      <c r="P9" s="26" t="n">
        <v>0</v>
      </c>
      <c r="Q9" s="24" t="n">
        <f aca="false">IF(O9=1,1/(1+EXP(-(P9-Inputs!$B$12)/Inputs!$B$13)),0)</f>
        <v>0</v>
      </c>
      <c r="R9" s="24" t="n">
        <f aca="false">N9*O9</f>
        <v>0</v>
      </c>
      <c r="S9" s="12" t="n">
        <f aca="false">N9*Q9</f>
        <v>0</v>
      </c>
      <c r="T9" s="24" t="n">
        <f aca="false">N9^2</f>
        <v>0.103195004379706</v>
      </c>
    </row>
    <row r="10" customFormat="false" ht="15" hidden="false" customHeight="false" outlineLevel="0" collapsed="false">
      <c r="A10" s="5" t="s">
        <v>262</v>
      </c>
      <c r="B10" s="5" t="s">
        <v>138</v>
      </c>
      <c r="C10" s="5" t="s">
        <v>54</v>
      </c>
      <c r="D10" s="5" t="s">
        <v>62</v>
      </c>
      <c r="E10" s="5" t="s">
        <v>68</v>
      </c>
      <c r="F10" s="26" t="n">
        <v>21.99</v>
      </c>
      <c r="G10" s="26" t="n">
        <v>22.57</v>
      </c>
      <c r="H10" s="30" t="n">
        <v>3.313</v>
      </c>
      <c r="I10" s="28" t="n">
        <f aca="false">H10*G10/3.6</f>
        <v>20.7706694444444</v>
      </c>
      <c r="J10" s="30" t="n">
        <v>5.81</v>
      </c>
      <c r="K10" s="30" t="n">
        <v>1.103</v>
      </c>
      <c r="L10" s="30" t="n">
        <v>1.663</v>
      </c>
      <c r="M10" s="30" t="n">
        <v>5.78</v>
      </c>
      <c r="N10" s="25" t="n">
        <v>0.286667745937814</v>
      </c>
      <c r="O10" s="17" t="n">
        <v>0</v>
      </c>
      <c r="P10" s="26" t="n">
        <v>0</v>
      </c>
      <c r="Q10" s="24" t="n">
        <f aca="false">IF(O10=1,1/(1+EXP(-(P10-Inputs!$B$12)/Inputs!$B$13)),0)</f>
        <v>0</v>
      </c>
      <c r="R10" s="24" t="n">
        <f aca="false">N10*O10</f>
        <v>0</v>
      </c>
      <c r="S10" s="12" t="n">
        <f aca="false">N10*Q10</f>
        <v>0</v>
      </c>
      <c r="T10" s="24" t="n">
        <f aca="false">N10^2</f>
        <v>0.0821783965610671</v>
      </c>
    </row>
    <row r="11" customFormat="false" ht="15" hidden="false" customHeight="false" outlineLevel="0" collapsed="false">
      <c r="A11" s="5" t="s">
        <v>263</v>
      </c>
      <c r="B11" s="5" t="s">
        <v>138</v>
      </c>
      <c r="C11" s="5" t="s">
        <v>54</v>
      </c>
      <c r="D11" s="5" t="s">
        <v>62</v>
      </c>
      <c r="E11" s="5" t="s">
        <v>68</v>
      </c>
      <c r="F11" s="26" t="n">
        <v>31.43</v>
      </c>
      <c r="G11" s="26" t="n">
        <v>32.11</v>
      </c>
      <c r="H11" s="30" t="n">
        <v>4.427</v>
      </c>
      <c r="I11" s="28" t="n">
        <f aca="false">H11*G11/3.6</f>
        <v>39.4863805555556</v>
      </c>
      <c r="J11" s="30" t="n">
        <v>4.55</v>
      </c>
      <c r="K11" s="30" t="n">
        <v>2.326</v>
      </c>
      <c r="L11" s="30" t="n">
        <v>1.951</v>
      </c>
      <c r="M11" s="30" t="n">
        <v>3.76</v>
      </c>
      <c r="N11" s="25" t="n">
        <v>0.0790870473401617</v>
      </c>
      <c r="O11" s="17" t="n">
        <v>0</v>
      </c>
      <c r="P11" s="26" t="n">
        <v>0</v>
      </c>
      <c r="Q11" s="24" t="n">
        <f aca="false">IF(O11=1,1/(1+EXP(-(P11-Inputs!$B$12)/Inputs!$B$13)),0)</f>
        <v>0</v>
      </c>
      <c r="R11" s="24" t="n">
        <f aca="false">N11*O11</f>
        <v>0</v>
      </c>
      <c r="S11" s="12" t="n">
        <f aca="false">N11*Q11</f>
        <v>0</v>
      </c>
      <c r="T11" s="24" t="n">
        <f aca="false">N11^2</f>
        <v>0.00625476105698497</v>
      </c>
    </row>
    <row r="12" customFormat="false" ht="15" hidden="false" customHeight="false" outlineLevel="0" collapsed="false">
      <c r="A12" s="5" t="s">
        <v>264</v>
      </c>
      <c r="B12" s="5" t="s">
        <v>138</v>
      </c>
      <c r="C12" s="5" t="s">
        <v>54</v>
      </c>
      <c r="D12" s="5" t="s">
        <v>62</v>
      </c>
      <c r="E12" s="5" t="s">
        <v>68</v>
      </c>
      <c r="F12" s="26" t="n">
        <v>34.06</v>
      </c>
      <c r="G12" s="26" t="n">
        <v>34.32</v>
      </c>
      <c r="H12" s="30" t="n">
        <v>4.973</v>
      </c>
      <c r="I12" s="28" t="n">
        <f aca="false">H12*G12/3.6</f>
        <v>47.4092666666667</v>
      </c>
      <c r="J12" s="30" t="n">
        <v>2.77</v>
      </c>
      <c r="K12" s="30" t="n">
        <v>1.161</v>
      </c>
      <c r="L12" s="30" t="n">
        <v>0.843</v>
      </c>
      <c r="M12" s="30" t="n">
        <v>5.57</v>
      </c>
      <c r="N12" s="25" t="n">
        <v>2.2386808636523</v>
      </c>
      <c r="O12" s="17" t="n">
        <v>0</v>
      </c>
      <c r="P12" s="26" t="n">
        <v>0</v>
      </c>
      <c r="Q12" s="24" t="n">
        <f aca="false">IF(O12=1,1/(1+EXP(-(P12-Inputs!$B$12)/Inputs!$B$13)),0)</f>
        <v>0</v>
      </c>
      <c r="R12" s="24" t="n">
        <f aca="false">N12*O12</f>
        <v>0</v>
      </c>
      <c r="S12" s="12" t="n">
        <f aca="false">N12*Q12</f>
        <v>0</v>
      </c>
      <c r="T12" s="24" t="n">
        <f aca="false">N12^2</f>
        <v>5.011692009283</v>
      </c>
    </row>
    <row r="13" customFormat="false" ht="15" hidden="false" customHeight="false" outlineLevel="0" collapsed="false">
      <c r="A13" s="5" t="s">
        <v>265</v>
      </c>
      <c r="B13" s="5" t="s">
        <v>138</v>
      </c>
      <c r="C13" s="5" t="s">
        <v>54</v>
      </c>
      <c r="D13" s="5" t="s">
        <v>62</v>
      </c>
      <c r="E13" s="5" t="s">
        <v>68</v>
      </c>
      <c r="F13" s="26" t="n">
        <v>23.26</v>
      </c>
      <c r="G13" s="26" t="n">
        <v>23.64</v>
      </c>
      <c r="H13" s="30" t="n">
        <v>3.677</v>
      </c>
      <c r="I13" s="28" t="n">
        <f aca="false">H13*G13/3.6</f>
        <v>24.1456333333333</v>
      </c>
      <c r="J13" s="30" t="n">
        <v>4.18</v>
      </c>
      <c r="K13" s="30" t="n">
        <v>2.83</v>
      </c>
      <c r="L13" s="30" t="n">
        <v>1.088</v>
      </c>
      <c r="M13" s="30" t="n">
        <v>6.03</v>
      </c>
      <c r="N13" s="25" t="n">
        <v>0.186542408256682</v>
      </c>
      <c r="O13" s="17" t="n">
        <v>0</v>
      </c>
      <c r="P13" s="26" t="n">
        <v>0</v>
      </c>
      <c r="Q13" s="24" t="n">
        <f aca="false">IF(O13=1,1/(1+EXP(-(P13-Inputs!$B$12)/Inputs!$B$13)),0)</f>
        <v>0</v>
      </c>
      <c r="R13" s="24" t="n">
        <f aca="false">N13*O13</f>
        <v>0</v>
      </c>
      <c r="S13" s="12" t="n">
        <f aca="false">N13*Q13</f>
        <v>0</v>
      </c>
      <c r="T13" s="24" t="n">
        <f aca="false">N13^2</f>
        <v>0.0347980700782027</v>
      </c>
    </row>
    <row r="14" customFormat="false" ht="15" hidden="false" customHeight="false" outlineLevel="0" collapsed="false">
      <c r="A14" s="5" t="s">
        <v>266</v>
      </c>
      <c r="B14" s="5" t="s">
        <v>138</v>
      </c>
      <c r="C14" s="5" t="s">
        <v>54</v>
      </c>
      <c r="D14" s="5" t="s">
        <v>62</v>
      </c>
      <c r="E14" s="5" t="s">
        <v>68</v>
      </c>
      <c r="F14" s="26" t="n">
        <v>31.92</v>
      </c>
      <c r="G14" s="26" t="n">
        <v>30.59</v>
      </c>
      <c r="H14" s="30" t="n">
        <v>3.654</v>
      </c>
      <c r="I14" s="28" t="n">
        <f aca="false">H14*G14/3.6</f>
        <v>31.04885</v>
      </c>
      <c r="J14" s="30" t="n">
        <v>4.35</v>
      </c>
      <c r="K14" s="30" t="n">
        <v>2.015</v>
      </c>
      <c r="L14" s="30" t="n">
        <v>1.396</v>
      </c>
      <c r="M14" s="30" t="n">
        <v>3.81</v>
      </c>
      <c r="N14" s="25" t="n">
        <v>0.320482995152446</v>
      </c>
      <c r="O14" s="17" t="n">
        <v>0</v>
      </c>
      <c r="P14" s="26" t="n">
        <v>0</v>
      </c>
      <c r="Q14" s="24" t="n">
        <f aca="false">IF(O14=1,1/(1+EXP(-(P14-Inputs!$B$12)/Inputs!$B$13)),0)</f>
        <v>0</v>
      </c>
      <c r="R14" s="24" t="n">
        <f aca="false">N14*O14</f>
        <v>0</v>
      </c>
      <c r="S14" s="12" t="n">
        <f aca="false">N14*Q14</f>
        <v>0</v>
      </c>
      <c r="T14" s="24" t="n">
        <f aca="false">N14^2</f>
        <v>0.102709350181883</v>
      </c>
    </row>
    <row r="15" customFormat="false" ht="15" hidden="false" customHeight="false" outlineLevel="0" collapsed="false">
      <c r="A15" s="5" t="s">
        <v>267</v>
      </c>
      <c r="B15" s="5" t="s">
        <v>138</v>
      </c>
      <c r="C15" s="5" t="s">
        <v>54</v>
      </c>
      <c r="D15" s="5" t="s">
        <v>62</v>
      </c>
      <c r="E15" s="5" t="s">
        <v>68</v>
      </c>
      <c r="F15" s="26" t="n">
        <v>34.51</v>
      </c>
      <c r="G15" s="26" t="n">
        <v>36.7</v>
      </c>
      <c r="H15" s="30" t="n">
        <v>3.985</v>
      </c>
      <c r="I15" s="28" t="n">
        <f aca="false">H15*G15/3.6</f>
        <v>40.6248611111111</v>
      </c>
      <c r="J15" s="30" t="n">
        <v>4</v>
      </c>
      <c r="K15" s="30" t="n">
        <v>1.902</v>
      </c>
      <c r="L15" s="30" t="n">
        <v>1.606</v>
      </c>
      <c r="M15" s="30" t="n">
        <v>4.75</v>
      </c>
      <c r="N15" s="25" t="n">
        <v>0.1373488587737</v>
      </c>
      <c r="O15" s="17" t="n">
        <v>0</v>
      </c>
      <c r="P15" s="26" t="n">
        <v>0</v>
      </c>
      <c r="Q15" s="24" t="n">
        <f aca="false">IF(O15=1,1/(1+EXP(-(P15-Inputs!$B$12)/Inputs!$B$13)),0)</f>
        <v>0</v>
      </c>
      <c r="R15" s="24" t="n">
        <f aca="false">N15*O15</f>
        <v>0</v>
      </c>
      <c r="S15" s="12" t="n">
        <f aca="false">N15*Q15</f>
        <v>0</v>
      </c>
      <c r="T15" s="24" t="n">
        <f aca="false">N15^2</f>
        <v>0.0188647090064377</v>
      </c>
    </row>
    <row r="16" customFormat="false" ht="15" hidden="false" customHeight="false" outlineLevel="0" collapsed="false">
      <c r="A16" s="5" t="s">
        <v>268</v>
      </c>
      <c r="B16" s="5" t="s">
        <v>139</v>
      </c>
      <c r="C16" s="5" t="s">
        <v>54</v>
      </c>
      <c r="D16" s="5" t="s">
        <v>62</v>
      </c>
      <c r="E16" s="5" t="s">
        <v>70</v>
      </c>
      <c r="F16" s="26" t="n">
        <v>28.01</v>
      </c>
      <c r="G16" s="26" t="n">
        <v>27.03</v>
      </c>
      <c r="H16" s="30" t="n">
        <v>2.281</v>
      </c>
      <c r="I16" s="28" t="n">
        <f aca="false">H16*G16/3.6</f>
        <v>17.1265083333333</v>
      </c>
      <c r="J16" s="30" t="n">
        <v>5.96</v>
      </c>
      <c r="K16" s="30" t="n">
        <v>1.008</v>
      </c>
      <c r="L16" s="30" t="n">
        <v>1.018</v>
      </c>
      <c r="M16" s="30" t="n">
        <v>7.48</v>
      </c>
      <c r="N16" s="25" t="n">
        <v>1.0783533602721</v>
      </c>
      <c r="O16" s="17" t="n">
        <v>0</v>
      </c>
      <c r="P16" s="26" t="n">
        <v>0</v>
      </c>
      <c r="Q16" s="24" t="n">
        <f aca="false">IF(O16=1,1/(1+EXP(-(P16-Inputs!$B$12)/Inputs!$B$13)),0)</f>
        <v>0</v>
      </c>
      <c r="R16" s="24" t="n">
        <f aca="false">N16*O16</f>
        <v>0</v>
      </c>
      <c r="S16" s="12" t="n">
        <f aca="false">N16*Q16</f>
        <v>0</v>
      </c>
      <c r="T16" s="24" t="n">
        <f aca="false">N16^2</f>
        <v>1.16284596961013</v>
      </c>
    </row>
    <row r="17" customFormat="false" ht="15" hidden="false" customHeight="false" outlineLevel="0" collapsed="false">
      <c r="A17" s="5" t="s">
        <v>269</v>
      </c>
      <c r="B17" s="5" t="s">
        <v>139</v>
      </c>
      <c r="C17" s="5" t="s">
        <v>54</v>
      </c>
      <c r="D17" s="5" t="s">
        <v>62</v>
      </c>
      <c r="E17" s="5" t="s">
        <v>70</v>
      </c>
      <c r="F17" s="26" t="n">
        <v>20.08</v>
      </c>
      <c r="G17" s="26" t="n">
        <v>18.37</v>
      </c>
      <c r="H17" s="30" t="n">
        <v>2.534</v>
      </c>
      <c r="I17" s="28" t="n">
        <f aca="false">H17*G17/3.6</f>
        <v>12.9304388888889</v>
      </c>
      <c r="J17" s="30" t="n">
        <v>4.15</v>
      </c>
      <c r="K17" s="30" t="n">
        <v>1.242</v>
      </c>
      <c r="L17" s="30" t="n">
        <v>1.581</v>
      </c>
      <c r="M17" s="30" t="n">
        <v>7.59</v>
      </c>
      <c r="N17" s="25" t="n">
        <v>0.243697132318491</v>
      </c>
      <c r="O17" s="17" t="n">
        <v>0</v>
      </c>
      <c r="P17" s="26" t="n">
        <v>0</v>
      </c>
      <c r="Q17" s="24" t="n">
        <f aca="false">IF(O17=1,1/(1+EXP(-(P17-Inputs!$B$12)/Inputs!$B$13)),0)</f>
        <v>0</v>
      </c>
      <c r="R17" s="24" t="n">
        <f aca="false">N17*O17</f>
        <v>0</v>
      </c>
      <c r="S17" s="12" t="n">
        <f aca="false">N17*Q17</f>
        <v>0</v>
      </c>
      <c r="T17" s="24" t="n">
        <f aca="false">N17^2</f>
        <v>0.0593882923002561</v>
      </c>
    </row>
    <row r="18" customFormat="false" ht="15" hidden="false" customHeight="false" outlineLevel="0" collapsed="false">
      <c r="A18" s="5" t="s">
        <v>270</v>
      </c>
      <c r="B18" s="5" t="s">
        <v>139</v>
      </c>
      <c r="C18" s="5" t="s">
        <v>54</v>
      </c>
      <c r="D18" s="5" t="s">
        <v>62</v>
      </c>
      <c r="E18" s="5" t="s">
        <v>70</v>
      </c>
      <c r="F18" s="26" t="n">
        <v>28.5</v>
      </c>
      <c r="G18" s="26" t="n">
        <v>30.88</v>
      </c>
      <c r="H18" s="30" t="n">
        <v>2.722</v>
      </c>
      <c r="I18" s="28" t="n">
        <f aca="false">H18*G18/3.6</f>
        <v>23.3487111111111</v>
      </c>
      <c r="J18" s="30" t="n">
        <v>4.63</v>
      </c>
      <c r="K18" s="30" t="n">
        <v>0.872</v>
      </c>
      <c r="L18" s="30" t="n">
        <v>1.339</v>
      </c>
      <c r="M18" s="30" t="n">
        <v>6.64</v>
      </c>
      <c r="N18" s="25" t="n">
        <v>1.50755947501084</v>
      </c>
      <c r="O18" s="17" t="n">
        <v>0</v>
      </c>
      <c r="P18" s="26" t="n">
        <v>0</v>
      </c>
      <c r="Q18" s="24" t="n">
        <f aca="false">IF(O18=1,1/(1+EXP(-(P18-Inputs!$B$12)/Inputs!$B$13)),0)</f>
        <v>0</v>
      </c>
      <c r="R18" s="24" t="n">
        <f aca="false">N18*O18</f>
        <v>0</v>
      </c>
      <c r="S18" s="12" t="n">
        <f aca="false">N18*Q18</f>
        <v>0</v>
      </c>
      <c r="T18" s="24" t="n">
        <f aca="false">N18^2</f>
        <v>2.27273557069497</v>
      </c>
    </row>
    <row r="19" customFormat="false" ht="15" hidden="false" customHeight="false" outlineLevel="0" collapsed="false">
      <c r="A19" s="5" t="s">
        <v>271</v>
      </c>
      <c r="B19" s="5" t="s">
        <v>139</v>
      </c>
      <c r="C19" s="5" t="s">
        <v>54</v>
      </c>
      <c r="D19" s="5" t="s">
        <v>62</v>
      </c>
      <c r="E19" s="5" t="s">
        <v>70</v>
      </c>
      <c r="F19" s="26" t="n">
        <v>20.69</v>
      </c>
      <c r="G19" s="26" t="n">
        <v>21.22</v>
      </c>
      <c r="H19" s="30" t="n">
        <v>2.01</v>
      </c>
      <c r="I19" s="28" t="n">
        <f aca="false">H19*G19/3.6</f>
        <v>11.8478333333333</v>
      </c>
      <c r="J19" s="30" t="n">
        <v>5.33</v>
      </c>
      <c r="K19" s="30" t="n">
        <v>2.354</v>
      </c>
      <c r="L19" s="30" t="n">
        <v>1.491</v>
      </c>
      <c r="M19" s="30" t="n">
        <v>5.9</v>
      </c>
      <c r="N19" s="25" t="n">
        <v>0.131332582871302</v>
      </c>
      <c r="O19" s="17" t="n">
        <v>0</v>
      </c>
      <c r="P19" s="26" t="n">
        <v>0</v>
      </c>
      <c r="Q19" s="24" t="n">
        <f aca="false">IF(O19=1,1/(1+EXP(-(P19-Inputs!$B$12)/Inputs!$B$13)),0)</f>
        <v>0</v>
      </c>
      <c r="R19" s="24" t="n">
        <f aca="false">N19*O19</f>
        <v>0</v>
      </c>
      <c r="S19" s="12" t="n">
        <f aca="false">N19*Q19</f>
        <v>0</v>
      </c>
      <c r="T19" s="24" t="n">
        <f aca="false">N19^2</f>
        <v>0.0172482473236475</v>
      </c>
    </row>
    <row r="20" customFormat="false" ht="15" hidden="false" customHeight="false" outlineLevel="0" collapsed="false">
      <c r="A20" s="5" t="s">
        <v>272</v>
      </c>
      <c r="B20" s="5" t="s">
        <v>139</v>
      </c>
      <c r="C20" s="5" t="s">
        <v>54</v>
      </c>
      <c r="D20" s="5" t="s">
        <v>62</v>
      </c>
      <c r="E20" s="5" t="s">
        <v>70</v>
      </c>
      <c r="F20" s="26" t="n">
        <v>23.56</v>
      </c>
      <c r="G20" s="26" t="n">
        <v>20.8</v>
      </c>
      <c r="H20" s="30" t="n">
        <v>2.478</v>
      </c>
      <c r="I20" s="28" t="n">
        <f aca="false">H20*G20/3.6</f>
        <v>14.3173333333333</v>
      </c>
      <c r="J20" s="30" t="n">
        <v>4.94</v>
      </c>
      <c r="K20" s="30" t="n">
        <v>1.213</v>
      </c>
      <c r="L20" s="30" t="n">
        <v>1.002</v>
      </c>
      <c r="M20" s="30" t="n">
        <v>7.7</v>
      </c>
      <c r="N20" s="25" t="n">
        <v>0.904130914403021</v>
      </c>
      <c r="O20" s="17" t="n">
        <v>0</v>
      </c>
      <c r="P20" s="26" t="n">
        <v>0</v>
      </c>
      <c r="Q20" s="24" t="n">
        <f aca="false">IF(O20=1,1/(1+EXP(-(P20-Inputs!$B$12)/Inputs!$B$13)),0)</f>
        <v>0</v>
      </c>
      <c r="R20" s="24" t="n">
        <f aca="false">N20*O20</f>
        <v>0</v>
      </c>
      <c r="S20" s="12" t="n">
        <f aca="false">N20*Q20</f>
        <v>0</v>
      </c>
      <c r="T20" s="24" t="n">
        <f aca="false">N20^2</f>
        <v>0.817452710379242</v>
      </c>
    </row>
    <row r="21" customFormat="false" ht="15" hidden="false" customHeight="false" outlineLevel="0" collapsed="false">
      <c r="A21" s="5" t="s">
        <v>273</v>
      </c>
      <c r="B21" s="5" t="s">
        <v>139</v>
      </c>
      <c r="C21" s="5" t="s">
        <v>54</v>
      </c>
      <c r="D21" s="5" t="s">
        <v>62</v>
      </c>
      <c r="E21" s="5" t="s">
        <v>70</v>
      </c>
      <c r="F21" s="26" t="n">
        <v>25.5</v>
      </c>
      <c r="G21" s="26" t="n">
        <v>27.8</v>
      </c>
      <c r="H21" s="30" t="n">
        <v>2.034</v>
      </c>
      <c r="I21" s="28" t="n">
        <f aca="false">H21*G21/3.6</f>
        <v>15.707</v>
      </c>
      <c r="J21" s="30" t="n">
        <v>2.57</v>
      </c>
      <c r="K21" s="30" t="n">
        <v>1.737</v>
      </c>
      <c r="L21" s="30" t="n">
        <v>1.27</v>
      </c>
      <c r="M21" s="30" t="n">
        <v>7.07</v>
      </c>
      <c r="N21" s="25" t="n">
        <v>0.26077854961942</v>
      </c>
      <c r="O21" s="17" t="n">
        <v>0</v>
      </c>
      <c r="P21" s="26" t="n">
        <v>0</v>
      </c>
      <c r="Q21" s="24" t="n">
        <f aca="false">IF(O21=1,1/(1+EXP(-(P21-Inputs!$B$12)/Inputs!$B$13)),0)</f>
        <v>0</v>
      </c>
      <c r="R21" s="24" t="n">
        <f aca="false">N21*O21</f>
        <v>0</v>
      </c>
      <c r="S21" s="12" t="n">
        <f aca="false">N21*Q21</f>
        <v>0</v>
      </c>
      <c r="T21" s="24" t="n">
        <f aca="false">N21^2</f>
        <v>0.0680054519416085</v>
      </c>
    </row>
    <row r="22" customFormat="false" ht="15" hidden="false" customHeight="false" outlineLevel="0" collapsed="false">
      <c r="A22" s="5" t="s">
        <v>274</v>
      </c>
      <c r="B22" s="5" t="s">
        <v>139</v>
      </c>
      <c r="C22" s="5" t="s">
        <v>54</v>
      </c>
      <c r="D22" s="5" t="s">
        <v>62</v>
      </c>
      <c r="E22" s="5" t="s">
        <v>70</v>
      </c>
      <c r="F22" s="26" t="n">
        <v>29.81</v>
      </c>
      <c r="G22" s="26" t="n">
        <v>28.49</v>
      </c>
      <c r="H22" s="30" t="n">
        <v>2.635</v>
      </c>
      <c r="I22" s="28" t="n">
        <f aca="false">H22*G22/3.6</f>
        <v>20.8530972222222</v>
      </c>
      <c r="J22" s="30" t="n">
        <v>3.77</v>
      </c>
      <c r="K22" s="30" t="n">
        <v>0.951</v>
      </c>
      <c r="L22" s="30" t="n">
        <v>1.214</v>
      </c>
      <c r="M22" s="30" t="n">
        <v>6.52</v>
      </c>
      <c r="N22" s="25" t="n">
        <v>1.39921262194115</v>
      </c>
      <c r="O22" s="17" t="n">
        <v>0</v>
      </c>
      <c r="P22" s="26" t="n">
        <v>0</v>
      </c>
      <c r="Q22" s="24" t="n">
        <f aca="false">IF(O22=1,1/(1+EXP(-(P22-Inputs!$B$12)/Inputs!$B$13)),0)</f>
        <v>0</v>
      </c>
      <c r="R22" s="24" t="n">
        <f aca="false">N22*O22</f>
        <v>0</v>
      </c>
      <c r="S22" s="12" t="n">
        <f aca="false">N22*Q22</f>
        <v>0</v>
      </c>
      <c r="T22" s="24" t="n">
        <f aca="false">N22^2</f>
        <v>1.95779596139944</v>
      </c>
    </row>
    <row r="23" customFormat="false" ht="15" hidden="false" customHeight="false" outlineLevel="0" collapsed="false">
      <c r="A23" s="5" t="s">
        <v>275</v>
      </c>
      <c r="B23" s="5" t="s">
        <v>139</v>
      </c>
      <c r="C23" s="5" t="s">
        <v>54</v>
      </c>
      <c r="D23" s="5" t="s">
        <v>62</v>
      </c>
      <c r="E23" s="5" t="s">
        <v>70</v>
      </c>
      <c r="F23" s="26" t="n">
        <v>21.01</v>
      </c>
      <c r="G23" s="26" t="n">
        <v>19.57</v>
      </c>
      <c r="H23" s="30" t="n">
        <v>2.632</v>
      </c>
      <c r="I23" s="28" t="n">
        <f aca="false">H23*G23/3.6</f>
        <v>14.3078444444444</v>
      </c>
      <c r="J23" s="30" t="n">
        <v>2.54</v>
      </c>
      <c r="K23" s="30" t="n">
        <v>1.237</v>
      </c>
      <c r="L23" s="30" t="n">
        <v>0.834</v>
      </c>
      <c r="M23" s="30" t="n">
        <v>4.3</v>
      </c>
      <c r="N23" s="25" t="n">
        <v>3.78923524695233</v>
      </c>
      <c r="O23" s="17" t="n">
        <v>0</v>
      </c>
      <c r="P23" s="26" t="n">
        <v>0</v>
      </c>
      <c r="Q23" s="24" t="n">
        <f aca="false">IF(O23=1,1/(1+EXP(-(P23-Inputs!$B$12)/Inputs!$B$13)),0)</f>
        <v>0</v>
      </c>
      <c r="R23" s="24" t="n">
        <f aca="false">N23*O23</f>
        <v>0</v>
      </c>
      <c r="S23" s="12" t="n">
        <f aca="false">N23*Q23</f>
        <v>0</v>
      </c>
      <c r="T23" s="24" t="n">
        <f aca="false">N23^2</f>
        <v>14.3583037567459</v>
      </c>
    </row>
    <row r="24" customFormat="false" ht="15" hidden="false" customHeight="false" outlineLevel="0" collapsed="false">
      <c r="A24" s="5" t="s">
        <v>276</v>
      </c>
      <c r="B24" s="5" t="s">
        <v>139</v>
      </c>
      <c r="C24" s="5" t="s">
        <v>54</v>
      </c>
      <c r="D24" s="5" t="s">
        <v>62</v>
      </c>
      <c r="E24" s="5" t="s">
        <v>70</v>
      </c>
      <c r="F24" s="26" t="n">
        <v>27.32</v>
      </c>
      <c r="G24" s="26" t="n">
        <v>25.47</v>
      </c>
      <c r="H24" s="30" t="n">
        <v>2.054</v>
      </c>
      <c r="I24" s="28" t="n">
        <f aca="false">H24*G24/3.6</f>
        <v>14.53205</v>
      </c>
      <c r="J24" s="30" t="n">
        <v>3.85</v>
      </c>
      <c r="K24" s="30" t="n">
        <v>1.134</v>
      </c>
      <c r="L24" s="30" t="n">
        <v>2.302</v>
      </c>
      <c r="M24" s="30" t="n">
        <v>5.94</v>
      </c>
      <c r="N24" s="25" t="n">
        <v>0.0561108296940118</v>
      </c>
      <c r="O24" s="17" t="n">
        <v>0</v>
      </c>
      <c r="P24" s="26" t="n">
        <v>0</v>
      </c>
      <c r="Q24" s="24" t="n">
        <f aca="false">IF(O24=1,1/(1+EXP(-(P24-Inputs!$B$12)/Inputs!$B$13)),0)</f>
        <v>0</v>
      </c>
      <c r="R24" s="24" t="n">
        <f aca="false">N24*O24</f>
        <v>0</v>
      </c>
      <c r="S24" s="12" t="n">
        <f aca="false">N24*Q24</f>
        <v>0</v>
      </c>
      <c r="T24" s="24" t="n">
        <f aca="false">N24^2</f>
        <v>0.0031484252089504</v>
      </c>
    </row>
    <row r="25" customFormat="false" ht="15" hidden="false" customHeight="false" outlineLevel="0" collapsed="false">
      <c r="A25" s="5" t="s">
        <v>277</v>
      </c>
      <c r="B25" s="5" t="s">
        <v>139</v>
      </c>
      <c r="C25" s="5" t="s">
        <v>54</v>
      </c>
      <c r="D25" s="5" t="s">
        <v>62</v>
      </c>
      <c r="E25" s="5" t="s">
        <v>70</v>
      </c>
      <c r="F25" s="26" t="n">
        <v>31.34</v>
      </c>
      <c r="G25" s="26" t="n">
        <v>32.52</v>
      </c>
      <c r="H25" s="30" t="n">
        <v>2.282</v>
      </c>
      <c r="I25" s="28" t="n">
        <f aca="false">H25*G25/3.6</f>
        <v>20.6140666666667</v>
      </c>
      <c r="J25" s="30" t="n">
        <v>4.16</v>
      </c>
      <c r="K25" s="30" t="n">
        <v>0.247</v>
      </c>
      <c r="L25" s="30" t="n">
        <v>1.278</v>
      </c>
      <c r="M25" s="30" t="n">
        <v>5.49</v>
      </c>
      <c r="N25" s="25" t="n">
        <v>14.0342578425593</v>
      </c>
      <c r="O25" s="17" t="n">
        <v>0</v>
      </c>
      <c r="P25" s="26" t="n">
        <v>0</v>
      </c>
      <c r="Q25" s="24" t="n">
        <f aca="false">IF(O25=1,1/(1+EXP(-(P25-Inputs!$B$12)/Inputs!$B$13)),0)</f>
        <v>0</v>
      </c>
      <c r="R25" s="24" t="n">
        <f aca="false">N25*O25</f>
        <v>0</v>
      </c>
      <c r="S25" s="12" t="n">
        <f aca="false">N25*Q25</f>
        <v>0</v>
      </c>
      <c r="T25" s="24" t="n">
        <f aca="false">N25^2</f>
        <v>196.960393191438</v>
      </c>
    </row>
    <row r="26" customFormat="false" ht="15" hidden="false" customHeight="false" outlineLevel="0" collapsed="false">
      <c r="A26" s="5" t="s">
        <v>278</v>
      </c>
      <c r="B26" s="5" t="s">
        <v>140</v>
      </c>
      <c r="C26" s="5" t="s">
        <v>54</v>
      </c>
      <c r="D26" s="5" t="s">
        <v>62</v>
      </c>
      <c r="E26" s="5" t="s">
        <v>71</v>
      </c>
      <c r="F26" s="26" t="n">
        <v>20.7</v>
      </c>
      <c r="G26" s="26" t="n">
        <v>20.06</v>
      </c>
      <c r="H26" s="30" t="n">
        <v>1.502</v>
      </c>
      <c r="I26" s="28" t="n">
        <f aca="false">H26*G26/3.6</f>
        <v>8.36947777777778</v>
      </c>
      <c r="J26" s="30" t="n">
        <v>4.1</v>
      </c>
      <c r="K26" s="30" t="n">
        <v>1.167</v>
      </c>
      <c r="L26" s="30" t="n">
        <v>1.581</v>
      </c>
      <c r="M26" s="30" t="n">
        <v>6.57</v>
      </c>
      <c r="N26" s="25" t="n">
        <v>0.368920180644567</v>
      </c>
      <c r="O26" s="17" t="n">
        <v>0</v>
      </c>
      <c r="P26" s="26" t="n">
        <v>0</v>
      </c>
      <c r="Q26" s="24" t="n">
        <f aca="false">IF(O26=1,1/(1+EXP(-(P26-Inputs!$B$12)/Inputs!$B$13)),0)</f>
        <v>0</v>
      </c>
      <c r="R26" s="24" t="n">
        <f aca="false">N26*O26</f>
        <v>0</v>
      </c>
      <c r="S26" s="12" t="n">
        <f aca="false">N26*Q26</f>
        <v>0</v>
      </c>
      <c r="T26" s="24" t="n">
        <f aca="false">N26^2</f>
        <v>0.13610209968682</v>
      </c>
    </row>
    <row r="27" customFormat="false" ht="15" hidden="false" customHeight="false" outlineLevel="0" collapsed="false">
      <c r="A27" s="5" t="s">
        <v>279</v>
      </c>
      <c r="B27" s="5" t="s">
        <v>140</v>
      </c>
      <c r="C27" s="5" t="s">
        <v>54</v>
      </c>
      <c r="D27" s="5" t="s">
        <v>62</v>
      </c>
      <c r="E27" s="5" t="s">
        <v>71</v>
      </c>
      <c r="F27" s="26" t="n">
        <v>32.12</v>
      </c>
      <c r="G27" s="26" t="n">
        <v>35.59</v>
      </c>
      <c r="H27" s="30" t="n">
        <v>1.588</v>
      </c>
      <c r="I27" s="28" t="n">
        <f aca="false">H27*G27/3.6</f>
        <v>15.6991444444444</v>
      </c>
      <c r="J27" s="30" t="n">
        <v>3.39</v>
      </c>
      <c r="K27" s="30" t="n">
        <v>0.859</v>
      </c>
      <c r="L27" s="30" t="n">
        <v>1.308</v>
      </c>
      <c r="M27" s="30" t="n">
        <v>7.82</v>
      </c>
      <c r="N27" s="25" t="n">
        <v>0.5005165111883</v>
      </c>
      <c r="O27" s="17" t="n">
        <v>0</v>
      </c>
      <c r="P27" s="26" t="n">
        <v>0</v>
      </c>
      <c r="Q27" s="24" t="n">
        <f aca="false">IF(O27=1,1/(1+EXP(-(P27-Inputs!$B$12)/Inputs!$B$13)),0)</f>
        <v>0</v>
      </c>
      <c r="R27" s="24" t="n">
        <f aca="false">N27*O27</f>
        <v>0</v>
      </c>
      <c r="S27" s="12" t="n">
        <f aca="false">N27*Q27</f>
        <v>0</v>
      </c>
      <c r="T27" s="24" t="n">
        <f aca="false">N27^2</f>
        <v>0.250516777972108</v>
      </c>
    </row>
    <row r="28" customFormat="false" ht="15" hidden="false" customHeight="false" outlineLevel="0" collapsed="false">
      <c r="A28" s="5" t="s">
        <v>280</v>
      </c>
      <c r="B28" s="5" t="s">
        <v>140</v>
      </c>
      <c r="C28" s="5" t="s">
        <v>54</v>
      </c>
      <c r="D28" s="5" t="s">
        <v>62</v>
      </c>
      <c r="E28" s="5" t="s">
        <v>71</v>
      </c>
      <c r="F28" s="26" t="n">
        <v>32.61</v>
      </c>
      <c r="G28" s="26" t="n">
        <v>34.36</v>
      </c>
      <c r="H28" s="30" t="n">
        <v>1.687</v>
      </c>
      <c r="I28" s="28" t="n">
        <f aca="false">H28*G28/3.6</f>
        <v>16.1014777777778</v>
      </c>
      <c r="J28" s="30" t="n">
        <v>3.93</v>
      </c>
      <c r="K28" s="30" t="n">
        <v>1.903</v>
      </c>
      <c r="L28" s="30" t="n">
        <v>1.934</v>
      </c>
      <c r="M28" s="30" t="n">
        <v>4.04</v>
      </c>
      <c r="N28" s="25" t="n">
        <v>0.0901369305017427</v>
      </c>
      <c r="O28" s="17" t="n">
        <v>1</v>
      </c>
      <c r="P28" s="26" t="n">
        <v>3.92</v>
      </c>
      <c r="Q28" s="24" t="n">
        <f aca="false">IF(O28=1,1/(1+EXP(-(P28-Inputs!$B$12)/Inputs!$B$13)),0)</f>
        <v>0.00281894000549421</v>
      </c>
      <c r="R28" s="24" t="n">
        <f aca="false">N28*O28</f>
        <v>0.0901369305017427</v>
      </c>
      <c r="S28" s="12" t="n">
        <f aca="false">N28*Q28</f>
        <v>0.000254090599363814</v>
      </c>
      <c r="T28" s="24" t="n">
        <f aca="false">N28^2</f>
        <v>0.00812466624027598</v>
      </c>
    </row>
    <row r="29" customFormat="false" ht="15" hidden="false" customHeight="false" outlineLevel="0" collapsed="false">
      <c r="A29" s="5" t="s">
        <v>281</v>
      </c>
      <c r="B29" s="5" t="s">
        <v>140</v>
      </c>
      <c r="C29" s="5" t="s">
        <v>54</v>
      </c>
      <c r="D29" s="5" t="s">
        <v>62</v>
      </c>
      <c r="E29" s="5" t="s">
        <v>71</v>
      </c>
      <c r="F29" s="26" t="n">
        <v>26.66</v>
      </c>
      <c r="G29" s="26" t="n">
        <v>23.32</v>
      </c>
      <c r="H29" s="30" t="n">
        <v>1.668</v>
      </c>
      <c r="I29" s="28" t="n">
        <f aca="false">H29*G29/3.6</f>
        <v>10.8049333333333</v>
      </c>
      <c r="J29" s="30" t="n">
        <v>4.15</v>
      </c>
      <c r="K29" s="30" t="n">
        <v>3.311</v>
      </c>
      <c r="L29" s="30" t="n">
        <v>1.898</v>
      </c>
      <c r="M29" s="30" t="n">
        <v>3.58</v>
      </c>
      <c r="N29" s="25" t="n">
        <v>0.0562518116840681</v>
      </c>
      <c r="O29" s="17" t="n">
        <v>1</v>
      </c>
      <c r="P29" s="26" t="n">
        <v>8.38</v>
      </c>
      <c r="Q29" s="24" t="n">
        <f aca="false">IF(O29=1,1/(1+EXP(-(P29-Inputs!$B$12)/Inputs!$B$13)),0)</f>
        <v>0.00531745637062958</v>
      </c>
      <c r="R29" s="24" t="n">
        <f aca="false">N29*O29</f>
        <v>0.0562518116840681</v>
      </c>
      <c r="S29" s="12" t="n">
        <f aca="false">N29*Q29</f>
        <v>0.000299116554398904</v>
      </c>
      <c r="T29" s="24" t="n">
        <f aca="false">N29^2</f>
        <v>0.00316426631773986</v>
      </c>
    </row>
    <row r="30" customFormat="false" ht="15" hidden="false" customHeight="false" outlineLevel="0" collapsed="false">
      <c r="A30" s="5" t="s">
        <v>282</v>
      </c>
      <c r="B30" s="5" t="s">
        <v>140</v>
      </c>
      <c r="C30" s="5" t="s">
        <v>54</v>
      </c>
      <c r="D30" s="5" t="s">
        <v>62</v>
      </c>
      <c r="E30" s="5" t="s">
        <v>71</v>
      </c>
      <c r="F30" s="26" t="n">
        <v>32.35</v>
      </c>
      <c r="G30" s="26" t="n">
        <v>30.37</v>
      </c>
      <c r="H30" s="30" t="n">
        <v>1.602</v>
      </c>
      <c r="I30" s="28" t="n">
        <f aca="false">H30*G30/3.6</f>
        <v>13.51465</v>
      </c>
      <c r="J30" s="30" t="n">
        <v>5.4</v>
      </c>
      <c r="K30" s="30" t="n">
        <v>1.269</v>
      </c>
      <c r="L30" s="30" t="n">
        <v>2.025</v>
      </c>
      <c r="M30" s="30" t="n">
        <v>5.42</v>
      </c>
      <c r="N30" s="25" t="n">
        <v>0.0907768541778461</v>
      </c>
      <c r="O30" s="17" t="n">
        <v>0</v>
      </c>
      <c r="P30" s="26" t="n">
        <v>0</v>
      </c>
      <c r="Q30" s="24" t="n">
        <f aca="false">IF(O30=1,1/(1+EXP(-(P30-Inputs!$B$12)/Inputs!$B$13)),0)</f>
        <v>0</v>
      </c>
      <c r="R30" s="24" t="n">
        <f aca="false">N30*O30</f>
        <v>0</v>
      </c>
      <c r="S30" s="12" t="n">
        <f aca="false">N30*Q30</f>
        <v>0</v>
      </c>
      <c r="T30" s="24" t="n">
        <f aca="false">N30^2</f>
        <v>0.00824043725442593</v>
      </c>
    </row>
    <row r="31" customFormat="false" ht="15" hidden="false" customHeight="false" outlineLevel="0" collapsed="false">
      <c r="A31" s="5" t="s">
        <v>283</v>
      </c>
      <c r="B31" s="5" t="s">
        <v>140</v>
      </c>
      <c r="C31" s="5" t="s">
        <v>54</v>
      </c>
      <c r="D31" s="5" t="s">
        <v>62</v>
      </c>
      <c r="E31" s="5" t="s">
        <v>71</v>
      </c>
      <c r="F31" s="26" t="n">
        <v>28.77</v>
      </c>
      <c r="G31" s="26" t="n">
        <v>28.37</v>
      </c>
      <c r="H31" s="30" t="n">
        <v>1.728</v>
      </c>
      <c r="I31" s="28" t="n">
        <f aca="false">H31*G31/3.6</f>
        <v>13.6176</v>
      </c>
      <c r="J31" s="30" t="n">
        <v>4.28</v>
      </c>
      <c r="K31" s="30" t="n">
        <v>2.253</v>
      </c>
      <c r="L31" s="30" t="n">
        <v>1.976</v>
      </c>
      <c r="M31" s="30" t="n">
        <v>4.3</v>
      </c>
      <c r="N31" s="25" t="n">
        <v>0.0576986185809218</v>
      </c>
      <c r="O31" s="17" t="n">
        <v>1</v>
      </c>
      <c r="P31" s="26" t="n">
        <v>13.96</v>
      </c>
      <c r="Q31" s="24" t="n">
        <f aca="false">IF(O31=1,1/(1+EXP(-(P31-Inputs!$B$12)/Inputs!$B$13)),0)</f>
        <v>0.0117244434698338</v>
      </c>
      <c r="R31" s="24" t="n">
        <f aca="false">N31*O31</f>
        <v>0.0576986185809218</v>
      </c>
      <c r="S31" s="12" t="n">
        <f aca="false">N31*Q31</f>
        <v>0.000676484191839518</v>
      </c>
      <c r="T31" s="24" t="n">
        <f aca="false">N31^2</f>
        <v>0.00332913058614669</v>
      </c>
    </row>
    <row r="32" customFormat="false" ht="15" hidden="false" customHeight="false" outlineLevel="0" collapsed="false">
      <c r="A32" s="5" t="s">
        <v>284</v>
      </c>
      <c r="B32" s="5" t="s">
        <v>140</v>
      </c>
      <c r="C32" s="5" t="s">
        <v>54</v>
      </c>
      <c r="D32" s="5" t="s">
        <v>62</v>
      </c>
      <c r="E32" s="5" t="s">
        <v>71</v>
      </c>
      <c r="F32" s="26" t="n">
        <v>33.51</v>
      </c>
      <c r="G32" s="26" t="n">
        <v>33.33</v>
      </c>
      <c r="H32" s="30" t="n">
        <v>1.779</v>
      </c>
      <c r="I32" s="28" t="n">
        <f aca="false">H32*G32/3.6</f>
        <v>16.470575</v>
      </c>
      <c r="J32" s="30" t="n">
        <v>5.57</v>
      </c>
      <c r="K32" s="30" t="n">
        <v>1.33</v>
      </c>
      <c r="L32" s="30" t="n">
        <v>1.325</v>
      </c>
      <c r="M32" s="30" t="n">
        <v>5.76</v>
      </c>
      <c r="N32" s="25" t="n">
        <v>0.520960755511422</v>
      </c>
      <c r="O32" s="17" t="n">
        <v>0</v>
      </c>
      <c r="P32" s="26" t="n">
        <v>0</v>
      </c>
      <c r="Q32" s="24" t="n">
        <f aca="false">IF(O32=1,1/(1+EXP(-(P32-Inputs!$B$12)/Inputs!$B$13)),0)</f>
        <v>0</v>
      </c>
      <c r="R32" s="24" t="n">
        <f aca="false">N32*O32</f>
        <v>0</v>
      </c>
      <c r="S32" s="12" t="n">
        <f aca="false">N32*Q32</f>
        <v>0</v>
      </c>
      <c r="T32" s="24" t="n">
        <f aca="false">N32^2</f>
        <v>0.271400108783032</v>
      </c>
    </row>
    <row r="33" customFormat="false" ht="15" hidden="false" customHeight="false" outlineLevel="0" collapsed="false">
      <c r="A33" s="5" t="s">
        <v>285</v>
      </c>
      <c r="B33" s="5" t="s">
        <v>140</v>
      </c>
      <c r="C33" s="5" t="s">
        <v>54</v>
      </c>
      <c r="D33" s="5" t="s">
        <v>62</v>
      </c>
      <c r="E33" s="5" t="s">
        <v>71</v>
      </c>
      <c r="F33" s="26" t="n">
        <v>33.99</v>
      </c>
      <c r="G33" s="26" t="n">
        <v>31.06</v>
      </c>
      <c r="H33" s="30" t="n">
        <v>1.955</v>
      </c>
      <c r="I33" s="28" t="n">
        <f aca="false">H33*G33/3.6</f>
        <v>16.8673055555556</v>
      </c>
      <c r="J33" s="30" t="n">
        <v>5.47</v>
      </c>
      <c r="K33" s="30" t="n">
        <v>0.819</v>
      </c>
      <c r="L33" s="30" t="n">
        <v>1.283</v>
      </c>
      <c r="M33" s="30" t="n">
        <v>5.99</v>
      </c>
      <c r="N33" s="25" t="n">
        <v>4.58176002165563</v>
      </c>
      <c r="O33" s="17" t="n">
        <v>0</v>
      </c>
      <c r="P33" s="26" t="n">
        <v>0</v>
      </c>
      <c r="Q33" s="24" t="n">
        <f aca="false">IF(O33=1,1/(1+EXP(-(P33-Inputs!$B$12)/Inputs!$B$13)),0)</f>
        <v>0</v>
      </c>
      <c r="R33" s="24" t="n">
        <f aca="false">N33*O33</f>
        <v>0</v>
      </c>
      <c r="S33" s="12" t="n">
        <f aca="false">N33*Q33</f>
        <v>0</v>
      </c>
      <c r="T33" s="24" t="n">
        <f aca="false">N33^2</f>
        <v>20.9925248960418</v>
      </c>
    </row>
    <row r="34" customFormat="false" ht="15" hidden="false" customHeight="false" outlineLevel="0" collapsed="false">
      <c r="A34" s="5" t="s">
        <v>286</v>
      </c>
      <c r="B34" s="5" t="s">
        <v>140</v>
      </c>
      <c r="C34" s="5" t="s">
        <v>54</v>
      </c>
      <c r="D34" s="5" t="s">
        <v>62</v>
      </c>
      <c r="E34" s="5" t="s">
        <v>71</v>
      </c>
      <c r="F34" s="26" t="n">
        <v>26.56</v>
      </c>
      <c r="G34" s="26" t="n">
        <v>26.48</v>
      </c>
      <c r="H34" s="30" t="n">
        <v>1.603</v>
      </c>
      <c r="I34" s="28" t="n">
        <f aca="false">H34*G34/3.6</f>
        <v>11.7909555555556</v>
      </c>
      <c r="J34" s="30" t="n">
        <v>5.55</v>
      </c>
      <c r="K34" s="30" t="n">
        <v>3.189</v>
      </c>
      <c r="L34" s="30" t="n">
        <v>1.013</v>
      </c>
      <c r="M34" s="30" t="n">
        <v>7.54</v>
      </c>
      <c r="N34" s="25" t="n">
        <v>0.112356005003301</v>
      </c>
      <c r="O34" s="17" t="n">
        <v>0</v>
      </c>
      <c r="P34" s="26" t="n">
        <v>0</v>
      </c>
      <c r="Q34" s="24" t="n">
        <f aca="false">IF(O34=1,1/(1+EXP(-(P34-Inputs!$B$12)/Inputs!$B$13)),0)</f>
        <v>0</v>
      </c>
      <c r="R34" s="24" t="n">
        <f aca="false">N34*O34</f>
        <v>0</v>
      </c>
      <c r="S34" s="12" t="n">
        <f aca="false">N34*Q34</f>
        <v>0</v>
      </c>
      <c r="T34" s="24" t="n">
        <f aca="false">N34^2</f>
        <v>0.0126238718603017</v>
      </c>
    </row>
    <row r="35" customFormat="false" ht="15" hidden="false" customHeight="false" outlineLevel="0" collapsed="false">
      <c r="A35" s="5" t="s">
        <v>287</v>
      </c>
      <c r="B35" s="5" t="s">
        <v>140</v>
      </c>
      <c r="C35" s="5" t="s">
        <v>54</v>
      </c>
      <c r="D35" s="5" t="s">
        <v>62</v>
      </c>
      <c r="E35" s="5" t="s">
        <v>71</v>
      </c>
      <c r="F35" s="26" t="n">
        <v>26.06</v>
      </c>
      <c r="G35" s="26" t="n">
        <v>25.94</v>
      </c>
      <c r="H35" s="30" t="n">
        <v>1.718</v>
      </c>
      <c r="I35" s="28" t="n">
        <f aca="false">H35*G35/3.6</f>
        <v>12.3791444444444</v>
      </c>
      <c r="J35" s="30" t="n">
        <v>3.61</v>
      </c>
      <c r="K35" s="30" t="n">
        <v>1.051</v>
      </c>
      <c r="L35" s="30" t="n">
        <v>1.152</v>
      </c>
      <c r="M35" s="30" t="n">
        <v>5.85</v>
      </c>
      <c r="N35" s="25" t="n">
        <v>1.24509564150287</v>
      </c>
      <c r="O35" s="17" t="n">
        <v>0</v>
      </c>
      <c r="P35" s="26" t="n">
        <v>0</v>
      </c>
      <c r="Q35" s="24" t="n">
        <f aca="false">IF(O35=1,1/(1+EXP(-(P35-Inputs!$B$12)/Inputs!$B$13)),0)</f>
        <v>0</v>
      </c>
      <c r="R35" s="24" t="n">
        <f aca="false">N35*O35</f>
        <v>0</v>
      </c>
      <c r="S35" s="12" t="n">
        <f aca="false">N35*Q35</f>
        <v>0</v>
      </c>
      <c r="T35" s="24" t="n">
        <f aca="false">N35^2</f>
        <v>1.55026315648943</v>
      </c>
    </row>
    <row r="36" customFormat="false" ht="15" hidden="false" customHeight="false" outlineLevel="0" collapsed="false">
      <c r="A36" s="5" t="s">
        <v>288</v>
      </c>
      <c r="B36" s="5" t="s">
        <v>141</v>
      </c>
      <c r="C36" s="5" t="s">
        <v>54</v>
      </c>
      <c r="D36" s="5" t="s">
        <v>62</v>
      </c>
      <c r="E36" s="5" t="s">
        <v>72</v>
      </c>
      <c r="F36" s="26" t="n">
        <v>28.8</v>
      </c>
      <c r="G36" s="26" t="n">
        <v>26.44</v>
      </c>
      <c r="H36" s="30" t="n">
        <v>1.031</v>
      </c>
      <c r="I36" s="28" t="n">
        <f aca="false">H36*G36/3.6</f>
        <v>7.57212222222222</v>
      </c>
      <c r="J36" s="30" t="n">
        <v>3.18</v>
      </c>
      <c r="K36" s="30" t="n">
        <v>1.929</v>
      </c>
      <c r="L36" s="30" t="n">
        <v>2.473</v>
      </c>
      <c r="M36" s="30" t="n">
        <v>4.56</v>
      </c>
      <c r="N36" s="25" t="n">
        <v>0.0219080434996658</v>
      </c>
      <c r="O36" s="17" t="n">
        <v>1</v>
      </c>
      <c r="P36" s="26" t="n">
        <v>19.73</v>
      </c>
      <c r="Q36" s="24" t="n">
        <f aca="false">IF(O36=1,1/(1+EXP(-(P36-Inputs!$B$12)/Inputs!$B$13)),0)</f>
        <v>0.0263393196252834</v>
      </c>
      <c r="R36" s="24" t="n">
        <f aca="false">N36*O36</f>
        <v>0.0219080434996658</v>
      </c>
      <c r="S36" s="12" t="n">
        <f aca="false">N36*Q36</f>
        <v>0.000577042960102309</v>
      </c>
      <c r="T36" s="24" t="n">
        <f aca="false">N36^2</f>
        <v>0.000479962369983248</v>
      </c>
    </row>
    <row r="37" customFormat="false" ht="15" hidden="false" customHeight="false" outlineLevel="0" collapsed="false">
      <c r="A37" s="5" t="s">
        <v>289</v>
      </c>
      <c r="B37" s="5" t="s">
        <v>141</v>
      </c>
      <c r="C37" s="5" t="s">
        <v>54</v>
      </c>
      <c r="D37" s="5" t="s">
        <v>62</v>
      </c>
      <c r="E37" s="5" t="s">
        <v>72</v>
      </c>
      <c r="F37" s="26" t="n">
        <v>31.46</v>
      </c>
      <c r="G37" s="26" t="n">
        <v>30.84</v>
      </c>
      <c r="H37" s="30" t="n">
        <v>1.239</v>
      </c>
      <c r="I37" s="28" t="n">
        <f aca="false">H37*G37/3.6</f>
        <v>10.6141</v>
      </c>
      <c r="J37" s="30" t="n">
        <v>4.37</v>
      </c>
      <c r="K37" s="30" t="n">
        <v>0.587</v>
      </c>
      <c r="L37" s="30" t="n">
        <v>1.491</v>
      </c>
      <c r="M37" s="30" t="n">
        <v>5.98</v>
      </c>
      <c r="N37" s="25" t="n">
        <v>1.53994773295628</v>
      </c>
      <c r="O37" s="17" t="n">
        <v>0</v>
      </c>
      <c r="P37" s="26" t="n">
        <v>0</v>
      </c>
      <c r="Q37" s="24" t="n">
        <f aca="false">IF(O37=1,1/(1+EXP(-(P37-Inputs!$B$12)/Inputs!$B$13)),0)</f>
        <v>0</v>
      </c>
      <c r="R37" s="24" t="n">
        <f aca="false">N37*O37</f>
        <v>0</v>
      </c>
      <c r="S37" s="12" t="n">
        <f aca="false">N37*Q37</f>
        <v>0</v>
      </c>
      <c r="T37" s="24" t="n">
        <f aca="false">N37^2</f>
        <v>2.37143902023719</v>
      </c>
    </row>
    <row r="38" customFormat="false" ht="15" hidden="false" customHeight="false" outlineLevel="0" collapsed="false">
      <c r="A38" s="5" t="s">
        <v>290</v>
      </c>
      <c r="B38" s="5" t="s">
        <v>141</v>
      </c>
      <c r="C38" s="5" t="s">
        <v>54</v>
      </c>
      <c r="D38" s="5" t="s">
        <v>62</v>
      </c>
      <c r="E38" s="5" t="s">
        <v>72</v>
      </c>
      <c r="F38" s="26" t="n">
        <v>30.3</v>
      </c>
      <c r="G38" s="26" t="n">
        <v>28.23</v>
      </c>
      <c r="H38" s="30" t="n">
        <v>1.047</v>
      </c>
      <c r="I38" s="28" t="n">
        <f aca="false">H38*G38/3.6</f>
        <v>8.210225</v>
      </c>
      <c r="J38" s="30" t="n">
        <v>4.73</v>
      </c>
      <c r="K38" s="30" t="n">
        <v>1.081</v>
      </c>
      <c r="L38" s="30" t="n">
        <v>2.933</v>
      </c>
      <c r="M38" s="30" t="n">
        <v>4.7</v>
      </c>
      <c r="N38" s="25" t="n">
        <v>0.021455157159367</v>
      </c>
      <c r="O38" s="17" t="n">
        <v>1</v>
      </c>
      <c r="P38" s="26" t="n">
        <v>16.5</v>
      </c>
      <c r="Q38" s="24" t="n">
        <f aca="false">IF(O38=1,1/(1+EXP(-(P38-Inputs!$B$12)/Inputs!$B$13)),0)</f>
        <v>0.0167670804706346</v>
      </c>
      <c r="R38" s="24" t="n">
        <f aca="false">N38*O38</f>
        <v>0.021455157159367</v>
      </c>
      <c r="S38" s="12" t="n">
        <f aca="false">N38*Q38</f>
        <v>0.000359740346601219</v>
      </c>
      <c r="T38" s="24" t="n">
        <f aca="false">N38^2</f>
        <v>0.000460323768733135</v>
      </c>
    </row>
    <row r="39" customFormat="false" ht="15" hidden="false" customHeight="false" outlineLevel="0" collapsed="false">
      <c r="A39" s="5" t="s">
        <v>291</v>
      </c>
      <c r="B39" s="5" t="s">
        <v>141</v>
      </c>
      <c r="C39" s="5" t="s">
        <v>54</v>
      </c>
      <c r="D39" s="5" t="s">
        <v>62</v>
      </c>
      <c r="E39" s="5" t="s">
        <v>72</v>
      </c>
      <c r="F39" s="26" t="n">
        <v>28.23</v>
      </c>
      <c r="G39" s="26" t="n">
        <v>28.34</v>
      </c>
      <c r="H39" s="30" t="n">
        <v>1.129</v>
      </c>
      <c r="I39" s="28" t="n">
        <f aca="false">H39*G39/3.6</f>
        <v>8.88773888888889</v>
      </c>
      <c r="J39" s="30" t="n">
        <v>3.57</v>
      </c>
      <c r="K39" s="30" t="n">
        <v>0.627</v>
      </c>
      <c r="L39" s="30" t="n">
        <v>2.627</v>
      </c>
      <c r="M39" s="30" t="n">
        <v>6.47</v>
      </c>
      <c r="N39" s="25" t="n">
        <v>0.0607460463791998</v>
      </c>
      <c r="O39" s="17" t="n">
        <v>0</v>
      </c>
      <c r="P39" s="26" t="n">
        <v>0</v>
      </c>
      <c r="Q39" s="24" t="n">
        <f aca="false">IF(O39=1,1/(1+EXP(-(P39-Inputs!$B$12)/Inputs!$B$13)),0)</f>
        <v>0</v>
      </c>
      <c r="R39" s="24" t="n">
        <f aca="false">N39*O39</f>
        <v>0</v>
      </c>
      <c r="S39" s="12" t="n">
        <f aca="false">N39*Q39</f>
        <v>0</v>
      </c>
      <c r="T39" s="24" t="n">
        <f aca="false">N39^2</f>
        <v>0.00369008215070389</v>
      </c>
    </row>
    <row r="40" customFormat="false" ht="15" hidden="false" customHeight="false" outlineLevel="0" collapsed="false">
      <c r="A40" s="5" t="s">
        <v>292</v>
      </c>
      <c r="B40" s="5" t="s">
        <v>141</v>
      </c>
      <c r="C40" s="5" t="s">
        <v>54</v>
      </c>
      <c r="D40" s="5" t="s">
        <v>62</v>
      </c>
      <c r="E40" s="5" t="s">
        <v>72</v>
      </c>
      <c r="F40" s="26" t="n">
        <v>24.61</v>
      </c>
      <c r="G40" s="26" t="n">
        <v>25.05</v>
      </c>
      <c r="H40" s="30" t="n">
        <v>1.112</v>
      </c>
      <c r="I40" s="28" t="n">
        <f aca="false">H40*G40/3.6</f>
        <v>7.73766666666667</v>
      </c>
      <c r="J40" s="30" t="n">
        <v>3.67</v>
      </c>
      <c r="K40" s="30" t="n">
        <v>1.082</v>
      </c>
      <c r="L40" s="30" t="n">
        <v>1.08</v>
      </c>
      <c r="M40" s="30" t="n">
        <v>5.75</v>
      </c>
      <c r="N40" s="25" t="n">
        <v>1.28328315061165</v>
      </c>
      <c r="O40" s="17" t="n">
        <v>0</v>
      </c>
      <c r="P40" s="26" t="n">
        <v>0</v>
      </c>
      <c r="Q40" s="24" t="n">
        <f aca="false">IF(O40=1,1/(1+EXP(-(P40-Inputs!$B$12)/Inputs!$B$13)),0)</f>
        <v>0</v>
      </c>
      <c r="R40" s="24" t="n">
        <f aca="false">N40*O40</f>
        <v>0</v>
      </c>
      <c r="S40" s="12" t="n">
        <f aca="false">N40*Q40</f>
        <v>0</v>
      </c>
      <c r="T40" s="24" t="n">
        <f aca="false">N40^2</f>
        <v>1.64681564464377</v>
      </c>
    </row>
    <row r="41" customFormat="false" ht="15" hidden="false" customHeight="false" outlineLevel="0" collapsed="false">
      <c r="A41" s="5" t="s">
        <v>293</v>
      </c>
      <c r="B41" s="5" t="s">
        <v>141</v>
      </c>
      <c r="C41" s="5" t="s">
        <v>54</v>
      </c>
      <c r="D41" s="5" t="s">
        <v>62</v>
      </c>
      <c r="E41" s="5" t="s">
        <v>72</v>
      </c>
      <c r="F41" s="26" t="n">
        <v>27.62</v>
      </c>
      <c r="G41" s="26" t="n">
        <v>30.12</v>
      </c>
      <c r="H41" s="30" t="n">
        <v>1.35</v>
      </c>
      <c r="I41" s="28" t="n">
        <f aca="false">H41*G41/3.6</f>
        <v>11.295</v>
      </c>
      <c r="J41" s="30" t="n">
        <v>3.74</v>
      </c>
      <c r="K41" s="30" t="n">
        <v>1.28</v>
      </c>
      <c r="L41" s="30" t="n">
        <v>2.192</v>
      </c>
      <c r="M41" s="30" t="n">
        <v>6.72</v>
      </c>
      <c r="N41" s="25" t="n">
        <v>0.0767904210350695</v>
      </c>
      <c r="O41" s="17" t="n">
        <v>0</v>
      </c>
      <c r="P41" s="26" t="n">
        <v>0</v>
      </c>
      <c r="Q41" s="24" t="n">
        <f aca="false">IF(O41=1,1/(1+EXP(-(P41-Inputs!$B$12)/Inputs!$B$13)),0)</f>
        <v>0</v>
      </c>
      <c r="R41" s="24" t="n">
        <f aca="false">N41*O41</f>
        <v>0</v>
      </c>
      <c r="S41" s="12" t="n">
        <f aca="false">N41*Q41</f>
        <v>0</v>
      </c>
      <c r="T41" s="24" t="n">
        <f aca="false">N41^2</f>
        <v>0.00589676876274324</v>
      </c>
    </row>
    <row r="42" customFormat="false" ht="15" hidden="false" customHeight="false" outlineLevel="0" collapsed="false">
      <c r="A42" s="5" t="s">
        <v>294</v>
      </c>
      <c r="B42" s="5" t="s">
        <v>141</v>
      </c>
      <c r="C42" s="5" t="s">
        <v>54</v>
      </c>
      <c r="D42" s="5" t="s">
        <v>62</v>
      </c>
      <c r="E42" s="5" t="s">
        <v>72</v>
      </c>
      <c r="F42" s="26" t="n">
        <v>28.09</v>
      </c>
      <c r="G42" s="26" t="n">
        <v>29.89</v>
      </c>
      <c r="H42" s="30" t="n">
        <v>1.278</v>
      </c>
      <c r="I42" s="28" t="n">
        <f aca="false">H42*G42/3.6</f>
        <v>10.61095</v>
      </c>
      <c r="J42" s="30" t="n">
        <v>2.74</v>
      </c>
      <c r="K42" s="30" t="n">
        <v>1.415</v>
      </c>
      <c r="L42" s="30" t="n">
        <v>0.984</v>
      </c>
      <c r="M42" s="30" t="n">
        <v>5.76</v>
      </c>
      <c r="N42" s="25" t="n">
        <v>1.17118458906098</v>
      </c>
      <c r="O42" s="17" t="n">
        <v>0</v>
      </c>
      <c r="P42" s="26" t="n">
        <v>0</v>
      </c>
      <c r="Q42" s="24" t="n">
        <f aca="false">IF(O42=1,1/(1+EXP(-(P42-Inputs!$B$12)/Inputs!$B$13)),0)</f>
        <v>0</v>
      </c>
      <c r="R42" s="24" t="n">
        <f aca="false">N42*O42</f>
        <v>0</v>
      </c>
      <c r="S42" s="12" t="n">
        <f aca="false">N42*Q42</f>
        <v>0</v>
      </c>
      <c r="T42" s="24" t="n">
        <f aca="false">N42^2</f>
        <v>1.37167334165393</v>
      </c>
    </row>
    <row r="43" customFormat="false" ht="15" hidden="false" customHeight="false" outlineLevel="0" collapsed="false">
      <c r="A43" s="5" t="s">
        <v>295</v>
      </c>
      <c r="B43" s="5" t="s">
        <v>141</v>
      </c>
      <c r="C43" s="5" t="s">
        <v>54</v>
      </c>
      <c r="D43" s="5" t="s">
        <v>62</v>
      </c>
      <c r="E43" s="5" t="s">
        <v>72</v>
      </c>
      <c r="F43" s="26" t="n">
        <v>33.62</v>
      </c>
      <c r="G43" s="26" t="n">
        <v>31.87</v>
      </c>
      <c r="H43" s="30" t="n">
        <v>1.195</v>
      </c>
      <c r="I43" s="28" t="n">
        <f aca="false">H43*G43/3.6</f>
        <v>10.5790694444444</v>
      </c>
      <c r="J43" s="30" t="n">
        <v>4.27</v>
      </c>
      <c r="K43" s="30" t="n">
        <v>0.552</v>
      </c>
      <c r="L43" s="30" t="n">
        <v>1.689</v>
      </c>
      <c r="M43" s="30" t="n">
        <v>7.05</v>
      </c>
      <c r="N43" s="25" t="n">
        <v>0.670567095206088</v>
      </c>
      <c r="O43" s="17" t="n">
        <v>0</v>
      </c>
      <c r="P43" s="26" t="n">
        <v>0</v>
      </c>
      <c r="Q43" s="24" t="n">
        <f aca="false">IF(O43=1,1/(1+EXP(-(P43-Inputs!$B$12)/Inputs!$B$13)),0)</f>
        <v>0</v>
      </c>
      <c r="R43" s="24" t="n">
        <f aca="false">N43*O43</f>
        <v>0</v>
      </c>
      <c r="S43" s="12" t="n">
        <f aca="false">N43*Q43</f>
        <v>0</v>
      </c>
      <c r="T43" s="24" t="n">
        <f aca="false">N43^2</f>
        <v>0.44966022917313</v>
      </c>
    </row>
    <row r="44" customFormat="false" ht="15" hidden="false" customHeight="false" outlineLevel="0" collapsed="false">
      <c r="A44" s="5" t="s">
        <v>296</v>
      </c>
      <c r="B44" s="5" t="s">
        <v>141</v>
      </c>
      <c r="C44" s="5" t="s">
        <v>54</v>
      </c>
      <c r="D44" s="5" t="s">
        <v>62</v>
      </c>
      <c r="E44" s="5" t="s">
        <v>72</v>
      </c>
      <c r="F44" s="26" t="n">
        <v>26.61</v>
      </c>
      <c r="G44" s="26" t="n">
        <v>25.09</v>
      </c>
      <c r="H44" s="30" t="n">
        <v>1.111</v>
      </c>
      <c r="I44" s="28" t="n">
        <f aca="false">H44*G44/3.6</f>
        <v>7.74305277777778</v>
      </c>
      <c r="J44" s="30" t="n">
        <v>4.6</v>
      </c>
      <c r="K44" s="30" t="n">
        <v>1.551</v>
      </c>
      <c r="L44" s="30" t="n">
        <v>1.51</v>
      </c>
      <c r="M44" s="30" t="n">
        <v>5.86</v>
      </c>
      <c r="N44" s="25" t="n">
        <v>0.205736385641074</v>
      </c>
      <c r="O44" s="17" t="n">
        <v>1</v>
      </c>
      <c r="P44" s="26" t="n">
        <v>10.59</v>
      </c>
      <c r="Q44" s="24" t="n">
        <f aca="false">IF(O44=1,1/(1+EXP(-(P44-Inputs!$B$12)/Inputs!$B$13)),0)</f>
        <v>0.00727713507198361</v>
      </c>
      <c r="R44" s="24" t="n">
        <f aca="false">N44*O44</f>
        <v>0.205736385641074</v>
      </c>
      <c r="S44" s="12" t="n">
        <f aca="false">N44*Q44</f>
        <v>0.0014971714675318</v>
      </c>
      <c r="T44" s="24" t="n">
        <f aca="false">N44^2</f>
        <v>0.0423274603766526</v>
      </c>
    </row>
    <row r="45" customFormat="false" ht="15" hidden="false" customHeight="false" outlineLevel="0" collapsed="false">
      <c r="A45" s="5" t="s">
        <v>297</v>
      </c>
      <c r="B45" s="5" t="s">
        <v>141</v>
      </c>
      <c r="C45" s="5" t="s">
        <v>54</v>
      </c>
      <c r="D45" s="5" t="s">
        <v>62</v>
      </c>
      <c r="E45" s="5" t="s">
        <v>72</v>
      </c>
      <c r="F45" s="26" t="n">
        <v>24.67</v>
      </c>
      <c r="G45" s="26" t="n">
        <v>21.11</v>
      </c>
      <c r="H45" s="30" t="n">
        <v>1.046</v>
      </c>
      <c r="I45" s="28" t="n">
        <f aca="false">H45*G45/3.6</f>
        <v>6.13362777777778</v>
      </c>
      <c r="J45" s="30" t="n">
        <v>2.5</v>
      </c>
      <c r="K45" s="30" t="n">
        <v>2.17</v>
      </c>
      <c r="L45" s="30" t="n">
        <v>1.584</v>
      </c>
      <c r="M45" s="30" t="n">
        <v>6.81</v>
      </c>
      <c r="N45" s="25" t="n">
        <v>0.0701169281166262</v>
      </c>
      <c r="O45" s="17" t="n">
        <v>0</v>
      </c>
      <c r="P45" s="26" t="n">
        <v>0</v>
      </c>
      <c r="Q45" s="24" t="n">
        <f aca="false">IF(O45=1,1/(1+EXP(-(P45-Inputs!$B$12)/Inputs!$B$13)),0)</f>
        <v>0</v>
      </c>
      <c r="R45" s="24" t="n">
        <f aca="false">N45*O45</f>
        <v>0</v>
      </c>
      <c r="S45" s="12" t="n">
        <f aca="false">N45*Q45</f>
        <v>0</v>
      </c>
      <c r="T45" s="24" t="n">
        <f aca="false">N45^2</f>
        <v>0.00491638360851212</v>
      </c>
    </row>
    <row r="46" customFormat="false" ht="15" hidden="false" customHeight="false" outlineLevel="0" collapsed="false">
      <c r="A46" s="5" t="s">
        <v>298</v>
      </c>
      <c r="B46" s="5" t="s">
        <v>142</v>
      </c>
      <c r="C46" s="5" t="s">
        <v>54</v>
      </c>
      <c r="D46" s="5" t="s">
        <v>62</v>
      </c>
      <c r="E46" s="5" t="s">
        <v>73</v>
      </c>
      <c r="F46" s="26" t="n">
        <v>34.02</v>
      </c>
      <c r="G46" s="26" t="n">
        <v>34.38</v>
      </c>
      <c r="H46" s="30" t="n">
        <v>0.838</v>
      </c>
      <c r="I46" s="28" t="n">
        <f aca="false">H46*G46/3.6</f>
        <v>8.0029</v>
      </c>
      <c r="J46" s="30" t="n">
        <v>2.91</v>
      </c>
      <c r="K46" s="30" t="n">
        <v>2.316</v>
      </c>
      <c r="L46" s="30" t="n">
        <v>1.781</v>
      </c>
      <c r="M46" s="30" t="n">
        <v>6.88</v>
      </c>
      <c r="N46" s="25" t="n">
        <v>0.0505420026436791</v>
      </c>
      <c r="O46" s="17" t="n">
        <v>0</v>
      </c>
      <c r="P46" s="26" t="n">
        <v>0</v>
      </c>
      <c r="Q46" s="24" t="n">
        <f aca="false">IF(O46=1,1/(1+EXP(-(P46-Inputs!$B$12)/Inputs!$B$13)),0)</f>
        <v>0</v>
      </c>
      <c r="R46" s="24" t="n">
        <f aca="false">N46*O46</f>
        <v>0</v>
      </c>
      <c r="S46" s="12" t="n">
        <f aca="false">N46*Q46</f>
        <v>0</v>
      </c>
      <c r="T46" s="24" t="n">
        <f aca="false">N46^2</f>
        <v>0.00255449403123366</v>
      </c>
    </row>
    <row r="47" customFormat="false" ht="15" hidden="false" customHeight="false" outlineLevel="0" collapsed="false">
      <c r="A47" s="5" t="s">
        <v>299</v>
      </c>
      <c r="B47" s="5" t="s">
        <v>142</v>
      </c>
      <c r="C47" s="5" t="s">
        <v>54</v>
      </c>
      <c r="D47" s="5" t="s">
        <v>62</v>
      </c>
      <c r="E47" s="5" t="s">
        <v>73</v>
      </c>
      <c r="F47" s="26" t="n">
        <v>23.86</v>
      </c>
      <c r="G47" s="26" t="n">
        <v>25.13</v>
      </c>
      <c r="H47" s="30" t="n">
        <v>0.698</v>
      </c>
      <c r="I47" s="28" t="n">
        <f aca="false">H47*G47/3.6</f>
        <v>4.87242777777778</v>
      </c>
      <c r="J47" s="30" t="n">
        <v>2.99</v>
      </c>
      <c r="K47" s="30" t="n">
        <v>3.213</v>
      </c>
      <c r="L47" s="30" t="n">
        <v>0.93</v>
      </c>
      <c r="M47" s="30" t="n">
        <v>7.53</v>
      </c>
      <c r="N47" s="25" t="n">
        <v>0.15972250520521</v>
      </c>
      <c r="O47" s="17" t="n">
        <v>0</v>
      </c>
      <c r="P47" s="26" t="n">
        <v>0</v>
      </c>
      <c r="Q47" s="24" t="n">
        <f aca="false">IF(O47=1,1/(1+EXP(-(P47-Inputs!$B$12)/Inputs!$B$13)),0)</f>
        <v>0</v>
      </c>
      <c r="R47" s="24" t="n">
        <f aca="false">N47*O47</f>
        <v>0</v>
      </c>
      <c r="S47" s="12" t="n">
        <f aca="false">N47*Q47</f>
        <v>0</v>
      </c>
      <c r="T47" s="24" t="n">
        <f aca="false">N47^2</f>
        <v>0.0255112786690282</v>
      </c>
    </row>
    <row r="48" customFormat="false" ht="15" hidden="false" customHeight="false" outlineLevel="0" collapsed="false">
      <c r="A48" s="5" t="s">
        <v>300</v>
      </c>
      <c r="B48" s="5" t="s">
        <v>142</v>
      </c>
      <c r="C48" s="5" t="s">
        <v>54</v>
      </c>
      <c r="D48" s="5" t="s">
        <v>62</v>
      </c>
      <c r="E48" s="5" t="s">
        <v>73</v>
      </c>
      <c r="F48" s="26" t="n">
        <v>28.98</v>
      </c>
      <c r="G48" s="26" t="n">
        <v>30.45</v>
      </c>
      <c r="H48" s="30" t="n">
        <v>0.545</v>
      </c>
      <c r="I48" s="28" t="n">
        <f aca="false">H48*G48/3.6</f>
        <v>4.60979166666667</v>
      </c>
      <c r="J48" s="30" t="n">
        <v>3.76</v>
      </c>
      <c r="K48" s="30" t="n">
        <v>1.925</v>
      </c>
      <c r="L48" s="30" t="n">
        <v>1.09</v>
      </c>
      <c r="M48" s="30" t="n">
        <v>7.06</v>
      </c>
      <c r="N48" s="25" t="n">
        <v>0.302966982213223</v>
      </c>
      <c r="O48" s="17" t="n">
        <v>1</v>
      </c>
      <c r="P48" s="26" t="n">
        <v>10.3</v>
      </c>
      <c r="Q48" s="24" t="n">
        <f aca="false">IF(O48=1,1/(1+EXP(-(P48-Inputs!$B$12)/Inputs!$B$13)),0)</f>
        <v>0.00698387586769713</v>
      </c>
      <c r="R48" s="24" t="n">
        <f aca="false">N48*O48</f>
        <v>0.302966982213223</v>
      </c>
      <c r="S48" s="12" t="n">
        <f aca="false">N48*Q48</f>
        <v>0.00211588379578795</v>
      </c>
      <c r="T48" s="24" t="n">
        <f aca="false">N48^2</f>
        <v>0.0917889923113874</v>
      </c>
    </row>
    <row r="49" customFormat="false" ht="15" hidden="false" customHeight="false" outlineLevel="0" collapsed="false">
      <c r="A49" s="5" t="s">
        <v>301</v>
      </c>
      <c r="B49" s="5" t="s">
        <v>142</v>
      </c>
      <c r="C49" s="5" t="s">
        <v>54</v>
      </c>
      <c r="D49" s="5" t="s">
        <v>62</v>
      </c>
      <c r="E49" s="5" t="s">
        <v>73</v>
      </c>
      <c r="F49" s="26" t="n">
        <v>27.67</v>
      </c>
      <c r="G49" s="26" t="n">
        <v>26.3</v>
      </c>
      <c r="H49" s="30" t="n">
        <v>0.622</v>
      </c>
      <c r="I49" s="28" t="n">
        <f aca="false">H49*G49/3.6</f>
        <v>4.54405555555556</v>
      </c>
      <c r="J49" s="30" t="n">
        <v>4.87</v>
      </c>
      <c r="K49" s="30" t="n">
        <v>0.6</v>
      </c>
      <c r="L49" s="30" t="n">
        <v>1.275</v>
      </c>
      <c r="M49" s="30" t="n">
        <v>3.57</v>
      </c>
      <c r="N49" s="25" t="n">
        <v>6.12915148410509</v>
      </c>
      <c r="O49" s="17" t="n">
        <v>0</v>
      </c>
      <c r="P49" s="26" t="n">
        <v>0</v>
      </c>
      <c r="Q49" s="24" t="n">
        <f aca="false">IF(O49=1,1/(1+EXP(-(P49-Inputs!$B$12)/Inputs!$B$13)),0)</f>
        <v>0</v>
      </c>
      <c r="R49" s="24" t="n">
        <f aca="false">N49*O49</f>
        <v>0</v>
      </c>
      <c r="S49" s="12" t="n">
        <f aca="false">N49*Q49</f>
        <v>0</v>
      </c>
      <c r="T49" s="24" t="n">
        <f aca="false">N49^2</f>
        <v>37.5664979151076</v>
      </c>
    </row>
    <row r="50" customFormat="false" ht="15" hidden="false" customHeight="false" outlineLevel="0" collapsed="false">
      <c r="A50" s="5" t="s">
        <v>302</v>
      </c>
      <c r="B50" s="5" t="s">
        <v>142</v>
      </c>
      <c r="C50" s="5" t="s">
        <v>54</v>
      </c>
      <c r="D50" s="5" t="s">
        <v>62</v>
      </c>
      <c r="E50" s="5" t="s">
        <v>73</v>
      </c>
      <c r="F50" s="26" t="n">
        <v>32.24</v>
      </c>
      <c r="G50" s="26" t="n">
        <v>31.18</v>
      </c>
      <c r="H50" s="30" t="n">
        <v>0.721</v>
      </c>
      <c r="I50" s="28" t="n">
        <f aca="false">H50*G50/3.6</f>
        <v>6.24466111111111</v>
      </c>
      <c r="J50" s="30" t="n">
        <v>5.16</v>
      </c>
      <c r="K50" s="30" t="n">
        <v>1.581</v>
      </c>
      <c r="L50" s="30" t="n">
        <v>1.497</v>
      </c>
      <c r="M50" s="30" t="n">
        <v>7.25</v>
      </c>
      <c r="N50" s="25" t="n">
        <v>0.14485094539168</v>
      </c>
      <c r="O50" s="17" t="n">
        <v>1</v>
      </c>
      <c r="P50" s="26" t="n">
        <v>25.32</v>
      </c>
      <c r="Q50" s="24" t="n">
        <f aca="false">IF(O50=1,1/(1+EXP(-(P50-Inputs!$B$12)/Inputs!$B$13)),0)</f>
        <v>0.0567097127949397</v>
      </c>
      <c r="R50" s="24" t="n">
        <f aca="false">N50*O50</f>
        <v>0.14485094539168</v>
      </c>
      <c r="S50" s="12" t="n">
        <f aca="false">N50*Q50</f>
        <v>0.00821445551123764</v>
      </c>
      <c r="T50" s="24" t="n">
        <f aca="false">N50^2</f>
        <v>0.0209817963808633</v>
      </c>
    </row>
    <row r="51" customFormat="false" ht="15" hidden="false" customHeight="false" outlineLevel="0" collapsed="false">
      <c r="A51" s="5" t="s">
        <v>303</v>
      </c>
      <c r="B51" s="5" t="s">
        <v>142</v>
      </c>
      <c r="C51" s="5" t="s">
        <v>54</v>
      </c>
      <c r="D51" s="5" t="s">
        <v>62</v>
      </c>
      <c r="E51" s="5" t="s">
        <v>73</v>
      </c>
      <c r="F51" s="26" t="n">
        <v>23.98</v>
      </c>
      <c r="G51" s="26" t="n">
        <v>24.49</v>
      </c>
      <c r="H51" s="30" t="n">
        <v>0.617</v>
      </c>
      <c r="I51" s="28" t="n">
        <f aca="false">H51*G51/3.6</f>
        <v>4.19731388888889</v>
      </c>
      <c r="J51" s="30" t="n">
        <v>4.45</v>
      </c>
      <c r="K51" s="30" t="n">
        <v>2.03</v>
      </c>
      <c r="L51" s="30" t="n">
        <v>1.536</v>
      </c>
      <c r="M51" s="30" t="n">
        <v>5.92</v>
      </c>
      <c r="N51" s="25" t="n">
        <v>0.11451111195735</v>
      </c>
      <c r="O51" s="17" t="n">
        <v>1</v>
      </c>
      <c r="P51" s="26" t="n">
        <v>22</v>
      </c>
      <c r="Q51" s="24" t="n">
        <f aca="false">IF(O51=1,1/(1+EXP(-(P51-Inputs!$B$12)/Inputs!$B$13)),0)</f>
        <v>0.0360645380991664</v>
      </c>
      <c r="R51" s="24" t="n">
        <f aca="false">N51*O51</f>
        <v>0.11451111195735</v>
      </c>
      <c r="S51" s="12" t="n">
        <f aca="false">N51*Q51</f>
        <v>0.00412979035996374</v>
      </c>
      <c r="T51" s="24" t="n">
        <f aca="false">N51^2</f>
        <v>0.0131127947617087</v>
      </c>
    </row>
    <row r="52" customFormat="false" ht="15" hidden="false" customHeight="false" outlineLevel="0" collapsed="false">
      <c r="A52" s="5" t="s">
        <v>304</v>
      </c>
      <c r="B52" s="5" t="s">
        <v>142</v>
      </c>
      <c r="C52" s="5" t="s">
        <v>54</v>
      </c>
      <c r="D52" s="5" t="s">
        <v>62</v>
      </c>
      <c r="E52" s="5" t="s">
        <v>73</v>
      </c>
      <c r="F52" s="26" t="n">
        <v>26.13</v>
      </c>
      <c r="G52" s="26" t="n">
        <v>25.28</v>
      </c>
      <c r="H52" s="30" t="n">
        <v>0.61</v>
      </c>
      <c r="I52" s="28" t="n">
        <f aca="false">H52*G52/3.6</f>
        <v>4.28355555555556</v>
      </c>
      <c r="J52" s="30" t="n">
        <v>5.64</v>
      </c>
      <c r="K52" s="30" t="n">
        <v>1.529</v>
      </c>
      <c r="L52" s="30" t="n">
        <v>1.397</v>
      </c>
      <c r="M52" s="30" t="n">
        <v>6.67</v>
      </c>
      <c r="N52" s="25" t="n">
        <v>0.22962639839005</v>
      </c>
      <c r="O52" s="17" t="n">
        <v>1</v>
      </c>
      <c r="P52" s="26" t="n">
        <v>24.95</v>
      </c>
      <c r="Q52" s="24" t="n">
        <f aca="false">IF(O52=1,1/(1+EXP(-(P52-Inputs!$B$12)/Inputs!$B$13)),0)</f>
        <v>0.0539475509671435</v>
      </c>
      <c r="R52" s="24" t="n">
        <f aca="false">N52*O52</f>
        <v>0.22962639839005</v>
      </c>
      <c r="S52" s="12" t="n">
        <f aca="false">N52*Q52</f>
        <v>0.0123877818305488</v>
      </c>
      <c r="T52" s="24" t="n">
        <f aca="false">N52^2</f>
        <v>0.0527282828375861</v>
      </c>
    </row>
    <row r="53" customFormat="false" ht="15" hidden="false" customHeight="false" outlineLevel="0" collapsed="false">
      <c r="A53" s="5" t="s">
        <v>305</v>
      </c>
      <c r="B53" s="5" t="s">
        <v>142</v>
      </c>
      <c r="C53" s="5" t="s">
        <v>54</v>
      </c>
      <c r="D53" s="5" t="s">
        <v>62</v>
      </c>
      <c r="E53" s="5" t="s">
        <v>73</v>
      </c>
      <c r="F53" s="26" t="n">
        <v>26.19</v>
      </c>
      <c r="G53" s="26" t="n">
        <v>24.86</v>
      </c>
      <c r="H53" s="30" t="n">
        <v>0.798</v>
      </c>
      <c r="I53" s="28" t="n">
        <f aca="false">H53*G53/3.6</f>
        <v>5.51063333333333</v>
      </c>
      <c r="J53" s="30" t="n">
        <v>2.92</v>
      </c>
      <c r="K53" s="30" t="n">
        <v>1.84</v>
      </c>
      <c r="L53" s="30" t="n">
        <v>0.967</v>
      </c>
      <c r="M53" s="30" t="n">
        <v>4.15</v>
      </c>
      <c r="N53" s="25" t="n">
        <v>1.13561613712339</v>
      </c>
      <c r="O53" s="17" t="n">
        <v>0</v>
      </c>
      <c r="P53" s="26" t="n">
        <v>0</v>
      </c>
      <c r="Q53" s="24" t="n">
        <f aca="false">IF(O53=1,1/(1+EXP(-(P53-Inputs!$B$12)/Inputs!$B$13)),0)</f>
        <v>0</v>
      </c>
      <c r="R53" s="24" t="n">
        <f aca="false">N53*O53</f>
        <v>0</v>
      </c>
      <c r="S53" s="12" t="n">
        <f aca="false">N53*Q53</f>
        <v>0</v>
      </c>
      <c r="T53" s="24" t="n">
        <f aca="false">N53^2</f>
        <v>1.28962401089504</v>
      </c>
    </row>
    <row r="54" customFormat="false" ht="15" hidden="false" customHeight="false" outlineLevel="0" collapsed="false">
      <c r="A54" s="5" t="s">
        <v>306</v>
      </c>
      <c r="B54" s="5" t="s">
        <v>142</v>
      </c>
      <c r="C54" s="5" t="s">
        <v>54</v>
      </c>
      <c r="D54" s="5" t="s">
        <v>62</v>
      </c>
      <c r="E54" s="5" t="s">
        <v>73</v>
      </c>
      <c r="F54" s="26" t="n">
        <v>20.3</v>
      </c>
      <c r="G54" s="26" t="n">
        <v>23.77</v>
      </c>
      <c r="H54" s="30" t="n">
        <v>0.545</v>
      </c>
      <c r="I54" s="28" t="n">
        <f aca="false">H54*G54/3.6</f>
        <v>3.59851388888889</v>
      </c>
      <c r="J54" s="30" t="n">
        <v>5.01</v>
      </c>
      <c r="K54" s="30" t="n">
        <v>2.199</v>
      </c>
      <c r="L54" s="30" t="n">
        <v>1.455</v>
      </c>
      <c r="M54" s="30" t="n">
        <v>7.78</v>
      </c>
      <c r="N54" s="25" t="n">
        <v>0.0604297141726446</v>
      </c>
      <c r="O54" s="17" t="n">
        <v>1</v>
      </c>
      <c r="P54" s="26" t="n">
        <v>21.85</v>
      </c>
      <c r="Q54" s="24" t="n">
        <f aca="false">IF(O54=1,1/(1+EXP(-(P54-Inputs!$B$12)/Inputs!$B$13)),0)</f>
        <v>0.0353269585112862</v>
      </c>
      <c r="R54" s="24" t="n">
        <f aca="false">N54*O54</f>
        <v>0.0604297141726446</v>
      </c>
      <c r="S54" s="12" t="n">
        <f aca="false">N54*Q54</f>
        <v>0.0021347980054259</v>
      </c>
      <c r="T54" s="24" t="n">
        <f aca="false">N54^2</f>
        <v>0.00365175035498752</v>
      </c>
    </row>
    <row r="55" customFormat="false" ht="15" hidden="false" customHeight="false" outlineLevel="0" collapsed="false">
      <c r="A55" s="5" t="s">
        <v>307</v>
      </c>
      <c r="B55" s="5" t="s">
        <v>142</v>
      </c>
      <c r="C55" s="5" t="s">
        <v>54</v>
      </c>
      <c r="D55" s="5" t="s">
        <v>62</v>
      </c>
      <c r="E55" s="5" t="s">
        <v>73</v>
      </c>
      <c r="F55" s="26" t="n">
        <v>32.65</v>
      </c>
      <c r="G55" s="26" t="n">
        <v>32.74</v>
      </c>
      <c r="H55" s="30" t="n">
        <v>0.731</v>
      </c>
      <c r="I55" s="28" t="n">
        <f aca="false">H55*G55/3.6</f>
        <v>6.64803888888889</v>
      </c>
      <c r="J55" s="30" t="n">
        <v>5.28</v>
      </c>
      <c r="K55" s="30" t="n">
        <v>0.975</v>
      </c>
      <c r="L55" s="30" t="n">
        <v>3.041</v>
      </c>
      <c r="M55" s="30" t="n">
        <v>3.94</v>
      </c>
      <c r="N55" s="25" t="n">
        <v>0.0334000007568029</v>
      </c>
      <c r="O55" s="17" t="n">
        <v>1</v>
      </c>
      <c r="P55" s="26" t="n">
        <v>18.71</v>
      </c>
      <c r="Q55" s="24" t="n">
        <f aca="false">IF(O55=1,1/(1+EXP(-(P55-Inputs!$B$12)/Inputs!$B$13)),0)</f>
        <v>0.0228494366391905</v>
      </c>
      <c r="R55" s="24" t="n">
        <f aca="false">N55*O55</f>
        <v>0.0334000007568029</v>
      </c>
      <c r="S55" s="12" t="n">
        <f aca="false">N55*Q55</f>
        <v>0.000763171201041483</v>
      </c>
      <c r="T55" s="24" t="n">
        <f aca="false">N55^2</f>
        <v>0.00111556005055443</v>
      </c>
    </row>
    <row r="56" customFormat="false" ht="15" hidden="false" customHeight="false" outlineLevel="0" collapsed="false">
      <c r="A56" s="5" t="s">
        <v>308</v>
      </c>
      <c r="B56" s="5" t="s">
        <v>143</v>
      </c>
      <c r="C56" s="5" t="s">
        <v>54</v>
      </c>
      <c r="D56" s="5" t="s">
        <v>64</v>
      </c>
      <c r="E56" s="5" t="s">
        <v>68</v>
      </c>
      <c r="F56" s="26" t="n">
        <v>43.39</v>
      </c>
      <c r="G56" s="26" t="n">
        <v>43.92</v>
      </c>
      <c r="H56" s="30" t="n">
        <v>4.322</v>
      </c>
      <c r="I56" s="28" t="n">
        <f aca="false">H56*G56/3.6</f>
        <v>52.7284</v>
      </c>
      <c r="J56" s="30" t="n">
        <v>5</v>
      </c>
      <c r="K56" s="30" t="n">
        <v>2.315</v>
      </c>
      <c r="L56" s="30" t="n">
        <v>2.147</v>
      </c>
      <c r="M56" s="30" t="n">
        <v>6.39</v>
      </c>
      <c r="N56" s="25" t="n">
        <v>0.0185754008941843</v>
      </c>
      <c r="O56" s="17" t="n">
        <v>0</v>
      </c>
      <c r="P56" s="26" t="n">
        <v>0</v>
      </c>
      <c r="Q56" s="24" t="n">
        <f aca="false">IF(O56=1,1/(1+EXP(-(P56-Inputs!$B$12)/Inputs!$B$13)),0)</f>
        <v>0</v>
      </c>
      <c r="R56" s="24" t="n">
        <f aca="false">N56*O56</f>
        <v>0</v>
      </c>
      <c r="S56" s="12" t="n">
        <f aca="false">N56*Q56</f>
        <v>0</v>
      </c>
      <c r="T56" s="24" t="n">
        <f aca="false">N56^2</f>
        <v>0.000345045518379664</v>
      </c>
    </row>
    <row r="57" customFormat="false" ht="15" hidden="false" customHeight="false" outlineLevel="0" collapsed="false">
      <c r="A57" s="5" t="s">
        <v>309</v>
      </c>
      <c r="B57" s="5" t="s">
        <v>143</v>
      </c>
      <c r="C57" s="5" t="s">
        <v>54</v>
      </c>
      <c r="D57" s="5" t="s">
        <v>64</v>
      </c>
      <c r="E57" s="5" t="s">
        <v>68</v>
      </c>
      <c r="F57" s="26" t="n">
        <v>44.84</v>
      </c>
      <c r="G57" s="26" t="n">
        <v>44.37</v>
      </c>
      <c r="H57" s="30" t="n">
        <v>3.796</v>
      </c>
      <c r="I57" s="28" t="n">
        <f aca="false">H57*G57/3.6</f>
        <v>46.7857</v>
      </c>
      <c r="J57" s="30" t="n">
        <v>4.55</v>
      </c>
      <c r="K57" s="30" t="n">
        <v>1.742</v>
      </c>
      <c r="L57" s="30" t="n">
        <v>1.462</v>
      </c>
      <c r="M57" s="30" t="n">
        <v>5.41</v>
      </c>
      <c r="N57" s="25" t="n">
        <v>0.209588187292704</v>
      </c>
      <c r="O57" s="17" t="n">
        <v>0</v>
      </c>
      <c r="P57" s="26" t="n">
        <v>0</v>
      </c>
      <c r="Q57" s="24" t="n">
        <f aca="false">IF(O57=1,1/(1+EXP(-(P57-Inputs!$B$12)/Inputs!$B$13)),0)</f>
        <v>0</v>
      </c>
      <c r="R57" s="24" t="n">
        <f aca="false">N57*O57</f>
        <v>0</v>
      </c>
      <c r="S57" s="12" t="n">
        <f aca="false">N57*Q57</f>
        <v>0</v>
      </c>
      <c r="T57" s="24" t="n">
        <f aca="false">N57^2</f>
        <v>0.0439272082526417</v>
      </c>
    </row>
    <row r="58" customFormat="false" ht="15" hidden="false" customHeight="false" outlineLevel="0" collapsed="false">
      <c r="A58" s="5" t="s">
        <v>310</v>
      </c>
      <c r="B58" s="5" t="s">
        <v>143</v>
      </c>
      <c r="C58" s="5" t="s">
        <v>54</v>
      </c>
      <c r="D58" s="5" t="s">
        <v>64</v>
      </c>
      <c r="E58" s="5" t="s">
        <v>68</v>
      </c>
      <c r="F58" s="26" t="n">
        <v>51.61</v>
      </c>
      <c r="G58" s="26" t="n">
        <v>50.6</v>
      </c>
      <c r="H58" s="30" t="n">
        <v>4.225</v>
      </c>
      <c r="I58" s="28" t="n">
        <f aca="false">H58*G58/3.6</f>
        <v>59.3847222222222</v>
      </c>
      <c r="J58" s="30" t="n">
        <v>2.52</v>
      </c>
      <c r="K58" s="30" t="n">
        <v>1.519</v>
      </c>
      <c r="L58" s="30" t="n">
        <v>1.486</v>
      </c>
      <c r="M58" s="30" t="n">
        <v>5.85</v>
      </c>
      <c r="N58" s="25" t="n">
        <v>0.233707227843049</v>
      </c>
      <c r="O58" s="17" t="n">
        <v>0</v>
      </c>
      <c r="P58" s="26" t="n">
        <v>0</v>
      </c>
      <c r="Q58" s="24" t="n">
        <f aca="false">IF(O58=1,1/(1+EXP(-(P58-Inputs!$B$12)/Inputs!$B$13)),0)</f>
        <v>0</v>
      </c>
      <c r="R58" s="24" t="n">
        <f aca="false">N58*O58</f>
        <v>0</v>
      </c>
      <c r="S58" s="12" t="n">
        <f aca="false">N58*Q58</f>
        <v>0</v>
      </c>
      <c r="T58" s="24" t="n">
        <f aca="false">N58^2</f>
        <v>0.054619068346083</v>
      </c>
    </row>
    <row r="59" customFormat="false" ht="15" hidden="false" customHeight="false" outlineLevel="0" collapsed="false">
      <c r="A59" s="5" t="s">
        <v>311</v>
      </c>
      <c r="B59" s="5" t="s">
        <v>143</v>
      </c>
      <c r="C59" s="5" t="s">
        <v>54</v>
      </c>
      <c r="D59" s="5" t="s">
        <v>64</v>
      </c>
      <c r="E59" s="5" t="s">
        <v>68</v>
      </c>
      <c r="F59" s="26" t="n">
        <v>50.4</v>
      </c>
      <c r="G59" s="26" t="n">
        <v>50.45</v>
      </c>
      <c r="H59" s="30" t="n">
        <v>4.652</v>
      </c>
      <c r="I59" s="28" t="n">
        <f aca="false">H59*G59/3.6</f>
        <v>65.1926111111111</v>
      </c>
      <c r="J59" s="30" t="n">
        <v>3.11</v>
      </c>
      <c r="K59" s="30" t="n">
        <v>2.047</v>
      </c>
      <c r="L59" s="30" t="n">
        <v>1.206</v>
      </c>
      <c r="M59" s="30" t="n">
        <v>6.43</v>
      </c>
      <c r="N59" s="25" t="n">
        <v>0.273742195228417</v>
      </c>
      <c r="O59" s="17" t="n">
        <v>0</v>
      </c>
      <c r="P59" s="26" t="n">
        <v>0</v>
      </c>
      <c r="Q59" s="24" t="n">
        <f aca="false">IF(O59=1,1/(1+EXP(-(P59-Inputs!$B$12)/Inputs!$B$13)),0)</f>
        <v>0</v>
      </c>
      <c r="R59" s="24" t="n">
        <f aca="false">N59*O59</f>
        <v>0</v>
      </c>
      <c r="S59" s="12" t="n">
        <f aca="false">N59*Q59</f>
        <v>0</v>
      </c>
      <c r="T59" s="24" t="n">
        <f aca="false">N59^2</f>
        <v>0.0749347894484727</v>
      </c>
    </row>
    <row r="60" customFormat="false" ht="15" hidden="false" customHeight="false" outlineLevel="0" collapsed="false">
      <c r="A60" s="5" t="s">
        <v>312</v>
      </c>
      <c r="B60" s="5" t="s">
        <v>143</v>
      </c>
      <c r="C60" s="5" t="s">
        <v>54</v>
      </c>
      <c r="D60" s="5" t="s">
        <v>64</v>
      </c>
      <c r="E60" s="5" t="s">
        <v>68</v>
      </c>
      <c r="F60" s="26" t="n">
        <v>36.67</v>
      </c>
      <c r="G60" s="26" t="n">
        <v>38.18</v>
      </c>
      <c r="H60" s="30" t="n">
        <v>3.384</v>
      </c>
      <c r="I60" s="28" t="n">
        <f aca="false">H60*G60/3.6</f>
        <v>35.8892</v>
      </c>
      <c r="J60" s="30" t="n">
        <v>4.02</v>
      </c>
      <c r="K60" s="30" t="n">
        <v>1.049</v>
      </c>
      <c r="L60" s="30" t="n">
        <v>2.296</v>
      </c>
      <c r="M60" s="30" t="n">
        <v>3.82</v>
      </c>
      <c r="N60" s="25" t="n">
        <v>0.149322678167579</v>
      </c>
      <c r="O60" s="17" t="n">
        <v>0</v>
      </c>
      <c r="P60" s="26" t="n">
        <v>0</v>
      </c>
      <c r="Q60" s="24" t="n">
        <f aca="false">IF(O60=1,1/(1+EXP(-(P60-Inputs!$B$12)/Inputs!$B$13)),0)</f>
        <v>0</v>
      </c>
      <c r="R60" s="24" t="n">
        <f aca="false">N60*O60</f>
        <v>0</v>
      </c>
      <c r="S60" s="12" t="n">
        <f aca="false">N60*Q60</f>
        <v>0</v>
      </c>
      <c r="T60" s="24" t="n">
        <f aca="false">N60^2</f>
        <v>0.0222972622151383</v>
      </c>
    </row>
    <row r="61" customFormat="false" ht="15" hidden="false" customHeight="false" outlineLevel="0" collapsed="false">
      <c r="A61" s="5" t="s">
        <v>313</v>
      </c>
      <c r="B61" s="5" t="s">
        <v>143</v>
      </c>
      <c r="C61" s="5" t="s">
        <v>54</v>
      </c>
      <c r="D61" s="5" t="s">
        <v>64</v>
      </c>
      <c r="E61" s="5" t="s">
        <v>68</v>
      </c>
      <c r="F61" s="26" t="n">
        <v>47.65</v>
      </c>
      <c r="G61" s="26" t="n">
        <v>46.53</v>
      </c>
      <c r="H61" s="30" t="n">
        <v>3.073</v>
      </c>
      <c r="I61" s="28" t="n">
        <f aca="false">H61*G61/3.6</f>
        <v>39.718525</v>
      </c>
      <c r="J61" s="30" t="n">
        <v>5.85</v>
      </c>
      <c r="K61" s="30" t="n">
        <v>1.773</v>
      </c>
      <c r="L61" s="30" t="n">
        <v>2.21</v>
      </c>
      <c r="M61" s="30" t="n">
        <v>5.5</v>
      </c>
      <c r="N61" s="25" t="n">
        <v>0.0392906075415401</v>
      </c>
      <c r="O61" s="17" t="n">
        <v>0</v>
      </c>
      <c r="P61" s="26" t="n">
        <v>0</v>
      </c>
      <c r="Q61" s="24" t="n">
        <f aca="false">IF(O61=1,1/(1+EXP(-(P61-Inputs!$B$12)/Inputs!$B$13)),0)</f>
        <v>0</v>
      </c>
      <c r="R61" s="24" t="n">
        <f aca="false">N61*O61</f>
        <v>0</v>
      </c>
      <c r="S61" s="12" t="n">
        <f aca="false">N61*Q61</f>
        <v>0</v>
      </c>
      <c r="T61" s="24" t="n">
        <f aca="false">N61^2</f>
        <v>0.00154375184098333</v>
      </c>
    </row>
    <row r="62" customFormat="false" ht="15" hidden="false" customHeight="false" outlineLevel="0" collapsed="false">
      <c r="A62" s="5" t="s">
        <v>314</v>
      </c>
      <c r="B62" s="5" t="s">
        <v>143</v>
      </c>
      <c r="C62" s="5" t="s">
        <v>54</v>
      </c>
      <c r="D62" s="5" t="s">
        <v>64</v>
      </c>
      <c r="E62" s="5" t="s">
        <v>68</v>
      </c>
      <c r="F62" s="26" t="n">
        <v>37.85</v>
      </c>
      <c r="G62" s="26" t="n">
        <v>38.25</v>
      </c>
      <c r="H62" s="30" t="n">
        <v>3.468</v>
      </c>
      <c r="I62" s="28" t="n">
        <f aca="false">H62*G62/3.6</f>
        <v>36.8475</v>
      </c>
      <c r="J62" s="30" t="n">
        <v>4.6</v>
      </c>
      <c r="K62" s="30" t="n">
        <v>1.2</v>
      </c>
      <c r="L62" s="30" t="n">
        <v>1.208</v>
      </c>
      <c r="M62" s="30" t="n">
        <v>7.35</v>
      </c>
      <c r="N62" s="25" t="n">
        <v>0.500990344214429</v>
      </c>
      <c r="O62" s="17" t="n">
        <v>0</v>
      </c>
      <c r="P62" s="26" t="n">
        <v>0</v>
      </c>
      <c r="Q62" s="24" t="n">
        <f aca="false">IF(O62=1,1/(1+EXP(-(P62-Inputs!$B$12)/Inputs!$B$13)),0)</f>
        <v>0</v>
      </c>
      <c r="R62" s="24" t="n">
        <f aca="false">N62*O62</f>
        <v>0</v>
      </c>
      <c r="S62" s="12" t="n">
        <f aca="false">N62*Q62</f>
        <v>0</v>
      </c>
      <c r="T62" s="24" t="n">
        <f aca="false">N62^2</f>
        <v>0.250991324996092</v>
      </c>
    </row>
    <row r="63" customFormat="false" ht="15" hidden="false" customHeight="false" outlineLevel="0" collapsed="false">
      <c r="A63" s="5" t="s">
        <v>315</v>
      </c>
      <c r="B63" s="5" t="s">
        <v>143</v>
      </c>
      <c r="C63" s="5" t="s">
        <v>54</v>
      </c>
      <c r="D63" s="5" t="s">
        <v>64</v>
      </c>
      <c r="E63" s="5" t="s">
        <v>68</v>
      </c>
      <c r="F63" s="26" t="n">
        <v>53.78</v>
      </c>
      <c r="G63" s="26" t="n">
        <v>53.58</v>
      </c>
      <c r="H63" s="30" t="n">
        <v>5.421</v>
      </c>
      <c r="I63" s="28" t="n">
        <f aca="false">H63*G63/3.6</f>
        <v>80.68255</v>
      </c>
      <c r="J63" s="30" t="n">
        <v>3.32</v>
      </c>
      <c r="K63" s="30" t="n">
        <v>3.534</v>
      </c>
      <c r="L63" s="30" t="n">
        <v>1.373</v>
      </c>
      <c r="M63" s="30" t="n">
        <v>5.67</v>
      </c>
      <c r="N63" s="25" t="n">
        <v>0.12259259281508</v>
      </c>
      <c r="O63" s="17" t="n">
        <v>0</v>
      </c>
      <c r="P63" s="26" t="n">
        <v>0</v>
      </c>
      <c r="Q63" s="24" t="n">
        <f aca="false">IF(O63=1,1/(1+EXP(-(P63-Inputs!$B$12)/Inputs!$B$13)),0)</f>
        <v>0</v>
      </c>
      <c r="R63" s="24" t="n">
        <f aca="false">N63*O63</f>
        <v>0</v>
      </c>
      <c r="S63" s="12" t="n">
        <f aca="false">N63*Q63</f>
        <v>0</v>
      </c>
      <c r="T63" s="24" t="n">
        <f aca="false">N63^2</f>
        <v>0.015028943813124</v>
      </c>
    </row>
    <row r="64" customFormat="false" ht="15" hidden="false" customHeight="false" outlineLevel="0" collapsed="false">
      <c r="A64" s="5" t="s">
        <v>316</v>
      </c>
      <c r="B64" s="5" t="s">
        <v>143</v>
      </c>
      <c r="C64" s="5" t="s">
        <v>54</v>
      </c>
      <c r="D64" s="5" t="s">
        <v>64</v>
      </c>
      <c r="E64" s="5" t="s">
        <v>68</v>
      </c>
      <c r="F64" s="26" t="n">
        <v>35.93</v>
      </c>
      <c r="G64" s="26" t="n">
        <v>38.81</v>
      </c>
      <c r="H64" s="30" t="n">
        <v>3.409</v>
      </c>
      <c r="I64" s="28" t="n">
        <f aca="false">H64*G64/3.6</f>
        <v>36.7509138888889</v>
      </c>
      <c r="J64" s="30" t="n">
        <v>2.75</v>
      </c>
      <c r="K64" s="30" t="n">
        <v>1.71</v>
      </c>
      <c r="L64" s="30" t="n">
        <v>1.163</v>
      </c>
      <c r="M64" s="30" t="n">
        <v>5.44</v>
      </c>
      <c r="N64" s="25" t="n">
        <v>0.486580483892463</v>
      </c>
      <c r="O64" s="17" t="n">
        <v>0</v>
      </c>
      <c r="P64" s="26" t="n">
        <v>0</v>
      </c>
      <c r="Q64" s="24" t="n">
        <f aca="false">IF(O64=1,1/(1+EXP(-(P64-Inputs!$B$12)/Inputs!$B$13)),0)</f>
        <v>0</v>
      </c>
      <c r="R64" s="24" t="n">
        <f aca="false">N64*O64</f>
        <v>0</v>
      </c>
      <c r="S64" s="12" t="n">
        <f aca="false">N64*Q64</f>
        <v>0</v>
      </c>
      <c r="T64" s="24" t="n">
        <f aca="false">N64^2</f>
        <v>0.236760567305024</v>
      </c>
    </row>
    <row r="65" customFormat="false" ht="15" hidden="false" customHeight="false" outlineLevel="0" collapsed="false">
      <c r="A65" s="5" t="s">
        <v>317</v>
      </c>
      <c r="B65" s="5" t="s">
        <v>143</v>
      </c>
      <c r="C65" s="5" t="s">
        <v>54</v>
      </c>
      <c r="D65" s="5" t="s">
        <v>64</v>
      </c>
      <c r="E65" s="5" t="s">
        <v>68</v>
      </c>
      <c r="F65" s="26" t="n">
        <v>51.65</v>
      </c>
      <c r="G65" s="26" t="n">
        <v>51.21</v>
      </c>
      <c r="H65" s="30" t="n">
        <v>4.356</v>
      </c>
      <c r="I65" s="28" t="n">
        <f aca="false">H65*G65/3.6</f>
        <v>61.9641</v>
      </c>
      <c r="J65" s="30" t="n">
        <v>5.33</v>
      </c>
      <c r="K65" s="30" t="n">
        <v>4.206</v>
      </c>
      <c r="L65" s="30" t="n">
        <v>2.253</v>
      </c>
      <c r="M65" s="30" t="n">
        <v>4.02</v>
      </c>
      <c r="N65" s="25" t="n">
        <v>0.00997021025187192</v>
      </c>
      <c r="O65" s="17" t="n">
        <v>0</v>
      </c>
      <c r="P65" s="26" t="n">
        <v>0</v>
      </c>
      <c r="Q65" s="24" t="n">
        <f aca="false">IF(O65=1,1/(1+EXP(-(P65-Inputs!$B$12)/Inputs!$B$13)),0)</f>
        <v>0</v>
      </c>
      <c r="R65" s="24" t="n">
        <f aca="false">N65*O65</f>
        <v>0</v>
      </c>
      <c r="S65" s="12" t="n">
        <f aca="false">N65*Q65</f>
        <v>0</v>
      </c>
      <c r="T65" s="24" t="n">
        <f aca="false">N65^2</f>
        <v>9.94050924665319E-005</v>
      </c>
    </row>
    <row r="66" customFormat="false" ht="15" hidden="false" customHeight="false" outlineLevel="0" collapsed="false">
      <c r="A66" s="5" t="s">
        <v>318</v>
      </c>
      <c r="B66" s="5" t="s">
        <v>144</v>
      </c>
      <c r="C66" s="5" t="s">
        <v>54</v>
      </c>
      <c r="D66" s="5" t="s">
        <v>64</v>
      </c>
      <c r="E66" s="5" t="s">
        <v>70</v>
      </c>
      <c r="F66" s="26" t="n">
        <v>35.78</v>
      </c>
      <c r="G66" s="26" t="n">
        <v>37.21</v>
      </c>
      <c r="H66" s="30" t="n">
        <v>2.059</v>
      </c>
      <c r="I66" s="28" t="n">
        <f aca="false">H66*G66/3.6</f>
        <v>21.2820527777778</v>
      </c>
      <c r="J66" s="30" t="n">
        <v>3.95</v>
      </c>
      <c r="K66" s="30" t="n">
        <v>1.732</v>
      </c>
      <c r="L66" s="30" t="n">
        <v>1.276</v>
      </c>
      <c r="M66" s="30" t="n">
        <v>6.52</v>
      </c>
      <c r="N66" s="25" t="n">
        <v>0.287296227032348</v>
      </c>
      <c r="O66" s="17" t="n">
        <v>0</v>
      </c>
      <c r="P66" s="26" t="n">
        <v>0</v>
      </c>
      <c r="Q66" s="24" t="n">
        <f aca="false">IF(O66=1,1/(1+EXP(-(P66-Inputs!$B$12)/Inputs!$B$13)),0)</f>
        <v>0</v>
      </c>
      <c r="R66" s="24" t="n">
        <f aca="false">N66*O66</f>
        <v>0</v>
      </c>
      <c r="S66" s="12" t="n">
        <f aca="false">N66*Q66</f>
        <v>0</v>
      </c>
      <c r="T66" s="24" t="n">
        <f aca="false">N66^2</f>
        <v>0.0825391220670226</v>
      </c>
    </row>
    <row r="67" customFormat="false" ht="15" hidden="false" customHeight="false" outlineLevel="0" collapsed="false">
      <c r="A67" s="5" t="s">
        <v>319</v>
      </c>
      <c r="B67" s="5" t="s">
        <v>144</v>
      </c>
      <c r="C67" s="5" t="s">
        <v>54</v>
      </c>
      <c r="D67" s="5" t="s">
        <v>64</v>
      </c>
      <c r="E67" s="5" t="s">
        <v>70</v>
      </c>
      <c r="F67" s="26" t="n">
        <v>53.36</v>
      </c>
      <c r="G67" s="26" t="n">
        <v>51.89</v>
      </c>
      <c r="H67" s="30" t="n">
        <v>2.381</v>
      </c>
      <c r="I67" s="28" t="n">
        <f aca="false">H67*G67/3.6</f>
        <v>34.3194694444444</v>
      </c>
      <c r="J67" s="30" t="n">
        <v>3.92</v>
      </c>
      <c r="K67" s="30" t="n">
        <v>2.249</v>
      </c>
      <c r="L67" s="30" t="n">
        <v>1.181</v>
      </c>
      <c r="M67" s="30" t="n">
        <v>6.77</v>
      </c>
      <c r="N67" s="25" t="n">
        <v>0.177811033481393</v>
      </c>
      <c r="O67" s="17" t="n">
        <v>0</v>
      </c>
      <c r="P67" s="26" t="n">
        <v>0</v>
      </c>
      <c r="Q67" s="24" t="n">
        <f aca="false">IF(O67=1,1/(1+EXP(-(P67-Inputs!$B$12)/Inputs!$B$13)),0)</f>
        <v>0</v>
      </c>
      <c r="R67" s="24" t="n">
        <f aca="false">N67*O67</f>
        <v>0</v>
      </c>
      <c r="S67" s="12" t="n">
        <f aca="false">N67*Q67</f>
        <v>0</v>
      </c>
      <c r="T67" s="24" t="n">
        <f aca="false">N67^2</f>
        <v>0.0316167636277212</v>
      </c>
    </row>
    <row r="68" customFormat="false" ht="15" hidden="false" customHeight="false" outlineLevel="0" collapsed="false">
      <c r="A68" s="5" t="s">
        <v>320</v>
      </c>
      <c r="B68" s="5" t="s">
        <v>144</v>
      </c>
      <c r="C68" s="5" t="s">
        <v>54</v>
      </c>
      <c r="D68" s="5" t="s">
        <v>64</v>
      </c>
      <c r="E68" s="5" t="s">
        <v>70</v>
      </c>
      <c r="F68" s="26" t="n">
        <v>43.17</v>
      </c>
      <c r="G68" s="26" t="n">
        <v>44.85</v>
      </c>
      <c r="H68" s="30" t="n">
        <v>2.353</v>
      </c>
      <c r="I68" s="28" t="n">
        <f aca="false">H68*G68/3.6</f>
        <v>29.3144583333333</v>
      </c>
      <c r="J68" s="30" t="n">
        <v>5.03</v>
      </c>
      <c r="K68" s="30" t="n">
        <v>0.839</v>
      </c>
      <c r="L68" s="30" t="n">
        <v>1.075</v>
      </c>
      <c r="M68" s="30" t="n">
        <v>7.43</v>
      </c>
      <c r="N68" s="25" t="n">
        <v>1.44780738418583</v>
      </c>
      <c r="O68" s="17" t="n">
        <v>0</v>
      </c>
      <c r="P68" s="26" t="n">
        <v>0</v>
      </c>
      <c r="Q68" s="24" t="n">
        <f aca="false">IF(O68=1,1/(1+EXP(-(P68-Inputs!$B$12)/Inputs!$B$13)),0)</f>
        <v>0</v>
      </c>
      <c r="R68" s="24" t="n">
        <f aca="false">N68*O68</f>
        <v>0</v>
      </c>
      <c r="S68" s="12" t="n">
        <f aca="false">N68*Q68</f>
        <v>0</v>
      </c>
      <c r="T68" s="24" t="n">
        <f aca="false">N68^2</f>
        <v>2.09614622170301</v>
      </c>
    </row>
    <row r="69" customFormat="false" ht="15" hidden="false" customHeight="false" outlineLevel="0" collapsed="false">
      <c r="A69" s="5" t="s">
        <v>321</v>
      </c>
      <c r="B69" s="5" t="s">
        <v>144</v>
      </c>
      <c r="C69" s="5" t="s">
        <v>54</v>
      </c>
      <c r="D69" s="5" t="s">
        <v>64</v>
      </c>
      <c r="E69" s="5" t="s">
        <v>70</v>
      </c>
      <c r="F69" s="26" t="n">
        <v>38.94</v>
      </c>
      <c r="G69" s="26" t="n">
        <v>39.76</v>
      </c>
      <c r="H69" s="30" t="n">
        <v>2.154</v>
      </c>
      <c r="I69" s="28" t="n">
        <f aca="false">H69*G69/3.6</f>
        <v>23.7897333333333</v>
      </c>
      <c r="J69" s="30" t="n">
        <v>2.65</v>
      </c>
      <c r="K69" s="30" t="n">
        <v>0.881</v>
      </c>
      <c r="L69" s="30" t="n">
        <v>0.946</v>
      </c>
      <c r="M69" s="30" t="n">
        <v>7.88</v>
      </c>
      <c r="N69" s="25" t="n">
        <v>1.32727481378549</v>
      </c>
      <c r="O69" s="17" t="n">
        <v>0</v>
      </c>
      <c r="P69" s="26" t="n">
        <v>0</v>
      </c>
      <c r="Q69" s="24" t="n">
        <f aca="false">IF(O69=1,1/(1+EXP(-(P69-Inputs!$B$12)/Inputs!$B$13)),0)</f>
        <v>0</v>
      </c>
      <c r="R69" s="24" t="n">
        <f aca="false">N69*O69</f>
        <v>0</v>
      </c>
      <c r="S69" s="12" t="n">
        <f aca="false">N69*Q69</f>
        <v>0</v>
      </c>
      <c r="T69" s="24" t="n">
        <f aca="false">N69^2</f>
        <v>1.76165843130931</v>
      </c>
    </row>
    <row r="70" customFormat="false" ht="15" hidden="false" customHeight="false" outlineLevel="0" collapsed="false">
      <c r="A70" s="5" t="s">
        <v>322</v>
      </c>
      <c r="B70" s="5" t="s">
        <v>144</v>
      </c>
      <c r="C70" s="5" t="s">
        <v>54</v>
      </c>
      <c r="D70" s="5" t="s">
        <v>64</v>
      </c>
      <c r="E70" s="5" t="s">
        <v>70</v>
      </c>
      <c r="F70" s="26" t="n">
        <v>35.61</v>
      </c>
      <c r="G70" s="26" t="n">
        <v>36.37</v>
      </c>
      <c r="H70" s="30" t="n">
        <v>2.004</v>
      </c>
      <c r="I70" s="28" t="n">
        <f aca="false">H70*G70/3.6</f>
        <v>20.2459666666667</v>
      </c>
      <c r="J70" s="30" t="n">
        <v>4.07</v>
      </c>
      <c r="K70" s="30" t="n">
        <v>1.787</v>
      </c>
      <c r="L70" s="30" t="n">
        <v>1.203</v>
      </c>
      <c r="M70" s="30" t="n">
        <v>7.77</v>
      </c>
      <c r="N70" s="25" t="n">
        <v>0.257382242192096</v>
      </c>
      <c r="O70" s="17" t="n">
        <v>0</v>
      </c>
      <c r="P70" s="26" t="n">
        <v>0</v>
      </c>
      <c r="Q70" s="24" t="n">
        <f aca="false">IF(O70=1,1/(1+EXP(-(P70-Inputs!$B$12)/Inputs!$B$13)),0)</f>
        <v>0</v>
      </c>
      <c r="R70" s="24" t="n">
        <f aca="false">N70*O70</f>
        <v>0</v>
      </c>
      <c r="S70" s="12" t="n">
        <f aca="false">N70*Q70</f>
        <v>0</v>
      </c>
      <c r="T70" s="24" t="n">
        <f aca="false">N70^2</f>
        <v>0.066245618595831</v>
      </c>
    </row>
    <row r="71" customFormat="false" ht="15" hidden="false" customHeight="false" outlineLevel="0" collapsed="false">
      <c r="A71" s="5" t="s">
        <v>323</v>
      </c>
      <c r="B71" s="5" t="s">
        <v>144</v>
      </c>
      <c r="C71" s="5" t="s">
        <v>54</v>
      </c>
      <c r="D71" s="5" t="s">
        <v>64</v>
      </c>
      <c r="E71" s="5" t="s">
        <v>70</v>
      </c>
      <c r="F71" s="26" t="n">
        <v>44.22</v>
      </c>
      <c r="G71" s="26" t="n">
        <v>46.26</v>
      </c>
      <c r="H71" s="30" t="n">
        <v>2.233</v>
      </c>
      <c r="I71" s="28" t="n">
        <f aca="false">H71*G71/3.6</f>
        <v>28.69405</v>
      </c>
      <c r="J71" s="30" t="n">
        <v>5.5</v>
      </c>
      <c r="K71" s="30" t="n">
        <v>0.91</v>
      </c>
      <c r="L71" s="30" t="n">
        <v>2.641</v>
      </c>
      <c r="M71" s="30" t="n">
        <v>3.87</v>
      </c>
      <c r="N71" s="25" t="n">
        <v>0.0854166736751977</v>
      </c>
      <c r="O71" s="17" t="n">
        <v>0</v>
      </c>
      <c r="P71" s="26" t="n">
        <v>0</v>
      </c>
      <c r="Q71" s="24" t="n">
        <f aca="false">IF(O71=1,1/(1+EXP(-(P71-Inputs!$B$12)/Inputs!$B$13)),0)</f>
        <v>0</v>
      </c>
      <c r="R71" s="24" t="n">
        <f aca="false">N71*O71</f>
        <v>0</v>
      </c>
      <c r="S71" s="12" t="n">
        <f aca="false">N71*Q71</f>
        <v>0</v>
      </c>
      <c r="T71" s="24" t="n">
        <f aca="false">N71^2</f>
        <v>0.00729600814173521</v>
      </c>
    </row>
    <row r="72" customFormat="false" ht="15" hidden="false" customHeight="false" outlineLevel="0" collapsed="false">
      <c r="A72" s="5" t="s">
        <v>324</v>
      </c>
      <c r="B72" s="5" t="s">
        <v>144</v>
      </c>
      <c r="C72" s="5" t="s">
        <v>54</v>
      </c>
      <c r="D72" s="5" t="s">
        <v>64</v>
      </c>
      <c r="E72" s="5" t="s">
        <v>70</v>
      </c>
      <c r="F72" s="26" t="n">
        <v>39.85</v>
      </c>
      <c r="G72" s="26" t="n">
        <v>39.43</v>
      </c>
      <c r="H72" s="30" t="n">
        <v>2.027</v>
      </c>
      <c r="I72" s="28" t="n">
        <f aca="false">H72*G72/3.6</f>
        <v>22.2012805555556</v>
      </c>
      <c r="J72" s="30" t="n">
        <v>2.63</v>
      </c>
      <c r="K72" s="30" t="n">
        <v>0.533</v>
      </c>
      <c r="L72" s="30" t="n">
        <v>1.87</v>
      </c>
      <c r="M72" s="30" t="n">
        <v>6.84</v>
      </c>
      <c r="N72" s="25" t="n">
        <v>0.573700294831703</v>
      </c>
      <c r="O72" s="17" t="n">
        <v>0</v>
      </c>
      <c r="P72" s="26" t="n">
        <v>0</v>
      </c>
      <c r="Q72" s="24" t="n">
        <f aca="false">IF(O72=1,1/(1+EXP(-(P72-Inputs!$B$12)/Inputs!$B$13)),0)</f>
        <v>0</v>
      </c>
      <c r="R72" s="24" t="n">
        <f aca="false">N72*O72</f>
        <v>0</v>
      </c>
      <c r="S72" s="12" t="n">
        <f aca="false">N72*Q72</f>
        <v>0</v>
      </c>
      <c r="T72" s="24" t="n">
        <f aca="false">N72^2</f>
        <v>0.329132028289983</v>
      </c>
    </row>
    <row r="73" customFormat="false" ht="15" hidden="false" customHeight="false" outlineLevel="0" collapsed="false">
      <c r="A73" s="5" t="s">
        <v>325</v>
      </c>
      <c r="B73" s="5" t="s">
        <v>144</v>
      </c>
      <c r="C73" s="5" t="s">
        <v>54</v>
      </c>
      <c r="D73" s="5" t="s">
        <v>64</v>
      </c>
      <c r="E73" s="5" t="s">
        <v>70</v>
      </c>
      <c r="F73" s="26" t="n">
        <v>38.69</v>
      </c>
      <c r="G73" s="26" t="n">
        <v>38.67</v>
      </c>
      <c r="H73" s="30" t="n">
        <v>2.046</v>
      </c>
      <c r="I73" s="28" t="n">
        <f aca="false">H73*G73/3.6</f>
        <v>21.97745</v>
      </c>
      <c r="J73" s="30" t="n">
        <v>4.09</v>
      </c>
      <c r="K73" s="30" t="n">
        <v>2.157</v>
      </c>
      <c r="L73" s="30" t="n">
        <v>2.3</v>
      </c>
      <c r="M73" s="30" t="n">
        <v>5.35</v>
      </c>
      <c r="N73" s="25" t="n">
        <v>0.0197318570726468</v>
      </c>
      <c r="O73" s="17" t="n">
        <v>0</v>
      </c>
      <c r="P73" s="26" t="n">
        <v>0</v>
      </c>
      <c r="Q73" s="24" t="n">
        <f aca="false">IF(O73=1,1/(1+EXP(-(P73-Inputs!$B$12)/Inputs!$B$13)),0)</f>
        <v>0</v>
      </c>
      <c r="R73" s="24" t="n">
        <f aca="false">N73*O73</f>
        <v>0</v>
      </c>
      <c r="S73" s="12" t="n">
        <f aca="false">N73*Q73</f>
        <v>0</v>
      </c>
      <c r="T73" s="24" t="n">
        <f aca="false">N73^2</f>
        <v>0.000389346183535361</v>
      </c>
    </row>
    <row r="74" customFormat="false" ht="15" hidden="false" customHeight="false" outlineLevel="0" collapsed="false">
      <c r="A74" s="5" t="s">
        <v>326</v>
      </c>
      <c r="B74" s="5" t="s">
        <v>144</v>
      </c>
      <c r="C74" s="5" t="s">
        <v>54</v>
      </c>
      <c r="D74" s="5" t="s">
        <v>64</v>
      </c>
      <c r="E74" s="5" t="s">
        <v>70</v>
      </c>
      <c r="F74" s="26" t="n">
        <v>41.75</v>
      </c>
      <c r="G74" s="26" t="n">
        <v>44</v>
      </c>
      <c r="H74" s="30" t="n">
        <v>2.122</v>
      </c>
      <c r="I74" s="28" t="n">
        <f aca="false">H74*G74/3.6</f>
        <v>25.9355555555556</v>
      </c>
      <c r="J74" s="30" t="n">
        <v>5.82</v>
      </c>
      <c r="K74" s="30" t="n">
        <v>1.233</v>
      </c>
      <c r="L74" s="30" t="n">
        <v>1.784</v>
      </c>
      <c r="M74" s="30" t="n">
        <v>4.67</v>
      </c>
      <c r="N74" s="25" t="n">
        <v>0.2348098985484</v>
      </c>
      <c r="O74" s="17" t="n">
        <v>0</v>
      </c>
      <c r="P74" s="26" t="n">
        <v>0</v>
      </c>
      <c r="Q74" s="24" t="n">
        <f aca="false">IF(O74=1,1/(1+EXP(-(P74-Inputs!$B$12)/Inputs!$B$13)),0)</f>
        <v>0</v>
      </c>
      <c r="R74" s="24" t="n">
        <f aca="false">N74*O74</f>
        <v>0</v>
      </c>
      <c r="S74" s="12" t="n">
        <f aca="false">N74*Q74</f>
        <v>0</v>
      </c>
      <c r="T74" s="24" t="n">
        <f aca="false">N74^2</f>
        <v>0.0551356884563099</v>
      </c>
    </row>
    <row r="75" customFormat="false" ht="15" hidden="false" customHeight="false" outlineLevel="0" collapsed="false">
      <c r="A75" s="5" t="s">
        <v>327</v>
      </c>
      <c r="B75" s="5" t="s">
        <v>144</v>
      </c>
      <c r="C75" s="5" t="s">
        <v>54</v>
      </c>
      <c r="D75" s="5" t="s">
        <v>64</v>
      </c>
      <c r="E75" s="5" t="s">
        <v>70</v>
      </c>
      <c r="F75" s="26" t="n">
        <v>44.64</v>
      </c>
      <c r="G75" s="26" t="n">
        <v>46.05</v>
      </c>
      <c r="H75" s="30" t="n">
        <v>2.142</v>
      </c>
      <c r="I75" s="28" t="n">
        <f aca="false">H75*G75/3.6</f>
        <v>27.39975</v>
      </c>
      <c r="J75" s="30" t="n">
        <v>2.78</v>
      </c>
      <c r="K75" s="30" t="n">
        <v>1.996</v>
      </c>
      <c r="L75" s="30" t="n">
        <v>1.511</v>
      </c>
      <c r="M75" s="30" t="n">
        <v>5.54</v>
      </c>
      <c r="N75" s="25" t="n">
        <v>0.138148401113433</v>
      </c>
      <c r="O75" s="17" t="n">
        <v>0</v>
      </c>
      <c r="P75" s="26" t="n">
        <v>0</v>
      </c>
      <c r="Q75" s="24" t="n">
        <f aca="false">IF(O75=1,1/(1+EXP(-(P75-Inputs!$B$12)/Inputs!$B$13)),0)</f>
        <v>0</v>
      </c>
      <c r="R75" s="24" t="n">
        <f aca="false">N75*O75</f>
        <v>0</v>
      </c>
      <c r="S75" s="12" t="n">
        <f aca="false">N75*Q75</f>
        <v>0</v>
      </c>
      <c r="T75" s="24" t="n">
        <f aca="false">N75^2</f>
        <v>0.019084980730198</v>
      </c>
    </row>
    <row r="76" customFormat="false" ht="15" hidden="false" customHeight="false" outlineLevel="0" collapsed="false">
      <c r="A76" s="5" t="s">
        <v>328</v>
      </c>
      <c r="B76" s="5" t="s">
        <v>145</v>
      </c>
      <c r="C76" s="5" t="s">
        <v>54</v>
      </c>
      <c r="D76" s="5" t="s">
        <v>64</v>
      </c>
      <c r="E76" s="5" t="s">
        <v>71</v>
      </c>
      <c r="F76" s="26" t="n">
        <v>52.82</v>
      </c>
      <c r="G76" s="26" t="n">
        <v>52.47</v>
      </c>
      <c r="H76" s="30" t="n">
        <v>1.824</v>
      </c>
      <c r="I76" s="28" t="n">
        <f aca="false">H76*G76/3.6</f>
        <v>26.5848</v>
      </c>
      <c r="J76" s="30" t="n">
        <v>3.99</v>
      </c>
      <c r="K76" s="30" t="n">
        <v>1.492</v>
      </c>
      <c r="L76" s="30" t="n">
        <v>1.304</v>
      </c>
      <c r="M76" s="30" t="n">
        <v>4.53</v>
      </c>
      <c r="N76" s="25" t="n">
        <v>0.680885964365487</v>
      </c>
      <c r="O76" s="17" t="n">
        <v>0</v>
      </c>
      <c r="P76" s="26" t="n">
        <v>0</v>
      </c>
      <c r="Q76" s="24" t="n">
        <f aca="false">IF(O76=1,1/(1+EXP(-(P76-Inputs!$B$12)/Inputs!$B$13)),0)</f>
        <v>0</v>
      </c>
      <c r="R76" s="24" t="n">
        <f aca="false">N76*O76</f>
        <v>0</v>
      </c>
      <c r="S76" s="12" t="n">
        <f aca="false">N76*Q76</f>
        <v>0</v>
      </c>
      <c r="T76" s="24" t="n">
        <f aca="false">N76^2</f>
        <v>0.463605696469919</v>
      </c>
    </row>
    <row r="77" customFormat="false" ht="15" hidden="false" customHeight="false" outlineLevel="0" collapsed="false">
      <c r="A77" s="5" t="s">
        <v>329</v>
      </c>
      <c r="B77" s="5" t="s">
        <v>145</v>
      </c>
      <c r="C77" s="5" t="s">
        <v>54</v>
      </c>
      <c r="D77" s="5" t="s">
        <v>64</v>
      </c>
      <c r="E77" s="5" t="s">
        <v>71</v>
      </c>
      <c r="F77" s="26" t="n">
        <v>53.88</v>
      </c>
      <c r="G77" s="26" t="n">
        <v>55.75</v>
      </c>
      <c r="H77" s="30" t="n">
        <v>1.75</v>
      </c>
      <c r="I77" s="28" t="n">
        <f aca="false">H77*G77/3.6</f>
        <v>27.1006944444444</v>
      </c>
      <c r="J77" s="30" t="n">
        <v>2.93</v>
      </c>
      <c r="K77" s="30" t="n">
        <v>1.07</v>
      </c>
      <c r="L77" s="30" t="n">
        <v>2.343</v>
      </c>
      <c r="M77" s="30" t="n">
        <v>7.21</v>
      </c>
      <c r="N77" s="25" t="n">
        <v>0.0358071942921379</v>
      </c>
      <c r="O77" s="17" t="n">
        <v>0</v>
      </c>
      <c r="P77" s="26" t="n">
        <v>0</v>
      </c>
      <c r="Q77" s="24" t="n">
        <f aca="false">IF(O77=1,1/(1+EXP(-(P77-Inputs!$B$12)/Inputs!$B$13)),0)</f>
        <v>0</v>
      </c>
      <c r="R77" s="24" t="n">
        <f aca="false">N77*O77</f>
        <v>0</v>
      </c>
      <c r="S77" s="12" t="n">
        <f aca="false">N77*Q77</f>
        <v>0</v>
      </c>
      <c r="T77" s="24" t="n">
        <f aca="false">N77^2</f>
        <v>0.00128215516307491</v>
      </c>
    </row>
    <row r="78" customFormat="false" ht="15" hidden="false" customHeight="false" outlineLevel="0" collapsed="false">
      <c r="A78" s="5" t="s">
        <v>330</v>
      </c>
      <c r="B78" s="5" t="s">
        <v>145</v>
      </c>
      <c r="C78" s="5" t="s">
        <v>54</v>
      </c>
      <c r="D78" s="5" t="s">
        <v>64</v>
      </c>
      <c r="E78" s="5" t="s">
        <v>71</v>
      </c>
      <c r="F78" s="26" t="n">
        <v>42.88</v>
      </c>
      <c r="G78" s="26" t="n">
        <v>41.06</v>
      </c>
      <c r="H78" s="30" t="n">
        <v>1.559</v>
      </c>
      <c r="I78" s="28" t="n">
        <f aca="false">H78*G78/3.6</f>
        <v>17.7812611111111</v>
      </c>
      <c r="J78" s="30" t="n">
        <v>3.53</v>
      </c>
      <c r="K78" s="30" t="n">
        <v>1.232</v>
      </c>
      <c r="L78" s="30" t="n">
        <v>1.589</v>
      </c>
      <c r="M78" s="30" t="n">
        <v>5.49</v>
      </c>
      <c r="N78" s="25" t="n">
        <v>0.297553774191968</v>
      </c>
      <c r="O78" s="17" t="n">
        <v>0</v>
      </c>
      <c r="P78" s="26" t="n">
        <v>0</v>
      </c>
      <c r="Q78" s="24" t="n">
        <f aca="false">IF(O78=1,1/(1+EXP(-(P78-Inputs!$B$12)/Inputs!$B$13)),0)</f>
        <v>0</v>
      </c>
      <c r="R78" s="24" t="n">
        <f aca="false">N78*O78</f>
        <v>0</v>
      </c>
      <c r="S78" s="12" t="n">
        <f aca="false">N78*Q78</f>
        <v>0</v>
      </c>
      <c r="T78" s="24" t="n">
        <f aca="false">N78^2</f>
        <v>0.0885382485358844</v>
      </c>
    </row>
    <row r="79" customFormat="false" ht="15" hidden="false" customHeight="false" outlineLevel="0" collapsed="false">
      <c r="A79" s="5" t="s">
        <v>331</v>
      </c>
      <c r="B79" s="5" t="s">
        <v>145</v>
      </c>
      <c r="C79" s="5" t="s">
        <v>54</v>
      </c>
      <c r="D79" s="5" t="s">
        <v>64</v>
      </c>
      <c r="E79" s="5" t="s">
        <v>71</v>
      </c>
      <c r="F79" s="26" t="n">
        <v>51.25</v>
      </c>
      <c r="G79" s="26" t="n">
        <v>52.18</v>
      </c>
      <c r="H79" s="30" t="n">
        <v>1.636</v>
      </c>
      <c r="I79" s="28" t="n">
        <f aca="false">H79*G79/3.6</f>
        <v>23.7129111111111</v>
      </c>
      <c r="J79" s="30" t="n">
        <v>4.57</v>
      </c>
      <c r="K79" s="30" t="n">
        <v>1.281</v>
      </c>
      <c r="L79" s="30" t="n">
        <v>2.136</v>
      </c>
      <c r="M79" s="30" t="n">
        <v>4.6</v>
      </c>
      <c r="N79" s="25" t="n">
        <v>0.0906437746590779</v>
      </c>
      <c r="O79" s="17" t="n">
        <v>0</v>
      </c>
      <c r="P79" s="26" t="n">
        <v>0</v>
      </c>
      <c r="Q79" s="24" t="n">
        <f aca="false">IF(O79=1,1/(1+EXP(-(P79-Inputs!$B$12)/Inputs!$B$13)),0)</f>
        <v>0</v>
      </c>
      <c r="R79" s="24" t="n">
        <f aca="false">N79*O79</f>
        <v>0</v>
      </c>
      <c r="S79" s="12" t="n">
        <f aca="false">N79*Q79</f>
        <v>0</v>
      </c>
      <c r="T79" s="24" t="n">
        <f aca="false">N79^2</f>
        <v>0.00821629388444569</v>
      </c>
    </row>
    <row r="80" customFormat="false" ht="15" hidden="false" customHeight="false" outlineLevel="0" collapsed="false">
      <c r="A80" s="5" t="s">
        <v>332</v>
      </c>
      <c r="B80" s="5" t="s">
        <v>145</v>
      </c>
      <c r="C80" s="5" t="s">
        <v>54</v>
      </c>
      <c r="D80" s="5" t="s">
        <v>64</v>
      </c>
      <c r="E80" s="5" t="s">
        <v>71</v>
      </c>
      <c r="F80" s="26" t="n">
        <v>37.4</v>
      </c>
      <c r="G80" s="26" t="n">
        <v>37.47</v>
      </c>
      <c r="H80" s="30" t="n">
        <v>1.505</v>
      </c>
      <c r="I80" s="28" t="n">
        <f aca="false">H80*G80/3.6</f>
        <v>15.6645416666667</v>
      </c>
      <c r="J80" s="30" t="n">
        <v>4.88</v>
      </c>
      <c r="K80" s="30" t="n">
        <v>1.713</v>
      </c>
      <c r="L80" s="30" t="n">
        <v>1.249</v>
      </c>
      <c r="M80" s="30" t="n">
        <v>6.08</v>
      </c>
      <c r="N80" s="25" t="n">
        <v>0.444136428246502</v>
      </c>
      <c r="O80" s="17" t="n">
        <v>0</v>
      </c>
      <c r="P80" s="26" t="n">
        <v>0</v>
      </c>
      <c r="Q80" s="24" t="n">
        <f aca="false">IF(O80=1,1/(1+EXP(-(P80-Inputs!$B$12)/Inputs!$B$13)),0)</f>
        <v>0</v>
      </c>
      <c r="R80" s="24" t="n">
        <f aca="false">N80*O80</f>
        <v>0</v>
      </c>
      <c r="S80" s="12" t="n">
        <f aca="false">N80*Q80</f>
        <v>0</v>
      </c>
      <c r="T80" s="24" t="n">
        <f aca="false">N80^2</f>
        <v>0.19725716689556</v>
      </c>
    </row>
    <row r="81" customFormat="false" ht="15" hidden="false" customHeight="false" outlineLevel="0" collapsed="false">
      <c r="A81" s="5" t="s">
        <v>333</v>
      </c>
      <c r="B81" s="5" t="s">
        <v>145</v>
      </c>
      <c r="C81" s="5" t="s">
        <v>54</v>
      </c>
      <c r="D81" s="5" t="s">
        <v>64</v>
      </c>
      <c r="E81" s="5" t="s">
        <v>71</v>
      </c>
      <c r="F81" s="26" t="n">
        <v>49.04</v>
      </c>
      <c r="G81" s="26" t="n">
        <v>48.23</v>
      </c>
      <c r="H81" s="30" t="n">
        <v>1.565</v>
      </c>
      <c r="I81" s="28" t="n">
        <f aca="false">H81*G81/3.6</f>
        <v>20.9666527777778</v>
      </c>
      <c r="J81" s="30" t="n">
        <v>5.97</v>
      </c>
      <c r="K81" s="30" t="n">
        <v>0.737</v>
      </c>
      <c r="L81" s="30" t="n">
        <v>1.041</v>
      </c>
      <c r="M81" s="30" t="n">
        <v>5.75</v>
      </c>
      <c r="N81" s="25" t="n">
        <v>2.89214316206946</v>
      </c>
      <c r="O81" s="17" t="n">
        <v>0</v>
      </c>
      <c r="P81" s="26" t="n">
        <v>0</v>
      </c>
      <c r="Q81" s="24" t="n">
        <f aca="false">IF(O81=1,1/(1+EXP(-(P81-Inputs!$B$12)/Inputs!$B$13)),0)</f>
        <v>0</v>
      </c>
      <c r="R81" s="24" t="n">
        <f aca="false">N81*O81</f>
        <v>0</v>
      </c>
      <c r="S81" s="12" t="n">
        <f aca="false">N81*Q81</f>
        <v>0</v>
      </c>
      <c r="T81" s="24" t="n">
        <f aca="false">N81^2</f>
        <v>8.36449206990511</v>
      </c>
    </row>
    <row r="82" customFormat="false" ht="15" hidden="false" customHeight="false" outlineLevel="0" collapsed="false">
      <c r="A82" s="5" t="s">
        <v>334</v>
      </c>
      <c r="B82" s="5" t="s">
        <v>145</v>
      </c>
      <c r="C82" s="5" t="s">
        <v>54</v>
      </c>
      <c r="D82" s="5" t="s">
        <v>64</v>
      </c>
      <c r="E82" s="5" t="s">
        <v>71</v>
      </c>
      <c r="F82" s="26" t="n">
        <v>38.97</v>
      </c>
      <c r="G82" s="26" t="n">
        <v>37.89</v>
      </c>
      <c r="H82" s="30" t="n">
        <v>1.544</v>
      </c>
      <c r="I82" s="28" t="n">
        <f aca="false">H82*G82/3.6</f>
        <v>16.2506</v>
      </c>
      <c r="J82" s="30" t="n">
        <v>5.02</v>
      </c>
      <c r="K82" s="30" t="n">
        <v>0.979</v>
      </c>
      <c r="L82" s="30" t="n">
        <v>1.308</v>
      </c>
      <c r="M82" s="30" t="n">
        <v>7.59</v>
      </c>
      <c r="N82" s="25" t="n">
        <v>0.508975769037241</v>
      </c>
      <c r="O82" s="17" t="n">
        <v>0</v>
      </c>
      <c r="P82" s="26" t="n">
        <v>0</v>
      </c>
      <c r="Q82" s="24" t="n">
        <f aca="false">IF(O82=1,1/(1+EXP(-(P82-Inputs!$B$12)/Inputs!$B$13)),0)</f>
        <v>0</v>
      </c>
      <c r="R82" s="24" t="n">
        <f aca="false">N82*O82</f>
        <v>0</v>
      </c>
      <c r="S82" s="12" t="n">
        <f aca="false">N82*Q82</f>
        <v>0</v>
      </c>
      <c r="T82" s="24" t="n">
        <f aca="false">N82^2</f>
        <v>0.259056333467051</v>
      </c>
    </row>
    <row r="83" customFormat="false" ht="15" hidden="false" customHeight="false" outlineLevel="0" collapsed="false">
      <c r="A83" s="5" t="s">
        <v>335</v>
      </c>
      <c r="B83" s="5" t="s">
        <v>145</v>
      </c>
      <c r="C83" s="5" t="s">
        <v>54</v>
      </c>
      <c r="D83" s="5" t="s">
        <v>64</v>
      </c>
      <c r="E83" s="5" t="s">
        <v>71</v>
      </c>
      <c r="F83" s="26" t="n">
        <v>36.08</v>
      </c>
      <c r="G83" s="26" t="n">
        <v>36.54</v>
      </c>
      <c r="H83" s="30" t="n">
        <v>1.507</v>
      </c>
      <c r="I83" s="28" t="n">
        <f aca="false">H83*G83/3.6</f>
        <v>15.29605</v>
      </c>
      <c r="J83" s="30" t="n">
        <v>5.06</v>
      </c>
      <c r="K83" s="30" t="n">
        <v>1.81</v>
      </c>
      <c r="L83" s="30" t="n">
        <v>2.049</v>
      </c>
      <c r="M83" s="30" t="n">
        <v>5.83</v>
      </c>
      <c r="N83" s="25" t="n">
        <v>0.0508212053886971</v>
      </c>
      <c r="O83" s="17" t="n">
        <v>1</v>
      </c>
      <c r="P83" s="26" t="n">
        <v>20.87</v>
      </c>
      <c r="Q83" s="24" t="n">
        <f aca="false">IF(O83=1,1/(1+EXP(-(P83-Inputs!$B$12)/Inputs!$B$13)),0)</f>
        <v>0.0308541797895493</v>
      </c>
      <c r="R83" s="24" t="n">
        <f aca="false">N83*O83</f>
        <v>0.0508212053886971</v>
      </c>
      <c r="S83" s="12" t="n">
        <f aca="false">N83*Q83</f>
        <v>0.00156804660818447</v>
      </c>
      <c r="T83" s="24" t="n">
        <f aca="false">N83^2</f>
        <v>0.00258279491716013</v>
      </c>
    </row>
    <row r="84" customFormat="false" ht="15" hidden="false" customHeight="false" outlineLevel="0" collapsed="false">
      <c r="A84" s="5" t="s">
        <v>336</v>
      </c>
      <c r="B84" s="5" t="s">
        <v>145</v>
      </c>
      <c r="C84" s="5" t="s">
        <v>54</v>
      </c>
      <c r="D84" s="5" t="s">
        <v>64</v>
      </c>
      <c r="E84" s="5" t="s">
        <v>71</v>
      </c>
      <c r="F84" s="26" t="n">
        <v>40.05</v>
      </c>
      <c r="G84" s="26" t="n">
        <v>38.8</v>
      </c>
      <c r="H84" s="30" t="n">
        <v>1.525</v>
      </c>
      <c r="I84" s="28" t="n">
        <f aca="false">H84*G84/3.6</f>
        <v>16.4361111111111</v>
      </c>
      <c r="J84" s="30" t="n">
        <v>3.38</v>
      </c>
      <c r="K84" s="30" t="n">
        <v>1.617</v>
      </c>
      <c r="L84" s="30" t="n">
        <v>2.153</v>
      </c>
      <c r="M84" s="30" t="n">
        <v>4.74</v>
      </c>
      <c r="N84" s="25" t="n">
        <v>0.0613324430561272</v>
      </c>
      <c r="O84" s="17" t="n">
        <v>0</v>
      </c>
      <c r="P84" s="26" t="n">
        <v>0</v>
      </c>
      <c r="Q84" s="24" t="n">
        <f aca="false">IF(O84=1,1/(1+EXP(-(P84-Inputs!$B$12)/Inputs!$B$13)),0)</f>
        <v>0</v>
      </c>
      <c r="R84" s="24" t="n">
        <f aca="false">N84*O84</f>
        <v>0</v>
      </c>
      <c r="S84" s="12" t="n">
        <f aca="false">N84*Q84</f>
        <v>0</v>
      </c>
      <c r="T84" s="24" t="n">
        <f aca="false">N84^2</f>
        <v>0.00376166857123308</v>
      </c>
    </row>
    <row r="85" customFormat="false" ht="15" hidden="false" customHeight="false" outlineLevel="0" collapsed="false">
      <c r="A85" s="5" t="s">
        <v>337</v>
      </c>
      <c r="B85" s="5" t="s">
        <v>145</v>
      </c>
      <c r="C85" s="5" t="s">
        <v>54</v>
      </c>
      <c r="D85" s="5" t="s">
        <v>64</v>
      </c>
      <c r="E85" s="5" t="s">
        <v>71</v>
      </c>
      <c r="F85" s="26" t="n">
        <v>41.23</v>
      </c>
      <c r="G85" s="26" t="n">
        <v>44.08</v>
      </c>
      <c r="H85" s="30" t="n">
        <v>1.573</v>
      </c>
      <c r="I85" s="28" t="n">
        <f aca="false">H85*G85/3.6</f>
        <v>19.2605111111111</v>
      </c>
      <c r="J85" s="30" t="n">
        <v>2.79</v>
      </c>
      <c r="K85" s="30" t="n">
        <v>0.891</v>
      </c>
      <c r="L85" s="30" t="n">
        <v>1.278</v>
      </c>
      <c r="M85" s="30" t="n">
        <v>7.54</v>
      </c>
      <c r="N85" s="25" t="n">
        <v>0.660807849869775</v>
      </c>
      <c r="O85" s="17" t="n">
        <v>0</v>
      </c>
      <c r="P85" s="26" t="n">
        <v>0</v>
      </c>
      <c r="Q85" s="24" t="n">
        <f aca="false">IF(O85=1,1/(1+EXP(-(P85-Inputs!$B$12)/Inputs!$B$13)),0)</f>
        <v>0</v>
      </c>
      <c r="R85" s="24" t="n">
        <f aca="false">N85*O85</f>
        <v>0</v>
      </c>
      <c r="S85" s="12" t="n">
        <f aca="false">N85*Q85</f>
        <v>0</v>
      </c>
      <c r="T85" s="24" t="n">
        <f aca="false">N85^2</f>
        <v>0.436667014449515</v>
      </c>
    </row>
    <row r="86" customFormat="false" ht="15" hidden="false" customHeight="false" outlineLevel="0" collapsed="false">
      <c r="A86" s="5" t="s">
        <v>338</v>
      </c>
      <c r="B86" s="5" t="s">
        <v>146</v>
      </c>
      <c r="C86" s="5" t="s">
        <v>54</v>
      </c>
      <c r="D86" s="5" t="s">
        <v>64</v>
      </c>
      <c r="E86" s="5" t="s">
        <v>72</v>
      </c>
      <c r="F86" s="26" t="n">
        <v>50</v>
      </c>
      <c r="G86" s="26" t="n">
        <v>51.59</v>
      </c>
      <c r="H86" s="30" t="n">
        <v>1.167</v>
      </c>
      <c r="I86" s="28" t="n">
        <f aca="false">H86*G86/3.6</f>
        <v>16.7237583333333</v>
      </c>
      <c r="J86" s="30" t="n">
        <v>2.7</v>
      </c>
      <c r="K86" s="30" t="n">
        <v>0.905</v>
      </c>
      <c r="L86" s="30" t="n">
        <v>1.476</v>
      </c>
      <c r="M86" s="30" t="n">
        <v>5.21</v>
      </c>
      <c r="N86" s="25" t="n">
        <v>0.750107620650727</v>
      </c>
      <c r="O86" s="17" t="n">
        <v>0</v>
      </c>
      <c r="P86" s="26" t="n">
        <v>0</v>
      </c>
      <c r="Q86" s="24" t="n">
        <f aca="false">IF(O86=1,1/(1+EXP(-(P86-Inputs!$B$12)/Inputs!$B$13)),0)</f>
        <v>0</v>
      </c>
      <c r="R86" s="24" t="n">
        <f aca="false">N86*O86</f>
        <v>0</v>
      </c>
      <c r="S86" s="12" t="n">
        <f aca="false">N86*Q86</f>
        <v>0</v>
      </c>
      <c r="T86" s="24" t="n">
        <f aca="false">N86^2</f>
        <v>0.562661442558295</v>
      </c>
    </row>
    <row r="87" customFormat="false" ht="15" hidden="false" customHeight="false" outlineLevel="0" collapsed="false">
      <c r="A87" s="5" t="s">
        <v>339</v>
      </c>
      <c r="B87" s="5" t="s">
        <v>146</v>
      </c>
      <c r="C87" s="5" t="s">
        <v>54</v>
      </c>
      <c r="D87" s="5" t="s">
        <v>64</v>
      </c>
      <c r="E87" s="5" t="s">
        <v>72</v>
      </c>
      <c r="F87" s="26" t="n">
        <v>46.75</v>
      </c>
      <c r="G87" s="26" t="n">
        <v>46.4</v>
      </c>
      <c r="H87" s="30" t="n">
        <v>1.053</v>
      </c>
      <c r="I87" s="28" t="n">
        <f aca="false">H87*G87/3.6</f>
        <v>13.572</v>
      </c>
      <c r="J87" s="30" t="n">
        <v>4.33</v>
      </c>
      <c r="K87" s="30" t="n">
        <v>1.149</v>
      </c>
      <c r="L87" s="30" t="n">
        <v>2.664</v>
      </c>
      <c r="M87" s="30" t="n">
        <v>4.12</v>
      </c>
      <c r="N87" s="25" t="n">
        <v>0.0452647061144759</v>
      </c>
      <c r="O87" s="17" t="n">
        <v>0</v>
      </c>
      <c r="P87" s="26" t="n">
        <v>0</v>
      </c>
      <c r="Q87" s="24" t="n">
        <f aca="false">IF(O87=1,1/(1+EXP(-(P87-Inputs!$B$12)/Inputs!$B$13)),0)</f>
        <v>0</v>
      </c>
      <c r="R87" s="24" t="n">
        <f aca="false">N87*O87</f>
        <v>0</v>
      </c>
      <c r="S87" s="12" t="n">
        <f aca="false">N87*Q87</f>
        <v>0</v>
      </c>
      <c r="T87" s="24" t="n">
        <f aca="false">N87^2</f>
        <v>0.00204889361962987</v>
      </c>
    </row>
    <row r="88" customFormat="false" ht="15" hidden="false" customHeight="false" outlineLevel="0" collapsed="false">
      <c r="A88" s="5" t="s">
        <v>340</v>
      </c>
      <c r="B88" s="5" t="s">
        <v>146</v>
      </c>
      <c r="C88" s="5" t="s">
        <v>54</v>
      </c>
      <c r="D88" s="5" t="s">
        <v>64</v>
      </c>
      <c r="E88" s="5" t="s">
        <v>72</v>
      </c>
      <c r="F88" s="26" t="n">
        <v>36.05</v>
      </c>
      <c r="G88" s="26" t="n">
        <v>38.59</v>
      </c>
      <c r="H88" s="30" t="n">
        <v>1.059</v>
      </c>
      <c r="I88" s="28" t="n">
        <f aca="false">H88*G88/3.6</f>
        <v>11.3518916666667</v>
      </c>
      <c r="J88" s="30" t="n">
        <v>3.63</v>
      </c>
      <c r="K88" s="30" t="n">
        <v>2.446</v>
      </c>
      <c r="L88" s="30" t="n">
        <v>1.184</v>
      </c>
      <c r="M88" s="30" t="n">
        <v>6.06</v>
      </c>
      <c r="N88" s="25" t="n">
        <v>0.199424364410727</v>
      </c>
      <c r="O88" s="17" t="n">
        <v>0</v>
      </c>
      <c r="P88" s="26" t="n">
        <v>0</v>
      </c>
      <c r="Q88" s="24" t="n">
        <f aca="false">IF(O88=1,1/(1+EXP(-(P88-Inputs!$B$12)/Inputs!$B$13)),0)</f>
        <v>0</v>
      </c>
      <c r="R88" s="24" t="n">
        <f aca="false">N88*O88</f>
        <v>0</v>
      </c>
      <c r="S88" s="12" t="n">
        <f aca="false">N88*Q88</f>
        <v>0</v>
      </c>
      <c r="T88" s="24" t="n">
        <f aca="false">N88^2</f>
        <v>0.0397700771206226</v>
      </c>
    </row>
    <row r="89" customFormat="false" ht="15" hidden="false" customHeight="false" outlineLevel="0" collapsed="false">
      <c r="A89" s="5" t="s">
        <v>341</v>
      </c>
      <c r="B89" s="5" t="s">
        <v>146</v>
      </c>
      <c r="C89" s="5" t="s">
        <v>54</v>
      </c>
      <c r="D89" s="5" t="s">
        <v>64</v>
      </c>
      <c r="E89" s="5" t="s">
        <v>72</v>
      </c>
      <c r="F89" s="26" t="n">
        <v>39</v>
      </c>
      <c r="G89" s="26" t="n">
        <v>37.66</v>
      </c>
      <c r="H89" s="30" t="n">
        <v>1.037</v>
      </c>
      <c r="I89" s="28" t="n">
        <f aca="false">H89*G89/3.6</f>
        <v>10.8481722222222</v>
      </c>
      <c r="J89" s="30" t="n">
        <v>2.73</v>
      </c>
      <c r="K89" s="30" t="n">
        <v>1.006</v>
      </c>
      <c r="L89" s="30" t="n">
        <v>1.907</v>
      </c>
      <c r="M89" s="30" t="n">
        <v>7.83</v>
      </c>
      <c r="N89" s="25" t="n">
        <v>0.0707791127809527</v>
      </c>
      <c r="O89" s="17" t="n">
        <v>0</v>
      </c>
      <c r="P89" s="26" t="n">
        <v>0</v>
      </c>
      <c r="Q89" s="24" t="n">
        <f aca="false">IF(O89=1,1/(1+EXP(-(P89-Inputs!$B$12)/Inputs!$B$13)),0)</f>
        <v>0</v>
      </c>
      <c r="R89" s="24" t="n">
        <f aca="false">N89*O89</f>
        <v>0</v>
      </c>
      <c r="S89" s="12" t="n">
        <f aca="false">N89*Q89</f>
        <v>0</v>
      </c>
      <c r="T89" s="24" t="n">
        <f aca="false">N89^2</f>
        <v>0.00500968280605882</v>
      </c>
    </row>
    <row r="90" customFormat="false" ht="15" hidden="false" customHeight="false" outlineLevel="0" collapsed="false">
      <c r="A90" s="5" t="s">
        <v>342</v>
      </c>
      <c r="B90" s="5" t="s">
        <v>146</v>
      </c>
      <c r="C90" s="5" t="s">
        <v>54</v>
      </c>
      <c r="D90" s="5" t="s">
        <v>64</v>
      </c>
      <c r="E90" s="5" t="s">
        <v>72</v>
      </c>
      <c r="F90" s="26" t="n">
        <v>50.25</v>
      </c>
      <c r="G90" s="26" t="n">
        <v>45.21</v>
      </c>
      <c r="H90" s="30" t="n">
        <v>1.018</v>
      </c>
      <c r="I90" s="28" t="n">
        <f aca="false">H90*G90/3.6</f>
        <v>12.7843833333333</v>
      </c>
      <c r="J90" s="30" t="n">
        <v>3.32</v>
      </c>
      <c r="K90" s="30" t="n">
        <v>0.572</v>
      </c>
      <c r="L90" s="30" t="n">
        <v>1.293</v>
      </c>
      <c r="M90" s="30" t="n">
        <v>6.76</v>
      </c>
      <c r="N90" s="25" t="n">
        <v>2.35023144534404</v>
      </c>
      <c r="O90" s="17" t="n">
        <v>0</v>
      </c>
      <c r="P90" s="26" t="n">
        <v>0</v>
      </c>
      <c r="Q90" s="24" t="n">
        <f aca="false">IF(O90=1,1/(1+EXP(-(P90-Inputs!$B$12)/Inputs!$B$13)),0)</f>
        <v>0</v>
      </c>
      <c r="R90" s="24" t="n">
        <f aca="false">N90*O90</f>
        <v>0</v>
      </c>
      <c r="S90" s="12" t="n">
        <f aca="false">N90*Q90</f>
        <v>0</v>
      </c>
      <c r="T90" s="24" t="n">
        <f aca="false">N90^2</f>
        <v>5.52358784668391</v>
      </c>
    </row>
    <row r="91" customFormat="false" ht="15" hidden="false" customHeight="false" outlineLevel="0" collapsed="false">
      <c r="A91" s="5" t="s">
        <v>343</v>
      </c>
      <c r="B91" s="5" t="s">
        <v>146</v>
      </c>
      <c r="C91" s="5" t="s">
        <v>54</v>
      </c>
      <c r="D91" s="5" t="s">
        <v>64</v>
      </c>
      <c r="E91" s="5" t="s">
        <v>72</v>
      </c>
      <c r="F91" s="26" t="n">
        <v>51.95</v>
      </c>
      <c r="G91" s="26" t="n">
        <v>52.1</v>
      </c>
      <c r="H91" s="30" t="n">
        <v>1.059</v>
      </c>
      <c r="I91" s="28" t="n">
        <f aca="false">H91*G91/3.6</f>
        <v>15.3260833333333</v>
      </c>
      <c r="J91" s="30" t="n">
        <v>5.64</v>
      </c>
      <c r="K91" s="30" t="n">
        <v>2.324</v>
      </c>
      <c r="L91" s="30" t="n">
        <v>1.423</v>
      </c>
      <c r="M91" s="30" t="n">
        <v>7.69</v>
      </c>
      <c r="N91" s="25" t="n">
        <v>0.06026677847567</v>
      </c>
      <c r="O91" s="17" t="n">
        <v>0</v>
      </c>
      <c r="P91" s="26" t="n">
        <v>0</v>
      </c>
      <c r="Q91" s="24" t="n">
        <f aca="false">IF(O91=1,1/(1+EXP(-(P91-Inputs!$B$12)/Inputs!$B$13)),0)</f>
        <v>0</v>
      </c>
      <c r="R91" s="24" t="n">
        <f aca="false">N91*O91</f>
        <v>0</v>
      </c>
      <c r="S91" s="12" t="n">
        <f aca="false">N91*Q91</f>
        <v>0</v>
      </c>
      <c r="T91" s="24" t="n">
        <f aca="false">N91^2</f>
        <v>0.00363208458783548</v>
      </c>
    </row>
    <row r="92" customFormat="false" ht="15" hidden="false" customHeight="false" outlineLevel="0" collapsed="false">
      <c r="A92" s="5" t="s">
        <v>344</v>
      </c>
      <c r="B92" s="5" t="s">
        <v>146</v>
      </c>
      <c r="C92" s="5" t="s">
        <v>54</v>
      </c>
      <c r="D92" s="5" t="s">
        <v>64</v>
      </c>
      <c r="E92" s="5" t="s">
        <v>72</v>
      </c>
      <c r="F92" s="26" t="n">
        <v>52.56</v>
      </c>
      <c r="G92" s="26" t="n">
        <v>48.97</v>
      </c>
      <c r="H92" s="30" t="n">
        <v>1.242</v>
      </c>
      <c r="I92" s="28" t="n">
        <f aca="false">H92*G92/3.6</f>
        <v>16.89465</v>
      </c>
      <c r="J92" s="30" t="n">
        <v>3.86</v>
      </c>
      <c r="K92" s="30" t="n">
        <v>2.203</v>
      </c>
      <c r="L92" s="30" t="n">
        <v>1.446</v>
      </c>
      <c r="M92" s="30" t="n">
        <v>7.96</v>
      </c>
      <c r="N92" s="25" t="n">
        <v>0.0489744024814684</v>
      </c>
      <c r="O92" s="17" t="n">
        <v>0</v>
      </c>
      <c r="P92" s="26" t="n">
        <v>0</v>
      </c>
      <c r="Q92" s="24" t="n">
        <f aca="false">IF(O92=1,1/(1+EXP(-(P92-Inputs!$B$12)/Inputs!$B$13)),0)</f>
        <v>0</v>
      </c>
      <c r="R92" s="24" t="n">
        <f aca="false">N92*O92</f>
        <v>0</v>
      </c>
      <c r="S92" s="12" t="n">
        <f aca="false">N92*Q92</f>
        <v>0</v>
      </c>
      <c r="T92" s="24" t="n">
        <f aca="false">N92^2</f>
        <v>0.00239849209841686</v>
      </c>
    </row>
    <row r="93" customFormat="false" ht="15" hidden="false" customHeight="false" outlineLevel="0" collapsed="false">
      <c r="A93" s="5" t="s">
        <v>345</v>
      </c>
      <c r="B93" s="5" t="s">
        <v>146</v>
      </c>
      <c r="C93" s="5" t="s">
        <v>54</v>
      </c>
      <c r="D93" s="5" t="s">
        <v>64</v>
      </c>
      <c r="E93" s="5" t="s">
        <v>72</v>
      </c>
      <c r="F93" s="26" t="n">
        <v>47.33</v>
      </c>
      <c r="G93" s="26" t="n">
        <v>46.83</v>
      </c>
      <c r="H93" s="30" t="n">
        <v>1.092</v>
      </c>
      <c r="I93" s="28" t="n">
        <f aca="false">H93*G93/3.6</f>
        <v>14.2051</v>
      </c>
      <c r="J93" s="30" t="n">
        <v>5.73</v>
      </c>
      <c r="K93" s="30" t="n">
        <v>0.634</v>
      </c>
      <c r="L93" s="30" t="n">
        <v>2.452</v>
      </c>
      <c r="M93" s="30" t="n">
        <v>4.6</v>
      </c>
      <c r="N93" s="25" t="n">
        <v>0.172576178545836</v>
      </c>
      <c r="O93" s="17" t="n">
        <v>0</v>
      </c>
      <c r="P93" s="26" t="n">
        <v>0</v>
      </c>
      <c r="Q93" s="24" t="n">
        <f aca="false">IF(O93=1,1/(1+EXP(-(P93-Inputs!$B$12)/Inputs!$B$13)),0)</f>
        <v>0</v>
      </c>
      <c r="R93" s="24" t="n">
        <f aca="false">N93*O93</f>
        <v>0</v>
      </c>
      <c r="S93" s="12" t="n">
        <f aca="false">N93*Q93</f>
        <v>0</v>
      </c>
      <c r="T93" s="24" t="n">
        <f aca="false">N93^2</f>
        <v>0.0297825374014841</v>
      </c>
    </row>
    <row r="94" customFormat="false" ht="15" hidden="false" customHeight="false" outlineLevel="0" collapsed="false">
      <c r="A94" s="5" t="s">
        <v>346</v>
      </c>
      <c r="B94" s="5" t="s">
        <v>146</v>
      </c>
      <c r="C94" s="5" t="s">
        <v>54</v>
      </c>
      <c r="D94" s="5" t="s">
        <v>64</v>
      </c>
      <c r="E94" s="5" t="s">
        <v>72</v>
      </c>
      <c r="F94" s="26" t="n">
        <v>45.59</v>
      </c>
      <c r="G94" s="26" t="n">
        <v>46.76</v>
      </c>
      <c r="H94" s="30" t="n">
        <v>1.04</v>
      </c>
      <c r="I94" s="28" t="n">
        <f aca="false">H94*G94/3.6</f>
        <v>13.5084444444444</v>
      </c>
      <c r="J94" s="30" t="n">
        <v>3.1</v>
      </c>
      <c r="K94" s="30" t="n">
        <v>0.516</v>
      </c>
      <c r="L94" s="30" t="n">
        <v>1.438</v>
      </c>
      <c r="M94" s="30" t="n">
        <v>6.82</v>
      </c>
      <c r="N94" s="25" t="n">
        <v>1.70746245864617</v>
      </c>
      <c r="O94" s="17" t="n">
        <v>0</v>
      </c>
      <c r="P94" s="26" t="n">
        <v>0</v>
      </c>
      <c r="Q94" s="24" t="n">
        <f aca="false">IF(O94=1,1/(1+EXP(-(P94-Inputs!$B$12)/Inputs!$B$13)),0)</f>
        <v>0</v>
      </c>
      <c r="R94" s="24" t="n">
        <f aca="false">N94*O94</f>
        <v>0</v>
      </c>
      <c r="S94" s="12" t="n">
        <f aca="false">N94*Q94</f>
        <v>0</v>
      </c>
      <c r="T94" s="24" t="n">
        <f aca="false">N94^2</f>
        <v>2.91542804768603</v>
      </c>
    </row>
    <row r="95" customFormat="false" ht="15" hidden="false" customHeight="false" outlineLevel="0" collapsed="false">
      <c r="A95" s="5" t="s">
        <v>347</v>
      </c>
      <c r="B95" s="5" t="s">
        <v>146</v>
      </c>
      <c r="C95" s="5" t="s">
        <v>54</v>
      </c>
      <c r="D95" s="5" t="s">
        <v>64</v>
      </c>
      <c r="E95" s="5" t="s">
        <v>72</v>
      </c>
      <c r="F95" s="26" t="n">
        <v>41.98</v>
      </c>
      <c r="G95" s="26" t="n">
        <v>41.31</v>
      </c>
      <c r="H95" s="30" t="n">
        <v>1.094</v>
      </c>
      <c r="I95" s="28" t="n">
        <f aca="false">H95*G95/3.6</f>
        <v>12.55365</v>
      </c>
      <c r="J95" s="30" t="n">
        <v>5.26</v>
      </c>
      <c r="K95" s="30" t="n">
        <v>1.431</v>
      </c>
      <c r="L95" s="30" t="n">
        <v>1.333</v>
      </c>
      <c r="M95" s="30" t="n">
        <v>5.9</v>
      </c>
      <c r="N95" s="25" t="n">
        <v>0.379198416561575</v>
      </c>
      <c r="O95" s="17" t="n">
        <v>0</v>
      </c>
      <c r="P95" s="26" t="n">
        <v>0</v>
      </c>
      <c r="Q95" s="24" t="n">
        <f aca="false">IF(O95=1,1/(1+EXP(-(P95-Inputs!$B$12)/Inputs!$B$13)),0)</f>
        <v>0</v>
      </c>
      <c r="R95" s="24" t="n">
        <f aca="false">N95*O95</f>
        <v>0</v>
      </c>
      <c r="S95" s="12" t="n">
        <f aca="false">N95*Q95</f>
        <v>0</v>
      </c>
      <c r="T95" s="24" t="n">
        <f aca="false">N95^2</f>
        <v>0.143791439122806</v>
      </c>
    </row>
    <row r="96" customFormat="false" ht="15" hidden="false" customHeight="false" outlineLevel="0" collapsed="false">
      <c r="A96" s="5" t="s">
        <v>348</v>
      </c>
      <c r="B96" s="5" t="s">
        <v>147</v>
      </c>
      <c r="C96" s="5" t="s">
        <v>54</v>
      </c>
      <c r="D96" s="5" t="s">
        <v>64</v>
      </c>
      <c r="E96" s="5" t="s">
        <v>73</v>
      </c>
      <c r="F96" s="26" t="n">
        <v>44.55</v>
      </c>
      <c r="G96" s="26" t="n">
        <v>43.11</v>
      </c>
      <c r="H96" s="30" t="n">
        <v>0.643</v>
      </c>
      <c r="I96" s="28" t="n">
        <f aca="false">H96*G96/3.6</f>
        <v>7.699925</v>
      </c>
      <c r="J96" s="30" t="n">
        <v>4.18</v>
      </c>
      <c r="K96" s="30" t="n">
        <v>0.438</v>
      </c>
      <c r="L96" s="30" t="n">
        <v>2.237</v>
      </c>
      <c r="M96" s="30" t="n">
        <v>4.48</v>
      </c>
      <c r="N96" s="25" t="n">
        <v>0.622201438600203</v>
      </c>
      <c r="O96" s="17" t="n">
        <v>0</v>
      </c>
      <c r="P96" s="26" t="n">
        <v>0</v>
      </c>
      <c r="Q96" s="24" t="n">
        <f aca="false">IF(O96=1,1/(1+EXP(-(P96-Inputs!$B$12)/Inputs!$B$13)),0)</f>
        <v>0</v>
      </c>
      <c r="R96" s="24" t="n">
        <f aca="false">N96*O96</f>
        <v>0</v>
      </c>
      <c r="S96" s="12" t="n">
        <f aca="false">N96*Q96</f>
        <v>0</v>
      </c>
      <c r="T96" s="24" t="n">
        <f aca="false">N96^2</f>
        <v>0.387134630196162</v>
      </c>
    </row>
    <row r="97" customFormat="false" ht="15" hidden="false" customHeight="false" outlineLevel="0" collapsed="false">
      <c r="A97" s="5" t="s">
        <v>349</v>
      </c>
      <c r="B97" s="5" t="s">
        <v>147</v>
      </c>
      <c r="C97" s="5" t="s">
        <v>54</v>
      </c>
      <c r="D97" s="5" t="s">
        <v>64</v>
      </c>
      <c r="E97" s="5" t="s">
        <v>73</v>
      </c>
      <c r="F97" s="26" t="n">
        <v>53.48</v>
      </c>
      <c r="G97" s="26" t="n">
        <v>53.88</v>
      </c>
      <c r="H97" s="30" t="n">
        <v>0.521</v>
      </c>
      <c r="I97" s="28" t="n">
        <f aca="false">H97*G97/3.6</f>
        <v>7.79763333333333</v>
      </c>
      <c r="J97" s="30" t="n">
        <v>5.27</v>
      </c>
      <c r="K97" s="30" t="n">
        <v>1.785</v>
      </c>
      <c r="L97" s="30" t="n">
        <v>2.686</v>
      </c>
      <c r="M97" s="30" t="n">
        <v>4.83</v>
      </c>
      <c r="N97" s="25" t="n">
        <v>0.0156566779377787</v>
      </c>
      <c r="O97" s="17" t="n">
        <v>1</v>
      </c>
      <c r="P97" s="26" t="n">
        <v>32.64</v>
      </c>
      <c r="Q97" s="24" t="n">
        <f aca="false">IF(O97=1,1/(1+EXP(-(P97-Inputs!$B$12)/Inputs!$B$13)),0)</f>
        <v>0.146076109385666</v>
      </c>
      <c r="R97" s="24" t="n">
        <f aca="false">N97*O97</f>
        <v>0.0156566779377787</v>
      </c>
      <c r="S97" s="12" t="n">
        <f aca="false">N97*Q97</f>
        <v>0.0022870665990551</v>
      </c>
      <c r="T97" s="24" t="n">
        <f aca="false">N97^2</f>
        <v>0.000245131564047326</v>
      </c>
    </row>
    <row r="98" customFormat="false" ht="15" hidden="false" customHeight="false" outlineLevel="0" collapsed="false">
      <c r="A98" s="5" t="s">
        <v>350</v>
      </c>
      <c r="B98" s="5" t="s">
        <v>147</v>
      </c>
      <c r="C98" s="5" t="s">
        <v>54</v>
      </c>
      <c r="D98" s="5" t="s">
        <v>64</v>
      </c>
      <c r="E98" s="5" t="s">
        <v>73</v>
      </c>
      <c r="F98" s="26" t="n">
        <v>51.18</v>
      </c>
      <c r="G98" s="26" t="n">
        <v>55.3</v>
      </c>
      <c r="H98" s="30" t="n">
        <v>0.757</v>
      </c>
      <c r="I98" s="28" t="n">
        <f aca="false">H98*G98/3.6</f>
        <v>11.6283611111111</v>
      </c>
      <c r="J98" s="30" t="n">
        <v>5.38</v>
      </c>
      <c r="K98" s="30" t="n">
        <v>2.785</v>
      </c>
      <c r="L98" s="30" t="n">
        <v>0.924</v>
      </c>
      <c r="M98" s="30" t="n">
        <v>5.28</v>
      </c>
      <c r="N98" s="25" t="n">
        <v>0.334479570993608</v>
      </c>
      <c r="O98" s="17" t="n">
        <v>1</v>
      </c>
      <c r="P98" s="26" t="n">
        <v>22.6</v>
      </c>
      <c r="Q98" s="24" t="n">
        <f aca="false">IF(O98=1,1/(1+EXP(-(P98-Inputs!$B$12)/Inputs!$B$13)),0)</f>
        <v>0.0391657227967644</v>
      </c>
      <c r="R98" s="24" t="n">
        <f aca="false">N98*O98</f>
        <v>0.334479570993608</v>
      </c>
      <c r="S98" s="12" t="n">
        <f aca="false">N98*Q98</f>
        <v>0.0131001341587163</v>
      </c>
      <c r="T98" s="24" t="n">
        <f aca="false">N98^2</f>
        <v>0.111876583412068</v>
      </c>
    </row>
    <row r="99" customFormat="false" ht="15" hidden="false" customHeight="false" outlineLevel="0" collapsed="false">
      <c r="A99" s="5" t="s">
        <v>351</v>
      </c>
      <c r="B99" s="5" t="s">
        <v>147</v>
      </c>
      <c r="C99" s="5" t="s">
        <v>54</v>
      </c>
      <c r="D99" s="5" t="s">
        <v>64</v>
      </c>
      <c r="E99" s="5" t="s">
        <v>73</v>
      </c>
      <c r="F99" s="26" t="n">
        <v>35.23</v>
      </c>
      <c r="G99" s="26" t="n">
        <v>35.84</v>
      </c>
      <c r="H99" s="30" t="n">
        <v>0.571</v>
      </c>
      <c r="I99" s="28" t="n">
        <f aca="false">H99*G99/3.6</f>
        <v>5.68462222222222</v>
      </c>
      <c r="J99" s="30" t="n">
        <v>4.45</v>
      </c>
      <c r="K99" s="30" t="n">
        <v>2.242</v>
      </c>
      <c r="L99" s="30" t="n">
        <v>1.153</v>
      </c>
      <c r="M99" s="30" t="n">
        <v>6.26</v>
      </c>
      <c r="N99" s="25" t="n">
        <v>0.248430635243993</v>
      </c>
      <c r="O99" s="17" t="n">
        <v>1</v>
      </c>
      <c r="P99" s="26" t="n">
        <v>15.85</v>
      </c>
      <c r="Q99" s="24" t="n">
        <f aca="false">IF(O99=1,1/(1+EXP(-(P99-Inputs!$B$12)/Inputs!$B$13)),0)</f>
        <v>0.0153029906232999</v>
      </c>
      <c r="R99" s="24" t="n">
        <f aca="false">N99*O99</f>
        <v>0.248430635243993</v>
      </c>
      <c r="S99" s="12" t="n">
        <f aca="false">N99*Q99</f>
        <v>0.00380173168167927</v>
      </c>
      <c r="T99" s="24" t="n">
        <f aca="false">N99^2</f>
        <v>0.061717780527734</v>
      </c>
    </row>
    <row r="100" customFormat="false" ht="15" hidden="false" customHeight="false" outlineLevel="0" collapsed="false">
      <c r="A100" s="5" t="s">
        <v>352</v>
      </c>
      <c r="B100" s="5" t="s">
        <v>147</v>
      </c>
      <c r="C100" s="5" t="s">
        <v>54</v>
      </c>
      <c r="D100" s="5" t="s">
        <v>64</v>
      </c>
      <c r="E100" s="5" t="s">
        <v>73</v>
      </c>
      <c r="F100" s="26" t="n">
        <v>45.11</v>
      </c>
      <c r="G100" s="26" t="n">
        <v>43.45</v>
      </c>
      <c r="H100" s="30" t="n">
        <v>0.743</v>
      </c>
      <c r="I100" s="28" t="n">
        <f aca="false">H100*G100/3.6</f>
        <v>8.96759722222222</v>
      </c>
      <c r="J100" s="30" t="n">
        <v>3.99</v>
      </c>
      <c r="K100" s="30" t="n">
        <v>1.606</v>
      </c>
      <c r="L100" s="30" t="n">
        <v>1.066</v>
      </c>
      <c r="M100" s="30" t="n">
        <v>5.78</v>
      </c>
      <c r="N100" s="25" t="n">
        <v>0.699325614064506</v>
      </c>
      <c r="O100" s="17" t="n">
        <v>0</v>
      </c>
      <c r="P100" s="26" t="n">
        <v>0</v>
      </c>
      <c r="Q100" s="24" t="n">
        <f aca="false">IF(O100=1,1/(1+EXP(-(P100-Inputs!$B$12)/Inputs!$B$13)),0)</f>
        <v>0</v>
      </c>
      <c r="R100" s="24" t="n">
        <f aca="false">N100*O100</f>
        <v>0</v>
      </c>
      <c r="S100" s="12" t="n">
        <f aca="false">N100*Q100</f>
        <v>0</v>
      </c>
      <c r="T100" s="24" t="n">
        <f aca="false">N100^2</f>
        <v>0.489056314486698</v>
      </c>
    </row>
    <row r="101" customFormat="false" ht="15" hidden="false" customHeight="false" outlineLevel="0" collapsed="false">
      <c r="A101" s="5" t="s">
        <v>353</v>
      </c>
      <c r="B101" s="5" t="s">
        <v>147</v>
      </c>
      <c r="C101" s="5" t="s">
        <v>54</v>
      </c>
      <c r="D101" s="5" t="s">
        <v>64</v>
      </c>
      <c r="E101" s="5" t="s">
        <v>73</v>
      </c>
      <c r="F101" s="26" t="n">
        <v>46.06</v>
      </c>
      <c r="G101" s="26" t="n">
        <v>44.74</v>
      </c>
      <c r="H101" s="30" t="n">
        <v>0.544</v>
      </c>
      <c r="I101" s="28" t="n">
        <f aca="false">H101*G101/3.6</f>
        <v>6.76071111111111</v>
      </c>
      <c r="J101" s="30" t="n">
        <v>5.78</v>
      </c>
      <c r="K101" s="30" t="n">
        <v>0.451</v>
      </c>
      <c r="L101" s="30" t="n">
        <v>1.368</v>
      </c>
      <c r="M101" s="30" t="n">
        <v>5.75</v>
      </c>
      <c r="N101" s="25" t="n">
        <v>3.53806784231295</v>
      </c>
      <c r="O101" s="17" t="n">
        <v>0</v>
      </c>
      <c r="P101" s="26" t="n">
        <v>0</v>
      </c>
      <c r="Q101" s="24" t="n">
        <f aca="false">IF(O101=1,1/(1+EXP(-(P101-Inputs!$B$12)/Inputs!$B$13)),0)</f>
        <v>0</v>
      </c>
      <c r="R101" s="24" t="n">
        <f aca="false">N101*O101</f>
        <v>0</v>
      </c>
      <c r="S101" s="12" t="n">
        <f aca="false">N101*Q101</f>
        <v>0</v>
      </c>
      <c r="T101" s="24" t="n">
        <f aca="false">N101^2</f>
        <v>12.517924056809</v>
      </c>
    </row>
    <row r="102" customFormat="false" ht="15" hidden="false" customHeight="false" outlineLevel="0" collapsed="false">
      <c r="A102" s="5" t="s">
        <v>354</v>
      </c>
      <c r="B102" s="5" t="s">
        <v>147</v>
      </c>
      <c r="C102" s="5" t="s">
        <v>54</v>
      </c>
      <c r="D102" s="5" t="s">
        <v>64</v>
      </c>
      <c r="E102" s="5" t="s">
        <v>73</v>
      </c>
      <c r="F102" s="26" t="n">
        <v>38.15</v>
      </c>
      <c r="G102" s="26" t="n">
        <v>34.44</v>
      </c>
      <c r="H102" s="30" t="n">
        <v>0.745</v>
      </c>
      <c r="I102" s="28" t="n">
        <f aca="false">H102*G102/3.6</f>
        <v>7.12716666666667</v>
      </c>
      <c r="J102" s="30" t="n">
        <v>4.77</v>
      </c>
      <c r="K102" s="30" t="n">
        <v>2.617</v>
      </c>
      <c r="L102" s="30" t="n">
        <v>1.622</v>
      </c>
      <c r="M102" s="30" t="n">
        <v>3.57</v>
      </c>
      <c r="N102" s="25" t="n">
        <v>0.20250825424577</v>
      </c>
      <c r="O102" s="17" t="n">
        <v>1</v>
      </c>
      <c r="P102" s="26" t="n">
        <v>25.83</v>
      </c>
      <c r="Q102" s="24" t="n">
        <f aca="false">IF(O102=1,1/(1+EXP(-(P102-Inputs!$B$12)/Inputs!$B$13)),0)</f>
        <v>0.0607353472866854</v>
      </c>
      <c r="R102" s="24" t="n">
        <f aca="false">N102*O102</f>
        <v>0.20250825424577</v>
      </c>
      <c r="S102" s="12" t="n">
        <f aca="false">N102*Q102</f>
        <v>0.0122994091500372</v>
      </c>
      <c r="T102" s="24" t="n">
        <f aca="false">N102^2</f>
        <v>0.0410095930376694</v>
      </c>
    </row>
    <row r="103" customFormat="false" ht="15" hidden="false" customHeight="false" outlineLevel="0" collapsed="false">
      <c r="A103" s="5" t="s">
        <v>355</v>
      </c>
      <c r="B103" s="5" t="s">
        <v>147</v>
      </c>
      <c r="C103" s="5" t="s">
        <v>54</v>
      </c>
      <c r="D103" s="5" t="s">
        <v>64</v>
      </c>
      <c r="E103" s="5" t="s">
        <v>73</v>
      </c>
      <c r="F103" s="26" t="n">
        <v>40.67</v>
      </c>
      <c r="G103" s="26" t="n">
        <v>39.4</v>
      </c>
      <c r="H103" s="30" t="n">
        <v>0.546</v>
      </c>
      <c r="I103" s="28" t="n">
        <f aca="false">H103*G103/3.6</f>
        <v>5.97566666666667</v>
      </c>
      <c r="J103" s="30" t="n">
        <v>5.13</v>
      </c>
      <c r="K103" s="30" t="n">
        <v>1.414</v>
      </c>
      <c r="L103" s="30" t="n">
        <v>1.761</v>
      </c>
      <c r="M103" s="30" t="n">
        <v>5.5</v>
      </c>
      <c r="N103" s="25" t="n">
        <v>0.150718355218124</v>
      </c>
      <c r="O103" s="17" t="n">
        <v>1</v>
      </c>
      <c r="P103" s="26" t="n">
        <v>24.96</v>
      </c>
      <c r="Q103" s="24" t="n">
        <f aca="false">IF(O103=1,1/(1+EXP(-(P103-Inputs!$B$12)/Inputs!$B$13)),0)</f>
        <v>0.0540205077479681</v>
      </c>
      <c r="R103" s="24" t="n">
        <f aca="false">N103*O103</f>
        <v>0.150718355218124</v>
      </c>
      <c r="S103" s="12" t="n">
        <f aca="false">N103*Q103</f>
        <v>0.00814188207582167</v>
      </c>
      <c r="T103" s="24" t="n">
        <f aca="false">N103^2</f>
        <v>0.0227160225996565</v>
      </c>
    </row>
    <row r="104" customFormat="false" ht="15" hidden="false" customHeight="false" outlineLevel="0" collapsed="false">
      <c r="A104" s="5" t="s">
        <v>356</v>
      </c>
      <c r="B104" s="5" t="s">
        <v>147</v>
      </c>
      <c r="C104" s="5" t="s">
        <v>54</v>
      </c>
      <c r="D104" s="5" t="s">
        <v>64</v>
      </c>
      <c r="E104" s="5" t="s">
        <v>73</v>
      </c>
      <c r="F104" s="26" t="n">
        <v>51.76</v>
      </c>
      <c r="G104" s="26" t="n">
        <v>52.44</v>
      </c>
      <c r="H104" s="30" t="n">
        <v>0.763</v>
      </c>
      <c r="I104" s="28" t="n">
        <f aca="false">H104*G104/3.6</f>
        <v>11.1143666666667</v>
      </c>
      <c r="J104" s="30" t="n">
        <v>4.85</v>
      </c>
      <c r="K104" s="30" t="n">
        <v>1.021</v>
      </c>
      <c r="L104" s="30" t="n">
        <v>1.037</v>
      </c>
      <c r="M104" s="30" t="n">
        <v>7.07</v>
      </c>
      <c r="N104" s="25" t="n">
        <v>1.28628039007809</v>
      </c>
      <c r="O104" s="17" t="n">
        <v>0</v>
      </c>
      <c r="P104" s="26" t="n">
        <v>0</v>
      </c>
      <c r="Q104" s="24" t="n">
        <f aca="false">IF(O104=1,1/(1+EXP(-(P104-Inputs!$B$12)/Inputs!$B$13)),0)</f>
        <v>0</v>
      </c>
      <c r="R104" s="24" t="n">
        <f aca="false">N104*O104</f>
        <v>0</v>
      </c>
      <c r="S104" s="12" t="n">
        <f aca="false">N104*Q104</f>
        <v>0</v>
      </c>
      <c r="T104" s="24" t="n">
        <f aca="false">N104^2</f>
        <v>1.65451724189944</v>
      </c>
    </row>
    <row r="105" customFormat="false" ht="15" hidden="false" customHeight="false" outlineLevel="0" collapsed="false">
      <c r="A105" s="5" t="s">
        <v>357</v>
      </c>
      <c r="B105" s="5" t="s">
        <v>147</v>
      </c>
      <c r="C105" s="5" t="s">
        <v>54</v>
      </c>
      <c r="D105" s="5" t="s">
        <v>64</v>
      </c>
      <c r="E105" s="5" t="s">
        <v>73</v>
      </c>
      <c r="F105" s="26" t="n">
        <v>40.66</v>
      </c>
      <c r="G105" s="26" t="n">
        <v>37.79</v>
      </c>
      <c r="H105" s="30" t="n">
        <v>0.508</v>
      </c>
      <c r="I105" s="28" t="n">
        <f aca="false">H105*G105/3.6</f>
        <v>5.33258888888889</v>
      </c>
      <c r="J105" s="30" t="n">
        <v>4.37</v>
      </c>
      <c r="K105" s="30" t="n">
        <v>2.645</v>
      </c>
      <c r="L105" s="30" t="n">
        <v>1.959</v>
      </c>
      <c r="M105" s="30" t="n">
        <v>3.68</v>
      </c>
      <c r="N105" s="25" t="n">
        <v>0.0882471342722952</v>
      </c>
      <c r="O105" s="17" t="n">
        <v>1</v>
      </c>
      <c r="P105" s="26" t="n">
        <v>24.67</v>
      </c>
      <c r="Q105" s="24" t="n">
        <f aca="false">IF(O105=1,1/(1+EXP(-(P105-Inputs!$B$12)/Inputs!$B$13)),0)</f>
        <v>0.0519421110981228</v>
      </c>
      <c r="R105" s="24" t="n">
        <f aca="false">N105*O105</f>
        <v>0.0882471342722952</v>
      </c>
      <c r="S105" s="12" t="n">
        <f aca="false">N105*Q105</f>
        <v>0.00458374245246252</v>
      </c>
      <c r="T105" s="24" t="n">
        <f aca="false">N105^2</f>
        <v>0.0077875567072725</v>
      </c>
    </row>
    <row r="106" customFormat="false" ht="15" hidden="false" customHeight="false" outlineLevel="0" collapsed="false">
      <c r="A106" s="5" t="s">
        <v>358</v>
      </c>
      <c r="B106" s="5" t="s">
        <v>148</v>
      </c>
      <c r="C106" s="5" t="s">
        <v>54</v>
      </c>
      <c r="D106" s="5" t="s">
        <v>65</v>
      </c>
      <c r="E106" s="5" t="s">
        <v>68</v>
      </c>
      <c r="F106" s="26" t="n">
        <v>69.02</v>
      </c>
      <c r="G106" s="26" t="n">
        <v>68.99</v>
      </c>
      <c r="H106" s="30" t="n">
        <v>4.067</v>
      </c>
      <c r="I106" s="28" t="n">
        <f aca="false">H106*G106/3.6</f>
        <v>77.9395361111111</v>
      </c>
      <c r="J106" s="30" t="n">
        <v>3.5</v>
      </c>
      <c r="K106" s="30" t="n">
        <v>2.303</v>
      </c>
      <c r="L106" s="30" t="n">
        <v>2.455</v>
      </c>
      <c r="M106" s="30" t="n">
        <v>4.26</v>
      </c>
      <c r="N106" s="25" t="n">
        <v>0.016957314360872</v>
      </c>
      <c r="O106" s="17" t="n">
        <v>0</v>
      </c>
      <c r="P106" s="26" t="n">
        <v>0</v>
      </c>
      <c r="Q106" s="24" t="n">
        <f aca="false">IF(O106=1,1/(1+EXP(-(P106-Inputs!$B$12)/Inputs!$B$13)),0)</f>
        <v>0</v>
      </c>
      <c r="R106" s="24" t="n">
        <f aca="false">N106*O106</f>
        <v>0</v>
      </c>
      <c r="S106" s="12" t="n">
        <f aca="false">N106*Q106</f>
        <v>0</v>
      </c>
      <c r="T106" s="24" t="n">
        <f aca="false">N106^2</f>
        <v>0.000287550510333435</v>
      </c>
    </row>
    <row r="107" customFormat="false" ht="15" hidden="false" customHeight="false" outlineLevel="0" collapsed="false">
      <c r="A107" s="5" t="s">
        <v>359</v>
      </c>
      <c r="B107" s="5" t="s">
        <v>148</v>
      </c>
      <c r="C107" s="5" t="s">
        <v>54</v>
      </c>
      <c r="D107" s="5" t="s">
        <v>65</v>
      </c>
      <c r="E107" s="5" t="s">
        <v>68</v>
      </c>
      <c r="F107" s="26" t="n">
        <v>59.27</v>
      </c>
      <c r="G107" s="26" t="n">
        <v>60.66</v>
      </c>
      <c r="H107" s="30" t="n">
        <v>3.65</v>
      </c>
      <c r="I107" s="28" t="n">
        <f aca="false">H107*G107/3.6</f>
        <v>61.5025</v>
      </c>
      <c r="J107" s="30" t="n">
        <v>5.78</v>
      </c>
      <c r="K107" s="30" t="n">
        <v>1.553</v>
      </c>
      <c r="L107" s="30" t="n">
        <v>1.045</v>
      </c>
      <c r="M107" s="30" t="n">
        <v>5.97</v>
      </c>
      <c r="N107" s="25" t="n">
        <v>0.670251147902546</v>
      </c>
      <c r="O107" s="17" t="n">
        <v>0</v>
      </c>
      <c r="P107" s="26" t="n">
        <v>0</v>
      </c>
      <c r="Q107" s="24" t="n">
        <f aca="false">IF(O107=1,1/(1+EXP(-(P107-Inputs!$B$12)/Inputs!$B$13)),0)</f>
        <v>0</v>
      </c>
      <c r="R107" s="24" t="n">
        <f aca="false">N107*O107</f>
        <v>0</v>
      </c>
      <c r="S107" s="12" t="n">
        <f aca="false">N107*Q107</f>
        <v>0</v>
      </c>
      <c r="T107" s="24" t="n">
        <f aca="false">N107^2</f>
        <v>0.449236601264681</v>
      </c>
    </row>
    <row r="108" customFormat="false" ht="15" hidden="false" customHeight="false" outlineLevel="0" collapsed="false">
      <c r="A108" s="5" t="s">
        <v>360</v>
      </c>
      <c r="B108" s="5" t="s">
        <v>148</v>
      </c>
      <c r="C108" s="5" t="s">
        <v>54</v>
      </c>
      <c r="D108" s="5" t="s">
        <v>65</v>
      </c>
      <c r="E108" s="5" t="s">
        <v>68</v>
      </c>
      <c r="F108" s="26" t="n">
        <v>71.6</v>
      </c>
      <c r="G108" s="26" t="n">
        <v>73.09</v>
      </c>
      <c r="H108" s="30" t="n">
        <v>3.214</v>
      </c>
      <c r="I108" s="28" t="n">
        <f aca="false">H108*G108/3.6</f>
        <v>65.2531277777778</v>
      </c>
      <c r="J108" s="30" t="n">
        <v>2.71</v>
      </c>
      <c r="K108" s="30" t="n">
        <v>3.026</v>
      </c>
      <c r="L108" s="30" t="n">
        <v>2.416</v>
      </c>
      <c r="M108" s="30" t="n">
        <v>7.05</v>
      </c>
      <c r="N108" s="25" t="n">
        <v>0.00404732101376539</v>
      </c>
      <c r="O108" s="17" t="n">
        <v>0</v>
      </c>
      <c r="P108" s="26" t="n">
        <v>0</v>
      </c>
      <c r="Q108" s="24" t="n">
        <f aca="false">IF(O108=1,1/(1+EXP(-(P108-Inputs!$B$12)/Inputs!$B$13)),0)</f>
        <v>0</v>
      </c>
      <c r="R108" s="24" t="n">
        <f aca="false">N108*O108</f>
        <v>0</v>
      </c>
      <c r="S108" s="12" t="n">
        <f aca="false">N108*Q108</f>
        <v>0</v>
      </c>
      <c r="T108" s="24" t="n">
        <f aca="false">N108^2</f>
        <v>1.63808073884669E-005</v>
      </c>
    </row>
    <row r="109" customFormat="false" ht="15" hidden="false" customHeight="false" outlineLevel="0" collapsed="false">
      <c r="A109" s="5" t="s">
        <v>361</v>
      </c>
      <c r="B109" s="5" t="s">
        <v>148</v>
      </c>
      <c r="C109" s="5" t="s">
        <v>54</v>
      </c>
      <c r="D109" s="5" t="s">
        <v>65</v>
      </c>
      <c r="E109" s="5" t="s">
        <v>68</v>
      </c>
      <c r="F109" s="26" t="n">
        <v>69.84</v>
      </c>
      <c r="G109" s="26" t="n">
        <v>71.95</v>
      </c>
      <c r="H109" s="30" t="n">
        <v>4.425</v>
      </c>
      <c r="I109" s="28" t="n">
        <f aca="false">H109*G109/3.6</f>
        <v>88.4385416666667</v>
      </c>
      <c r="J109" s="30" t="n">
        <v>3.89</v>
      </c>
      <c r="K109" s="30" t="n">
        <v>3.064</v>
      </c>
      <c r="L109" s="30" t="n">
        <v>0.954</v>
      </c>
      <c r="M109" s="30" t="n">
        <v>7.03</v>
      </c>
      <c r="N109" s="25" t="n">
        <v>0.183551932148808</v>
      </c>
      <c r="O109" s="17" t="n">
        <v>0</v>
      </c>
      <c r="P109" s="26" t="n">
        <v>0</v>
      </c>
      <c r="Q109" s="24" t="n">
        <f aca="false">IF(O109=1,1/(1+EXP(-(P109-Inputs!$B$12)/Inputs!$B$13)),0)</f>
        <v>0</v>
      </c>
      <c r="R109" s="24" t="n">
        <f aca="false">N109*O109</f>
        <v>0</v>
      </c>
      <c r="S109" s="12" t="n">
        <f aca="false">N109*Q109</f>
        <v>0</v>
      </c>
      <c r="T109" s="24" t="n">
        <f aca="false">N109^2</f>
        <v>0.0336913117955605</v>
      </c>
    </row>
    <row r="110" customFormat="false" ht="15" hidden="false" customHeight="false" outlineLevel="0" collapsed="false">
      <c r="A110" s="5" t="s">
        <v>362</v>
      </c>
      <c r="B110" s="5" t="s">
        <v>148</v>
      </c>
      <c r="C110" s="5" t="s">
        <v>54</v>
      </c>
      <c r="D110" s="5" t="s">
        <v>65</v>
      </c>
      <c r="E110" s="5" t="s">
        <v>68</v>
      </c>
      <c r="F110" s="26" t="n">
        <v>55.87</v>
      </c>
      <c r="G110" s="26" t="n">
        <v>52.81</v>
      </c>
      <c r="H110" s="30" t="n">
        <v>3.418</v>
      </c>
      <c r="I110" s="28" t="n">
        <f aca="false">H110*G110/3.6</f>
        <v>50.1401611111111</v>
      </c>
      <c r="J110" s="30" t="n">
        <v>4.04</v>
      </c>
      <c r="K110" s="30" t="n">
        <v>0.817</v>
      </c>
      <c r="L110" s="30" t="n">
        <v>2.218</v>
      </c>
      <c r="M110" s="30" t="n">
        <v>3.53</v>
      </c>
      <c r="N110" s="25" t="n">
        <v>0.511748343990226</v>
      </c>
      <c r="O110" s="17" t="n">
        <v>0</v>
      </c>
      <c r="P110" s="26" t="n">
        <v>0</v>
      </c>
      <c r="Q110" s="24" t="n">
        <f aca="false">IF(O110=1,1/(1+EXP(-(P110-Inputs!$B$12)/Inputs!$B$13)),0)</f>
        <v>0</v>
      </c>
      <c r="R110" s="24" t="n">
        <f aca="false">N110*O110</f>
        <v>0</v>
      </c>
      <c r="S110" s="12" t="n">
        <f aca="false">N110*Q110</f>
        <v>0</v>
      </c>
      <c r="T110" s="24" t="n">
        <f aca="false">N110^2</f>
        <v>0.261886367576739</v>
      </c>
    </row>
    <row r="111" customFormat="false" ht="15" hidden="false" customHeight="false" outlineLevel="0" collapsed="false">
      <c r="A111" s="5" t="s">
        <v>363</v>
      </c>
      <c r="B111" s="5" t="s">
        <v>148</v>
      </c>
      <c r="C111" s="5" t="s">
        <v>54</v>
      </c>
      <c r="D111" s="5" t="s">
        <v>65</v>
      </c>
      <c r="E111" s="5" t="s">
        <v>68</v>
      </c>
      <c r="F111" s="26" t="n">
        <v>69.2</v>
      </c>
      <c r="G111" s="26" t="n">
        <v>71.88</v>
      </c>
      <c r="H111" s="30" t="n">
        <v>3.676</v>
      </c>
      <c r="I111" s="28" t="n">
        <f aca="false">H111*G111/3.6</f>
        <v>73.3974666666667</v>
      </c>
      <c r="J111" s="30" t="n">
        <v>3.39</v>
      </c>
      <c r="K111" s="30" t="n">
        <v>4.161</v>
      </c>
      <c r="L111" s="30" t="n">
        <v>2.111</v>
      </c>
      <c r="M111" s="30" t="n">
        <v>6.57</v>
      </c>
      <c r="N111" s="25" t="n">
        <v>0.00510699272264879</v>
      </c>
      <c r="O111" s="17" t="n">
        <v>0</v>
      </c>
      <c r="P111" s="26" t="n">
        <v>0</v>
      </c>
      <c r="Q111" s="24" t="n">
        <f aca="false">IF(O111=1,1/(1+EXP(-(P111-Inputs!$B$12)/Inputs!$B$13)),0)</f>
        <v>0</v>
      </c>
      <c r="R111" s="24" t="n">
        <f aca="false">N111*O111</f>
        <v>0</v>
      </c>
      <c r="S111" s="12" t="n">
        <f aca="false">N111*Q111</f>
        <v>0</v>
      </c>
      <c r="T111" s="24" t="n">
        <f aca="false">N111^2</f>
        <v>2.60813746691877E-005</v>
      </c>
    </row>
    <row r="112" customFormat="false" ht="15" hidden="false" customHeight="false" outlineLevel="0" collapsed="false">
      <c r="A112" s="5" t="s">
        <v>364</v>
      </c>
      <c r="B112" s="5" t="s">
        <v>148</v>
      </c>
      <c r="C112" s="5" t="s">
        <v>54</v>
      </c>
      <c r="D112" s="5" t="s">
        <v>65</v>
      </c>
      <c r="E112" s="5" t="s">
        <v>68</v>
      </c>
      <c r="F112" s="26" t="n">
        <v>55.5</v>
      </c>
      <c r="G112" s="26" t="n">
        <v>52.66</v>
      </c>
      <c r="H112" s="30" t="n">
        <v>3.448</v>
      </c>
      <c r="I112" s="28" t="n">
        <f aca="false">H112*G112/3.6</f>
        <v>50.4365777777778</v>
      </c>
      <c r="J112" s="30" t="n">
        <v>4.28</v>
      </c>
      <c r="K112" s="30" t="n">
        <v>0.962</v>
      </c>
      <c r="L112" s="30" t="n">
        <v>1.279</v>
      </c>
      <c r="M112" s="30" t="n">
        <v>5.2</v>
      </c>
      <c r="N112" s="25" t="n">
        <v>1.18665174983352</v>
      </c>
      <c r="O112" s="17" t="n">
        <v>0</v>
      </c>
      <c r="P112" s="26" t="n">
        <v>0</v>
      </c>
      <c r="Q112" s="24" t="n">
        <f aca="false">IF(O112=1,1/(1+EXP(-(P112-Inputs!$B$12)/Inputs!$B$13)),0)</f>
        <v>0</v>
      </c>
      <c r="R112" s="24" t="n">
        <f aca="false">N112*O112</f>
        <v>0</v>
      </c>
      <c r="S112" s="12" t="n">
        <f aca="false">N112*Q112</f>
        <v>0</v>
      </c>
      <c r="T112" s="24" t="n">
        <f aca="false">N112^2</f>
        <v>1.40814237538295</v>
      </c>
    </row>
    <row r="113" customFormat="false" ht="15" hidden="false" customHeight="false" outlineLevel="0" collapsed="false">
      <c r="A113" s="5" t="s">
        <v>365</v>
      </c>
      <c r="B113" s="5" t="s">
        <v>148</v>
      </c>
      <c r="C113" s="5" t="s">
        <v>54</v>
      </c>
      <c r="D113" s="5" t="s">
        <v>65</v>
      </c>
      <c r="E113" s="5" t="s">
        <v>68</v>
      </c>
      <c r="F113" s="26" t="n">
        <v>68.27</v>
      </c>
      <c r="G113" s="26" t="n">
        <v>66.98</v>
      </c>
      <c r="H113" s="30" t="n">
        <v>3.583</v>
      </c>
      <c r="I113" s="28" t="n">
        <f aca="false">H113*G113/3.6</f>
        <v>66.6637055555556</v>
      </c>
      <c r="J113" s="30" t="n">
        <v>3.97</v>
      </c>
      <c r="K113" s="30" t="n">
        <v>1.559</v>
      </c>
      <c r="L113" s="30" t="n">
        <v>1.64</v>
      </c>
      <c r="M113" s="30" t="n">
        <v>6.71</v>
      </c>
      <c r="N113" s="25" t="n">
        <v>0.111342128141319</v>
      </c>
      <c r="O113" s="17" t="n">
        <v>0</v>
      </c>
      <c r="P113" s="26" t="n">
        <v>0</v>
      </c>
      <c r="Q113" s="24" t="n">
        <f aca="false">IF(O113=1,1/(1+EXP(-(P113-Inputs!$B$12)/Inputs!$B$13)),0)</f>
        <v>0</v>
      </c>
      <c r="R113" s="24" t="n">
        <f aca="false">N113*O113</f>
        <v>0</v>
      </c>
      <c r="S113" s="12" t="n">
        <f aca="false">N113*Q113</f>
        <v>0</v>
      </c>
      <c r="T113" s="24" t="n">
        <f aca="false">N113^2</f>
        <v>0.012397069499038</v>
      </c>
    </row>
    <row r="114" customFormat="false" ht="15" hidden="false" customHeight="false" outlineLevel="0" collapsed="false">
      <c r="A114" s="5" t="s">
        <v>366</v>
      </c>
      <c r="B114" s="5" t="s">
        <v>148</v>
      </c>
      <c r="C114" s="5" t="s">
        <v>54</v>
      </c>
      <c r="D114" s="5" t="s">
        <v>65</v>
      </c>
      <c r="E114" s="5" t="s">
        <v>68</v>
      </c>
      <c r="F114" s="26" t="n">
        <v>70.81</v>
      </c>
      <c r="G114" s="26" t="n">
        <v>72.5</v>
      </c>
      <c r="H114" s="30" t="n">
        <v>4.454</v>
      </c>
      <c r="I114" s="28" t="n">
        <f aca="false">H114*G114/3.6</f>
        <v>89.6986111111111</v>
      </c>
      <c r="J114" s="30" t="n">
        <v>3.24</v>
      </c>
      <c r="K114" s="30" t="n">
        <v>1.332</v>
      </c>
      <c r="L114" s="30" t="n">
        <v>1.531</v>
      </c>
      <c r="M114" s="30" t="n">
        <v>6.42</v>
      </c>
      <c r="N114" s="25" t="n">
        <v>0.252619592233809</v>
      </c>
      <c r="O114" s="17" t="n">
        <v>0</v>
      </c>
      <c r="P114" s="26" t="n">
        <v>0</v>
      </c>
      <c r="Q114" s="24" t="n">
        <f aca="false">IF(O114=1,1/(1+EXP(-(P114-Inputs!$B$12)/Inputs!$B$13)),0)</f>
        <v>0</v>
      </c>
      <c r="R114" s="24" t="n">
        <f aca="false">N114*O114</f>
        <v>0</v>
      </c>
      <c r="S114" s="12" t="n">
        <f aca="false">N114*Q114</f>
        <v>0</v>
      </c>
      <c r="T114" s="24" t="n">
        <f aca="false">N114^2</f>
        <v>0.0638166583803759</v>
      </c>
    </row>
    <row r="115" customFormat="false" ht="15" hidden="false" customHeight="false" outlineLevel="0" collapsed="false">
      <c r="A115" s="5" t="s">
        <v>367</v>
      </c>
      <c r="B115" s="5" t="s">
        <v>148</v>
      </c>
      <c r="C115" s="5" t="s">
        <v>54</v>
      </c>
      <c r="D115" s="5" t="s">
        <v>65</v>
      </c>
      <c r="E115" s="5" t="s">
        <v>68</v>
      </c>
      <c r="F115" s="26" t="n">
        <v>57.41</v>
      </c>
      <c r="G115" s="26" t="n">
        <v>57.67</v>
      </c>
      <c r="H115" s="30" t="n">
        <v>4.918</v>
      </c>
      <c r="I115" s="28" t="n">
        <f aca="false">H115*G115/3.6</f>
        <v>78.7836277777778</v>
      </c>
      <c r="J115" s="30" t="n">
        <v>3.92</v>
      </c>
      <c r="K115" s="30" t="n">
        <v>0.541</v>
      </c>
      <c r="L115" s="30" t="n">
        <v>1.133</v>
      </c>
      <c r="M115" s="30" t="n">
        <v>7.08</v>
      </c>
      <c r="N115" s="25" t="n">
        <v>5.56321086027978</v>
      </c>
      <c r="O115" s="17" t="n">
        <v>0</v>
      </c>
      <c r="P115" s="26" t="n">
        <v>0</v>
      </c>
      <c r="Q115" s="24" t="n">
        <f aca="false">IF(O115=1,1/(1+EXP(-(P115-Inputs!$B$12)/Inputs!$B$13)),0)</f>
        <v>0</v>
      </c>
      <c r="R115" s="24" t="n">
        <f aca="false">N115*O115</f>
        <v>0</v>
      </c>
      <c r="S115" s="12" t="n">
        <f aca="false">N115*Q115</f>
        <v>0</v>
      </c>
      <c r="T115" s="24" t="n">
        <f aca="false">N115^2</f>
        <v>30.9493150759349</v>
      </c>
    </row>
    <row r="116" customFormat="false" ht="15" hidden="false" customHeight="false" outlineLevel="0" collapsed="false">
      <c r="A116" s="5" t="s">
        <v>368</v>
      </c>
      <c r="B116" s="5" t="s">
        <v>149</v>
      </c>
      <c r="C116" s="5" t="s">
        <v>54</v>
      </c>
      <c r="D116" s="5" t="s">
        <v>65</v>
      </c>
      <c r="E116" s="5" t="s">
        <v>70</v>
      </c>
      <c r="F116" s="26" t="n">
        <v>73.92</v>
      </c>
      <c r="G116" s="26" t="n">
        <v>75.77</v>
      </c>
      <c r="H116" s="30" t="n">
        <v>2.473</v>
      </c>
      <c r="I116" s="28" t="n">
        <f aca="false">H116*G116/3.6</f>
        <v>52.0497805555555</v>
      </c>
      <c r="J116" s="30" t="n">
        <v>4.92</v>
      </c>
      <c r="K116" s="30" t="n">
        <v>1.744</v>
      </c>
      <c r="L116" s="30" t="n">
        <v>1.09</v>
      </c>
      <c r="M116" s="30" t="n">
        <v>4.68</v>
      </c>
      <c r="N116" s="25" t="n">
        <v>0.59820143387141</v>
      </c>
      <c r="O116" s="17" t="n">
        <v>0</v>
      </c>
      <c r="P116" s="26" t="n">
        <v>0</v>
      </c>
      <c r="Q116" s="24" t="n">
        <f aca="false">IF(O116=1,1/(1+EXP(-(P116-Inputs!$B$12)/Inputs!$B$13)),0)</f>
        <v>0</v>
      </c>
      <c r="R116" s="24" t="n">
        <f aca="false">N116*O116</f>
        <v>0</v>
      </c>
      <c r="S116" s="12" t="n">
        <f aca="false">N116*Q116</f>
        <v>0</v>
      </c>
      <c r="T116" s="24" t="n">
        <f aca="false">N116^2</f>
        <v>0.357844955485811</v>
      </c>
    </row>
    <row r="117" customFormat="false" ht="15" hidden="false" customHeight="false" outlineLevel="0" collapsed="false">
      <c r="A117" s="5" t="s">
        <v>369</v>
      </c>
      <c r="B117" s="5" t="s">
        <v>149</v>
      </c>
      <c r="C117" s="5" t="s">
        <v>54</v>
      </c>
      <c r="D117" s="5" t="s">
        <v>65</v>
      </c>
      <c r="E117" s="5" t="s">
        <v>70</v>
      </c>
      <c r="F117" s="26" t="n">
        <v>66.64</v>
      </c>
      <c r="G117" s="26" t="n">
        <v>68.29</v>
      </c>
      <c r="H117" s="30" t="n">
        <v>2.618</v>
      </c>
      <c r="I117" s="28" t="n">
        <f aca="false">H117*G117/3.6</f>
        <v>49.6620055555556</v>
      </c>
      <c r="J117" s="30" t="n">
        <v>3.74</v>
      </c>
      <c r="K117" s="30" t="n">
        <v>1.538</v>
      </c>
      <c r="L117" s="30" t="n">
        <v>2.326</v>
      </c>
      <c r="M117" s="30" t="n">
        <v>3.68</v>
      </c>
      <c r="N117" s="25" t="n">
        <v>0.107734228985772</v>
      </c>
      <c r="O117" s="17" t="n">
        <v>0</v>
      </c>
      <c r="P117" s="26" t="n">
        <v>0</v>
      </c>
      <c r="Q117" s="24" t="n">
        <f aca="false">IF(O117=1,1/(1+EXP(-(P117-Inputs!$B$12)/Inputs!$B$13)),0)</f>
        <v>0</v>
      </c>
      <c r="R117" s="24" t="n">
        <f aca="false">N117*O117</f>
        <v>0</v>
      </c>
      <c r="S117" s="12" t="n">
        <f aca="false">N117*Q117</f>
        <v>0</v>
      </c>
      <c r="T117" s="24" t="n">
        <f aca="false">N117^2</f>
        <v>0.0116066640951587</v>
      </c>
    </row>
    <row r="118" customFormat="false" ht="15" hidden="false" customHeight="false" outlineLevel="0" collapsed="false">
      <c r="A118" s="5" t="s">
        <v>370</v>
      </c>
      <c r="B118" s="5" t="s">
        <v>149</v>
      </c>
      <c r="C118" s="5" t="s">
        <v>54</v>
      </c>
      <c r="D118" s="5" t="s">
        <v>65</v>
      </c>
      <c r="E118" s="5" t="s">
        <v>70</v>
      </c>
      <c r="F118" s="26" t="n">
        <v>63.16</v>
      </c>
      <c r="G118" s="26" t="n">
        <v>63.65</v>
      </c>
      <c r="H118" s="30" t="n">
        <v>2.122</v>
      </c>
      <c r="I118" s="28" t="n">
        <f aca="false">H118*G118/3.6</f>
        <v>37.5181388888889</v>
      </c>
      <c r="J118" s="30" t="n">
        <v>4.22</v>
      </c>
      <c r="K118" s="30" t="n">
        <v>2.038</v>
      </c>
      <c r="L118" s="30" t="n">
        <v>1.297</v>
      </c>
      <c r="M118" s="30" t="n">
        <v>7.26</v>
      </c>
      <c r="N118" s="25" t="n">
        <v>0.143061366201417</v>
      </c>
      <c r="O118" s="17" t="n">
        <v>0</v>
      </c>
      <c r="P118" s="26" t="n">
        <v>0</v>
      </c>
      <c r="Q118" s="24" t="n">
        <f aca="false">IF(O118=1,1/(1+EXP(-(P118-Inputs!$B$12)/Inputs!$B$13)),0)</f>
        <v>0</v>
      </c>
      <c r="R118" s="24" t="n">
        <f aca="false">N118*O118</f>
        <v>0</v>
      </c>
      <c r="S118" s="12" t="n">
        <f aca="false">N118*Q118</f>
        <v>0</v>
      </c>
      <c r="T118" s="24" t="n">
        <f aca="false">N118^2</f>
        <v>0.0204665544994159</v>
      </c>
    </row>
    <row r="119" customFormat="false" ht="15" hidden="false" customHeight="false" outlineLevel="0" collapsed="false">
      <c r="A119" s="5" t="s">
        <v>371</v>
      </c>
      <c r="B119" s="5" t="s">
        <v>149</v>
      </c>
      <c r="C119" s="5" t="s">
        <v>54</v>
      </c>
      <c r="D119" s="5" t="s">
        <v>65</v>
      </c>
      <c r="E119" s="5" t="s">
        <v>70</v>
      </c>
      <c r="F119" s="26" t="n">
        <v>69.28</v>
      </c>
      <c r="G119" s="26" t="n">
        <v>69.65</v>
      </c>
      <c r="H119" s="30" t="n">
        <v>2.67</v>
      </c>
      <c r="I119" s="28" t="n">
        <f aca="false">H119*G119/3.6</f>
        <v>51.6570833333333</v>
      </c>
      <c r="J119" s="30" t="n">
        <v>4.38</v>
      </c>
      <c r="K119" s="30" t="n">
        <v>0.852</v>
      </c>
      <c r="L119" s="30" t="n">
        <v>1.219</v>
      </c>
      <c r="M119" s="30" t="n">
        <v>6.2</v>
      </c>
      <c r="N119" s="25" t="n">
        <v>1.93874110122766</v>
      </c>
      <c r="O119" s="17" t="n">
        <v>0</v>
      </c>
      <c r="P119" s="26" t="n">
        <v>0</v>
      </c>
      <c r="Q119" s="24" t="n">
        <f aca="false">IF(O119=1,1/(1+EXP(-(P119-Inputs!$B$12)/Inputs!$B$13)),0)</f>
        <v>0</v>
      </c>
      <c r="R119" s="24" t="n">
        <f aca="false">N119*O119</f>
        <v>0</v>
      </c>
      <c r="S119" s="12" t="n">
        <f aca="false">N119*Q119</f>
        <v>0</v>
      </c>
      <c r="T119" s="24" t="n">
        <f aca="false">N119^2</f>
        <v>3.75871705758943</v>
      </c>
    </row>
    <row r="120" customFormat="false" ht="15" hidden="false" customHeight="false" outlineLevel="0" collapsed="false">
      <c r="A120" s="5" t="s">
        <v>372</v>
      </c>
      <c r="B120" s="5" t="s">
        <v>149</v>
      </c>
      <c r="C120" s="5" t="s">
        <v>54</v>
      </c>
      <c r="D120" s="5" t="s">
        <v>65</v>
      </c>
      <c r="E120" s="5" t="s">
        <v>70</v>
      </c>
      <c r="F120" s="26" t="n">
        <v>64.69</v>
      </c>
      <c r="G120" s="26" t="n">
        <v>64.07</v>
      </c>
      <c r="H120" s="30" t="n">
        <v>2.36</v>
      </c>
      <c r="I120" s="28" t="n">
        <f aca="false">H120*G120/3.6</f>
        <v>42.0014444444444</v>
      </c>
      <c r="J120" s="30" t="n">
        <v>5.02</v>
      </c>
      <c r="K120" s="30" t="n">
        <v>2.731</v>
      </c>
      <c r="L120" s="30" t="n">
        <v>1.297</v>
      </c>
      <c r="M120" s="30" t="n">
        <v>6.57</v>
      </c>
      <c r="N120" s="25" t="n">
        <v>0.105347488753831</v>
      </c>
      <c r="O120" s="17" t="n">
        <v>0</v>
      </c>
      <c r="P120" s="26" t="n">
        <v>0</v>
      </c>
      <c r="Q120" s="24" t="n">
        <f aca="false">IF(O120=1,1/(1+EXP(-(P120-Inputs!$B$12)/Inputs!$B$13)),0)</f>
        <v>0</v>
      </c>
      <c r="R120" s="24" t="n">
        <f aca="false">N120*O120</f>
        <v>0</v>
      </c>
      <c r="S120" s="12" t="n">
        <f aca="false">N120*Q120</f>
        <v>0</v>
      </c>
      <c r="T120" s="24" t="n">
        <f aca="false">N120^2</f>
        <v>0.0110980933867386</v>
      </c>
    </row>
    <row r="121" customFormat="false" ht="15" hidden="false" customHeight="false" outlineLevel="0" collapsed="false">
      <c r="A121" s="5" t="s">
        <v>373</v>
      </c>
      <c r="B121" s="5" t="s">
        <v>149</v>
      </c>
      <c r="C121" s="5" t="s">
        <v>54</v>
      </c>
      <c r="D121" s="5" t="s">
        <v>65</v>
      </c>
      <c r="E121" s="5" t="s">
        <v>70</v>
      </c>
      <c r="F121" s="26" t="n">
        <v>72.24</v>
      </c>
      <c r="G121" s="26" t="n">
        <v>70.96</v>
      </c>
      <c r="H121" s="30" t="n">
        <v>2.413</v>
      </c>
      <c r="I121" s="28" t="n">
        <f aca="false">H121*G121/3.6</f>
        <v>47.5629111111111</v>
      </c>
      <c r="J121" s="30" t="n">
        <v>4.63</v>
      </c>
      <c r="K121" s="30" t="n">
        <v>1.419</v>
      </c>
      <c r="L121" s="30" t="n">
        <v>1.228</v>
      </c>
      <c r="M121" s="30" t="n">
        <v>5.98</v>
      </c>
      <c r="N121" s="25" t="n">
        <v>0.488813311628663</v>
      </c>
      <c r="O121" s="17" t="n">
        <v>0</v>
      </c>
      <c r="P121" s="26" t="n">
        <v>0</v>
      </c>
      <c r="Q121" s="24" t="n">
        <f aca="false">IF(O121=1,1/(1+EXP(-(P121-Inputs!$B$12)/Inputs!$B$13)),0)</f>
        <v>0</v>
      </c>
      <c r="R121" s="24" t="n">
        <f aca="false">N121*O121</f>
        <v>0</v>
      </c>
      <c r="S121" s="12" t="n">
        <f aca="false">N121*Q121</f>
        <v>0</v>
      </c>
      <c r="T121" s="24" t="n">
        <f aca="false">N121^2</f>
        <v>0.23893845362538</v>
      </c>
    </row>
    <row r="122" customFormat="false" ht="15" hidden="false" customHeight="false" outlineLevel="0" collapsed="false">
      <c r="A122" s="5" t="s">
        <v>374</v>
      </c>
      <c r="B122" s="5" t="s">
        <v>149</v>
      </c>
      <c r="C122" s="5" t="s">
        <v>54</v>
      </c>
      <c r="D122" s="5" t="s">
        <v>65</v>
      </c>
      <c r="E122" s="5" t="s">
        <v>70</v>
      </c>
      <c r="F122" s="26" t="n">
        <v>58.53</v>
      </c>
      <c r="G122" s="26" t="n">
        <v>59.11</v>
      </c>
      <c r="H122" s="30" t="n">
        <v>2.516</v>
      </c>
      <c r="I122" s="28" t="n">
        <f aca="false">H122*G122/3.6</f>
        <v>41.3113222222222</v>
      </c>
      <c r="J122" s="30" t="n">
        <v>5.68</v>
      </c>
      <c r="K122" s="30" t="n">
        <v>1.15</v>
      </c>
      <c r="L122" s="30" t="n">
        <v>1.858</v>
      </c>
      <c r="M122" s="30" t="n">
        <v>4.35</v>
      </c>
      <c r="N122" s="25" t="n">
        <v>0.326468992041394</v>
      </c>
      <c r="O122" s="17" t="n">
        <v>0</v>
      </c>
      <c r="P122" s="26" t="n">
        <v>0</v>
      </c>
      <c r="Q122" s="24" t="n">
        <f aca="false">IF(O122=1,1/(1+EXP(-(P122-Inputs!$B$12)/Inputs!$B$13)),0)</f>
        <v>0</v>
      </c>
      <c r="R122" s="24" t="n">
        <f aca="false">N122*O122</f>
        <v>0</v>
      </c>
      <c r="S122" s="12" t="n">
        <f aca="false">N122*Q122</f>
        <v>0</v>
      </c>
      <c r="T122" s="24" t="n">
        <f aca="false">N122^2</f>
        <v>0.106582002764523</v>
      </c>
    </row>
    <row r="123" customFormat="false" ht="15" hidden="false" customHeight="false" outlineLevel="0" collapsed="false">
      <c r="A123" s="5" t="s">
        <v>375</v>
      </c>
      <c r="B123" s="5" t="s">
        <v>149</v>
      </c>
      <c r="C123" s="5" t="s">
        <v>54</v>
      </c>
      <c r="D123" s="5" t="s">
        <v>65</v>
      </c>
      <c r="E123" s="5" t="s">
        <v>70</v>
      </c>
      <c r="F123" s="26" t="n">
        <v>68.63</v>
      </c>
      <c r="G123" s="26" t="n">
        <v>70.59</v>
      </c>
      <c r="H123" s="30" t="n">
        <v>2.318</v>
      </c>
      <c r="I123" s="28" t="n">
        <f aca="false">H123*G123/3.6</f>
        <v>45.4521166666667</v>
      </c>
      <c r="J123" s="30" t="n">
        <v>5.79</v>
      </c>
      <c r="K123" s="30" t="n">
        <v>0.839</v>
      </c>
      <c r="L123" s="30" t="n">
        <v>1.569</v>
      </c>
      <c r="M123" s="30" t="n">
        <v>4.06</v>
      </c>
      <c r="N123" s="25" t="n">
        <v>1.03150869798781</v>
      </c>
      <c r="O123" s="17" t="n">
        <v>0</v>
      </c>
      <c r="P123" s="26" t="n">
        <v>0</v>
      </c>
      <c r="Q123" s="24" t="n">
        <f aca="false">IF(O123=1,1/(1+EXP(-(P123-Inputs!$B$12)/Inputs!$B$13)),0)</f>
        <v>0</v>
      </c>
      <c r="R123" s="24" t="n">
        <f aca="false">N123*O123</f>
        <v>0</v>
      </c>
      <c r="S123" s="12" t="n">
        <f aca="false">N123*Q123</f>
        <v>0</v>
      </c>
      <c r="T123" s="24" t="n">
        <f aca="false">N123^2</f>
        <v>1.06401019402451</v>
      </c>
    </row>
    <row r="124" customFormat="false" ht="15" hidden="false" customHeight="false" outlineLevel="0" collapsed="false">
      <c r="A124" s="5" t="s">
        <v>376</v>
      </c>
      <c r="B124" s="5" t="s">
        <v>149</v>
      </c>
      <c r="C124" s="5" t="s">
        <v>54</v>
      </c>
      <c r="D124" s="5" t="s">
        <v>65</v>
      </c>
      <c r="E124" s="5" t="s">
        <v>70</v>
      </c>
      <c r="F124" s="26" t="n">
        <v>71.2</v>
      </c>
      <c r="G124" s="26" t="n">
        <v>71.33</v>
      </c>
      <c r="H124" s="30" t="n">
        <v>2.131</v>
      </c>
      <c r="I124" s="28" t="n">
        <f aca="false">H124*G124/3.6</f>
        <v>42.2233972222222</v>
      </c>
      <c r="J124" s="30" t="n">
        <v>4.18</v>
      </c>
      <c r="K124" s="30" t="n">
        <v>1.485</v>
      </c>
      <c r="L124" s="30" t="n">
        <v>1.093</v>
      </c>
      <c r="M124" s="30" t="n">
        <v>5.66</v>
      </c>
      <c r="N124" s="25" t="n">
        <v>0.663603759394491</v>
      </c>
      <c r="O124" s="17" t="n">
        <v>0</v>
      </c>
      <c r="P124" s="26" t="n">
        <v>0</v>
      </c>
      <c r="Q124" s="24" t="n">
        <f aca="false">IF(O124=1,1/(1+EXP(-(P124-Inputs!$B$12)/Inputs!$B$13)),0)</f>
        <v>0</v>
      </c>
      <c r="R124" s="24" t="n">
        <f aca="false">N124*O124</f>
        <v>0</v>
      </c>
      <c r="S124" s="12" t="n">
        <f aca="false">N124*Q124</f>
        <v>0</v>
      </c>
      <c r="T124" s="24" t="n">
        <f aca="false">N124^2</f>
        <v>0.440369949482501</v>
      </c>
    </row>
    <row r="125" customFormat="false" ht="15" hidden="false" customHeight="false" outlineLevel="0" collapsed="false">
      <c r="A125" s="5" t="s">
        <v>377</v>
      </c>
      <c r="B125" s="5" t="s">
        <v>149</v>
      </c>
      <c r="C125" s="5" t="s">
        <v>54</v>
      </c>
      <c r="D125" s="5" t="s">
        <v>65</v>
      </c>
      <c r="E125" s="5" t="s">
        <v>70</v>
      </c>
      <c r="F125" s="26" t="n">
        <v>56.26</v>
      </c>
      <c r="G125" s="26" t="n">
        <v>58.47</v>
      </c>
      <c r="H125" s="30" t="n">
        <v>2.095</v>
      </c>
      <c r="I125" s="28" t="n">
        <f aca="false">H125*G125/3.6</f>
        <v>34.0262916666667</v>
      </c>
      <c r="J125" s="30" t="n">
        <v>5.1</v>
      </c>
      <c r="K125" s="30" t="n">
        <v>2.43</v>
      </c>
      <c r="L125" s="30" t="n">
        <v>2.198</v>
      </c>
      <c r="M125" s="30" t="n">
        <v>3.72</v>
      </c>
      <c r="N125" s="25" t="n">
        <v>0.0420042075338222</v>
      </c>
      <c r="O125" s="17" t="n">
        <v>1</v>
      </c>
      <c r="P125" s="26" t="n">
        <v>15.23</v>
      </c>
      <c r="Q125" s="24" t="n">
        <f aca="false">IF(O125=1,1/(1+EXP(-(P125-Inputs!$B$12)/Inputs!$B$13)),0)</f>
        <v>0.0140240653074404</v>
      </c>
      <c r="R125" s="24" t="n">
        <f aca="false">N125*O125</f>
        <v>0.0420042075338222</v>
      </c>
      <c r="S125" s="12" t="n">
        <f aca="false">N125*Q125</f>
        <v>0.000589069749641603</v>
      </c>
      <c r="T125" s="24" t="n">
        <f aca="false">N125^2</f>
        <v>0.0017643534505444</v>
      </c>
    </row>
    <row r="126" customFormat="false" ht="15" hidden="false" customHeight="false" outlineLevel="0" collapsed="false">
      <c r="A126" s="5" t="s">
        <v>378</v>
      </c>
      <c r="B126" s="5" t="s">
        <v>150</v>
      </c>
      <c r="C126" s="5" t="s">
        <v>54</v>
      </c>
      <c r="D126" s="5" t="s">
        <v>65</v>
      </c>
      <c r="E126" s="5" t="s">
        <v>71</v>
      </c>
      <c r="F126" s="26" t="n">
        <v>67.28</v>
      </c>
      <c r="G126" s="26" t="n">
        <v>66.76</v>
      </c>
      <c r="H126" s="30" t="n">
        <v>1.563</v>
      </c>
      <c r="I126" s="28" t="n">
        <f aca="false">H126*G126/3.6</f>
        <v>28.9849666666667</v>
      </c>
      <c r="J126" s="30" t="n">
        <v>4.46</v>
      </c>
      <c r="K126" s="30" t="n">
        <v>1.313</v>
      </c>
      <c r="L126" s="30" t="n">
        <v>2.597</v>
      </c>
      <c r="M126" s="30" t="n">
        <v>5.42</v>
      </c>
      <c r="N126" s="25" t="n">
        <v>0.0226139722764386</v>
      </c>
      <c r="O126" s="17" t="n">
        <v>0</v>
      </c>
      <c r="P126" s="26" t="n">
        <v>0</v>
      </c>
      <c r="Q126" s="24" t="n">
        <f aca="false">IF(O126=1,1/(1+EXP(-(P126-Inputs!$B$12)/Inputs!$B$13)),0)</f>
        <v>0</v>
      </c>
      <c r="R126" s="24" t="n">
        <f aca="false">N126*O126</f>
        <v>0</v>
      </c>
      <c r="S126" s="12" t="n">
        <f aca="false">N126*Q126</f>
        <v>0</v>
      </c>
      <c r="T126" s="24" t="n">
        <f aca="false">N126^2</f>
        <v>0.000511391742119534</v>
      </c>
    </row>
    <row r="127" customFormat="false" ht="15" hidden="false" customHeight="false" outlineLevel="0" collapsed="false">
      <c r="A127" s="5" t="s">
        <v>379</v>
      </c>
      <c r="B127" s="5" t="s">
        <v>150</v>
      </c>
      <c r="C127" s="5" t="s">
        <v>54</v>
      </c>
      <c r="D127" s="5" t="s">
        <v>65</v>
      </c>
      <c r="E127" s="5" t="s">
        <v>71</v>
      </c>
      <c r="F127" s="26" t="n">
        <v>73.75</v>
      </c>
      <c r="G127" s="26" t="n">
        <v>72.19</v>
      </c>
      <c r="H127" s="30" t="n">
        <v>1.631</v>
      </c>
      <c r="I127" s="28" t="n">
        <f aca="false">H127*G127/3.6</f>
        <v>32.7060805555556</v>
      </c>
      <c r="J127" s="30" t="n">
        <v>5.51</v>
      </c>
      <c r="K127" s="30" t="n">
        <v>1.395</v>
      </c>
      <c r="L127" s="30" t="n">
        <v>1.717</v>
      </c>
      <c r="M127" s="30" t="n">
        <v>4.48</v>
      </c>
      <c r="N127" s="25" t="n">
        <v>0.212689120163792</v>
      </c>
      <c r="O127" s="17" t="n">
        <v>0</v>
      </c>
      <c r="P127" s="26" t="n">
        <v>0</v>
      </c>
      <c r="Q127" s="24" t="n">
        <f aca="false">IF(O127=1,1/(1+EXP(-(P127-Inputs!$B$12)/Inputs!$B$13)),0)</f>
        <v>0</v>
      </c>
      <c r="R127" s="24" t="n">
        <f aca="false">N127*O127</f>
        <v>0</v>
      </c>
      <c r="S127" s="12" t="n">
        <f aca="false">N127*Q127</f>
        <v>0</v>
      </c>
      <c r="T127" s="24" t="n">
        <f aca="false">N127^2</f>
        <v>0.0452366618360479</v>
      </c>
    </row>
    <row r="128" customFormat="false" ht="15" hidden="false" customHeight="false" outlineLevel="0" collapsed="false">
      <c r="A128" s="5" t="s">
        <v>380</v>
      </c>
      <c r="B128" s="5" t="s">
        <v>150</v>
      </c>
      <c r="C128" s="5" t="s">
        <v>54</v>
      </c>
      <c r="D128" s="5" t="s">
        <v>65</v>
      </c>
      <c r="E128" s="5" t="s">
        <v>71</v>
      </c>
      <c r="F128" s="26" t="n">
        <v>57.31</v>
      </c>
      <c r="G128" s="26" t="n">
        <v>55.97</v>
      </c>
      <c r="H128" s="30" t="n">
        <v>1.51</v>
      </c>
      <c r="I128" s="28" t="n">
        <f aca="false">H128*G128/3.6</f>
        <v>23.4763055555556</v>
      </c>
      <c r="J128" s="30" t="n">
        <v>3.01</v>
      </c>
      <c r="K128" s="30" t="n">
        <v>1.618</v>
      </c>
      <c r="L128" s="30" t="n">
        <v>3.495</v>
      </c>
      <c r="M128" s="30" t="n">
        <v>4.76</v>
      </c>
      <c r="N128" s="25" t="n">
        <v>0.00348446349574178</v>
      </c>
      <c r="O128" s="17" t="n">
        <v>0</v>
      </c>
      <c r="P128" s="26" t="n">
        <v>0</v>
      </c>
      <c r="Q128" s="24" t="n">
        <f aca="false">IF(O128=1,1/(1+EXP(-(P128-Inputs!$B$12)/Inputs!$B$13)),0)</f>
        <v>0</v>
      </c>
      <c r="R128" s="24" t="n">
        <f aca="false">N128*O128</f>
        <v>0</v>
      </c>
      <c r="S128" s="12" t="n">
        <f aca="false">N128*Q128</f>
        <v>0</v>
      </c>
      <c r="T128" s="24" t="n">
        <f aca="false">N128^2</f>
        <v>1.2141485853157E-005</v>
      </c>
    </row>
    <row r="129" customFormat="false" ht="15" hidden="false" customHeight="false" outlineLevel="0" collapsed="false">
      <c r="A129" s="5" t="s">
        <v>381</v>
      </c>
      <c r="B129" s="5" t="s">
        <v>150</v>
      </c>
      <c r="C129" s="5" t="s">
        <v>54</v>
      </c>
      <c r="D129" s="5" t="s">
        <v>65</v>
      </c>
      <c r="E129" s="5" t="s">
        <v>71</v>
      </c>
      <c r="F129" s="26" t="n">
        <v>74.71</v>
      </c>
      <c r="G129" s="26" t="n">
        <v>73.98</v>
      </c>
      <c r="H129" s="30" t="n">
        <v>1.581</v>
      </c>
      <c r="I129" s="28" t="n">
        <f aca="false">H129*G129/3.6</f>
        <v>32.48955</v>
      </c>
      <c r="J129" s="30" t="n">
        <v>5.23</v>
      </c>
      <c r="K129" s="30" t="n">
        <v>1.92</v>
      </c>
      <c r="L129" s="30" t="n">
        <v>0.781</v>
      </c>
      <c r="M129" s="30" t="n">
        <v>6.62</v>
      </c>
      <c r="N129" s="25" t="n">
        <v>0.579444364032717</v>
      </c>
      <c r="O129" s="17" t="n">
        <v>0</v>
      </c>
      <c r="P129" s="26" t="n">
        <v>0</v>
      </c>
      <c r="Q129" s="24" t="n">
        <f aca="false">IF(O129=1,1/(1+EXP(-(P129-Inputs!$B$12)/Inputs!$B$13)),0)</f>
        <v>0</v>
      </c>
      <c r="R129" s="24" t="n">
        <f aca="false">N129*O129</f>
        <v>0</v>
      </c>
      <c r="S129" s="12" t="n">
        <f aca="false">N129*Q129</f>
        <v>0</v>
      </c>
      <c r="T129" s="24" t="n">
        <f aca="false">N129^2</f>
        <v>0.335755771009279</v>
      </c>
    </row>
    <row r="130" customFormat="false" ht="15" hidden="false" customHeight="false" outlineLevel="0" collapsed="false">
      <c r="A130" s="5" t="s">
        <v>382</v>
      </c>
      <c r="B130" s="5" t="s">
        <v>150</v>
      </c>
      <c r="C130" s="5" t="s">
        <v>54</v>
      </c>
      <c r="D130" s="5" t="s">
        <v>65</v>
      </c>
      <c r="E130" s="5" t="s">
        <v>71</v>
      </c>
      <c r="F130" s="26" t="n">
        <v>59.63</v>
      </c>
      <c r="G130" s="26" t="n">
        <v>60.6</v>
      </c>
      <c r="H130" s="30" t="n">
        <v>1.774</v>
      </c>
      <c r="I130" s="28" t="n">
        <f aca="false">H130*G130/3.6</f>
        <v>29.8623333333333</v>
      </c>
      <c r="J130" s="30" t="n">
        <v>3.32</v>
      </c>
      <c r="K130" s="30" t="n">
        <v>1.877</v>
      </c>
      <c r="L130" s="30" t="n">
        <v>0.88</v>
      </c>
      <c r="M130" s="30" t="n">
        <v>7.26</v>
      </c>
      <c r="N130" s="25" t="n">
        <v>0.687566536319193</v>
      </c>
      <c r="O130" s="17" t="n">
        <v>0</v>
      </c>
      <c r="P130" s="26" t="n">
        <v>0</v>
      </c>
      <c r="Q130" s="24" t="n">
        <f aca="false">IF(O130=1,1/(1+EXP(-(P130-Inputs!$B$12)/Inputs!$B$13)),0)</f>
        <v>0</v>
      </c>
      <c r="R130" s="24" t="n">
        <f aca="false">N130*O130</f>
        <v>0</v>
      </c>
      <c r="S130" s="12" t="n">
        <f aca="false">N130*Q130</f>
        <v>0</v>
      </c>
      <c r="T130" s="24" t="n">
        <f aca="false">N130^2</f>
        <v>0.472747741865973</v>
      </c>
    </row>
    <row r="131" customFormat="false" ht="15" hidden="false" customHeight="false" outlineLevel="0" collapsed="false">
      <c r="A131" s="5" t="s">
        <v>383</v>
      </c>
      <c r="B131" s="5" t="s">
        <v>150</v>
      </c>
      <c r="C131" s="5" t="s">
        <v>54</v>
      </c>
      <c r="D131" s="5" t="s">
        <v>65</v>
      </c>
      <c r="E131" s="5" t="s">
        <v>71</v>
      </c>
      <c r="F131" s="26" t="n">
        <v>65.36</v>
      </c>
      <c r="G131" s="26" t="n">
        <v>67.62</v>
      </c>
      <c r="H131" s="30" t="n">
        <v>1.809</v>
      </c>
      <c r="I131" s="28" t="n">
        <f aca="false">H131*G131/3.6</f>
        <v>33.97905</v>
      </c>
      <c r="J131" s="30" t="n">
        <v>3.69</v>
      </c>
      <c r="K131" s="30" t="n">
        <v>2.011</v>
      </c>
      <c r="L131" s="30" t="n">
        <v>1.011</v>
      </c>
      <c r="M131" s="30" t="n">
        <v>5.42</v>
      </c>
      <c r="N131" s="25" t="n">
        <v>0.663642179304193</v>
      </c>
      <c r="O131" s="17" t="n">
        <v>0</v>
      </c>
      <c r="P131" s="26" t="n">
        <v>0</v>
      </c>
      <c r="Q131" s="24" t="n">
        <f aca="false">IF(O131=1,1/(1+EXP(-(P131-Inputs!$B$12)/Inputs!$B$13)),0)</f>
        <v>0</v>
      </c>
      <c r="R131" s="24" t="n">
        <f aca="false">N131*O131</f>
        <v>0</v>
      </c>
      <c r="S131" s="12" t="n">
        <f aca="false">N131*Q131</f>
        <v>0</v>
      </c>
      <c r="T131" s="24" t="n">
        <f aca="false">N131^2</f>
        <v>0.440420942151618</v>
      </c>
    </row>
    <row r="132" customFormat="false" ht="15" hidden="false" customHeight="false" outlineLevel="0" collapsed="false">
      <c r="A132" s="5" t="s">
        <v>384</v>
      </c>
      <c r="B132" s="5" t="s">
        <v>150</v>
      </c>
      <c r="C132" s="5" t="s">
        <v>54</v>
      </c>
      <c r="D132" s="5" t="s">
        <v>65</v>
      </c>
      <c r="E132" s="5" t="s">
        <v>71</v>
      </c>
      <c r="F132" s="26" t="n">
        <v>72.68</v>
      </c>
      <c r="G132" s="26" t="n">
        <v>75.34</v>
      </c>
      <c r="H132" s="30" t="n">
        <v>1.508</v>
      </c>
      <c r="I132" s="28" t="n">
        <f aca="false">H132*G132/3.6</f>
        <v>31.5590888888889</v>
      </c>
      <c r="J132" s="30" t="n">
        <v>5.04</v>
      </c>
      <c r="K132" s="30" t="n">
        <v>1.855</v>
      </c>
      <c r="L132" s="30" t="n">
        <v>1.348</v>
      </c>
      <c r="M132" s="30" t="n">
        <v>5.39</v>
      </c>
      <c r="N132" s="25" t="n">
        <v>0.344503460904065</v>
      </c>
      <c r="O132" s="17" t="n">
        <v>0</v>
      </c>
      <c r="P132" s="26" t="n">
        <v>0</v>
      </c>
      <c r="Q132" s="24" t="n">
        <f aca="false">IF(O132=1,1/(1+EXP(-(P132-Inputs!$B$12)/Inputs!$B$13)),0)</f>
        <v>0</v>
      </c>
      <c r="R132" s="24" t="n">
        <f aca="false">N132*O132</f>
        <v>0</v>
      </c>
      <c r="S132" s="12" t="n">
        <f aca="false">N132*Q132</f>
        <v>0</v>
      </c>
      <c r="T132" s="24" t="n">
        <f aca="false">N132^2</f>
        <v>0.118682634574879</v>
      </c>
    </row>
    <row r="133" customFormat="false" ht="15" hidden="false" customHeight="false" outlineLevel="0" collapsed="false">
      <c r="A133" s="5" t="s">
        <v>385</v>
      </c>
      <c r="B133" s="5" t="s">
        <v>150</v>
      </c>
      <c r="C133" s="5" t="s">
        <v>54</v>
      </c>
      <c r="D133" s="5" t="s">
        <v>65</v>
      </c>
      <c r="E133" s="5" t="s">
        <v>71</v>
      </c>
      <c r="F133" s="26" t="n">
        <v>71.67</v>
      </c>
      <c r="G133" s="26" t="n">
        <v>71.59</v>
      </c>
      <c r="H133" s="30" t="n">
        <v>1.631</v>
      </c>
      <c r="I133" s="28" t="n">
        <f aca="false">H133*G133/3.6</f>
        <v>32.4342472222222</v>
      </c>
      <c r="J133" s="30" t="n">
        <v>2.76</v>
      </c>
      <c r="K133" s="30" t="n">
        <v>2.129</v>
      </c>
      <c r="L133" s="30" t="n">
        <v>2.228</v>
      </c>
      <c r="M133" s="30" t="n">
        <v>4.87</v>
      </c>
      <c r="N133" s="25" t="n">
        <v>0.0244358370221386</v>
      </c>
      <c r="O133" s="17" t="n">
        <v>0</v>
      </c>
      <c r="P133" s="26" t="n">
        <v>0</v>
      </c>
      <c r="Q133" s="24" t="n">
        <f aca="false">IF(O133=1,1/(1+EXP(-(P133-Inputs!$B$12)/Inputs!$B$13)),0)</f>
        <v>0</v>
      </c>
      <c r="R133" s="24" t="n">
        <f aca="false">N133*O133</f>
        <v>0</v>
      </c>
      <c r="S133" s="12" t="n">
        <f aca="false">N133*Q133</f>
        <v>0</v>
      </c>
      <c r="T133" s="24" t="n">
        <f aca="false">N133^2</f>
        <v>0.000597110130972517</v>
      </c>
    </row>
    <row r="134" customFormat="false" ht="15" hidden="false" customHeight="false" outlineLevel="0" collapsed="false">
      <c r="A134" s="5" t="s">
        <v>386</v>
      </c>
      <c r="B134" s="5" t="s">
        <v>150</v>
      </c>
      <c r="C134" s="5" t="s">
        <v>54</v>
      </c>
      <c r="D134" s="5" t="s">
        <v>65</v>
      </c>
      <c r="E134" s="5" t="s">
        <v>71</v>
      </c>
      <c r="F134" s="26" t="n">
        <v>58.31</v>
      </c>
      <c r="G134" s="26" t="n">
        <v>57.09</v>
      </c>
      <c r="H134" s="30" t="n">
        <v>1.603</v>
      </c>
      <c r="I134" s="28" t="n">
        <f aca="false">H134*G134/3.6</f>
        <v>25.4209083333333</v>
      </c>
      <c r="J134" s="30" t="n">
        <v>4.16</v>
      </c>
      <c r="K134" s="30" t="n">
        <v>1.673</v>
      </c>
      <c r="L134" s="30" t="n">
        <v>2.542</v>
      </c>
      <c r="M134" s="30" t="n">
        <v>6.42</v>
      </c>
      <c r="N134" s="25" t="n">
        <v>0.0111612630461548</v>
      </c>
      <c r="O134" s="17" t="n">
        <v>0</v>
      </c>
      <c r="P134" s="26" t="n">
        <v>0</v>
      </c>
      <c r="Q134" s="24" t="n">
        <f aca="false">IF(O134=1,1/(1+EXP(-(P134-Inputs!$B$12)/Inputs!$B$13)),0)</f>
        <v>0</v>
      </c>
      <c r="R134" s="24" t="n">
        <f aca="false">N134*O134</f>
        <v>0</v>
      </c>
      <c r="S134" s="12" t="n">
        <f aca="false">N134*Q134</f>
        <v>0</v>
      </c>
      <c r="T134" s="24" t="n">
        <f aca="false">N134^2</f>
        <v>0.00012457379278546</v>
      </c>
    </row>
    <row r="135" customFormat="false" ht="15" hidden="false" customHeight="false" outlineLevel="0" collapsed="false">
      <c r="A135" s="5" t="s">
        <v>387</v>
      </c>
      <c r="B135" s="5" t="s">
        <v>150</v>
      </c>
      <c r="C135" s="5" t="s">
        <v>54</v>
      </c>
      <c r="D135" s="5" t="s">
        <v>65</v>
      </c>
      <c r="E135" s="5" t="s">
        <v>71</v>
      </c>
      <c r="F135" s="26" t="n">
        <v>70.32</v>
      </c>
      <c r="G135" s="26" t="n">
        <v>70.76</v>
      </c>
      <c r="H135" s="30" t="n">
        <v>1.516</v>
      </c>
      <c r="I135" s="28" t="n">
        <f aca="false">H135*G135/3.6</f>
        <v>29.7978222222222</v>
      </c>
      <c r="J135" s="30" t="n">
        <v>4.88</v>
      </c>
      <c r="K135" s="30" t="n">
        <v>1.231</v>
      </c>
      <c r="L135" s="30" t="n">
        <v>1.66</v>
      </c>
      <c r="M135" s="30" t="n">
        <v>6.51</v>
      </c>
      <c r="N135" s="25" t="n">
        <v>0.22156081061705</v>
      </c>
      <c r="O135" s="17" t="n">
        <v>0</v>
      </c>
      <c r="P135" s="26" t="n">
        <v>0</v>
      </c>
      <c r="Q135" s="24" t="n">
        <f aca="false">IF(O135=1,1/(1+EXP(-(P135-Inputs!$B$12)/Inputs!$B$13)),0)</f>
        <v>0</v>
      </c>
      <c r="R135" s="24" t="n">
        <f aca="false">N135*O135</f>
        <v>0</v>
      </c>
      <c r="S135" s="12" t="n">
        <f aca="false">N135*Q135</f>
        <v>0</v>
      </c>
      <c r="T135" s="24" t="n">
        <f aca="false">N135^2</f>
        <v>0.0490891928012841</v>
      </c>
    </row>
    <row r="136" customFormat="false" ht="15" hidden="false" customHeight="false" outlineLevel="0" collapsed="false">
      <c r="A136" s="5" t="s">
        <v>388</v>
      </c>
      <c r="B136" s="5" t="s">
        <v>151</v>
      </c>
      <c r="C136" s="5" t="s">
        <v>54</v>
      </c>
      <c r="D136" s="5" t="s">
        <v>65</v>
      </c>
      <c r="E136" s="5" t="s">
        <v>72</v>
      </c>
      <c r="F136" s="26" t="n">
        <v>59.88</v>
      </c>
      <c r="G136" s="26" t="n">
        <v>59.49</v>
      </c>
      <c r="H136" s="30" t="n">
        <v>1.137</v>
      </c>
      <c r="I136" s="28" t="n">
        <f aca="false">H136*G136/3.6</f>
        <v>18.788925</v>
      </c>
      <c r="J136" s="30" t="n">
        <v>2.72</v>
      </c>
      <c r="K136" s="30" t="n">
        <v>0.531</v>
      </c>
      <c r="L136" s="30" t="n">
        <v>1.137</v>
      </c>
      <c r="M136" s="30" t="n">
        <v>5.59</v>
      </c>
      <c r="N136" s="25" t="n">
        <v>4.74365000152928</v>
      </c>
      <c r="O136" s="17" t="n">
        <v>0</v>
      </c>
      <c r="P136" s="26" t="n">
        <v>0</v>
      </c>
      <c r="Q136" s="24" t="n">
        <f aca="false">IF(O136=1,1/(1+EXP(-(P136-Inputs!$B$12)/Inputs!$B$13)),0)</f>
        <v>0</v>
      </c>
      <c r="R136" s="24" t="n">
        <f aca="false">N136*O136</f>
        <v>0</v>
      </c>
      <c r="S136" s="12" t="n">
        <f aca="false">N136*Q136</f>
        <v>0</v>
      </c>
      <c r="T136" s="24" t="n">
        <f aca="false">N136^2</f>
        <v>22.5022153370088</v>
      </c>
    </row>
    <row r="137" customFormat="false" ht="15" hidden="false" customHeight="false" outlineLevel="0" collapsed="false">
      <c r="A137" s="5" t="s">
        <v>389</v>
      </c>
      <c r="B137" s="5" t="s">
        <v>151</v>
      </c>
      <c r="C137" s="5" t="s">
        <v>54</v>
      </c>
      <c r="D137" s="5" t="s">
        <v>65</v>
      </c>
      <c r="E137" s="5" t="s">
        <v>72</v>
      </c>
      <c r="F137" s="26" t="n">
        <v>64.47</v>
      </c>
      <c r="G137" s="26" t="n">
        <v>63.93</v>
      </c>
      <c r="H137" s="30" t="n">
        <v>1.318</v>
      </c>
      <c r="I137" s="28" t="n">
        <f aca="false">H137*G137/3.6</f>
        <v>23.4054833333333</v>
      </c>
      <c r="J137" s="30" t="n">
        <v>5.71</v>
      </c>
      <c r="K137" s="30" t="n">
        <v>1.265</v>
      </c>
      <c r="L137" s="30" t="n">
        <v>1.635</v>
      </c>
      <c r="M137" s="30" t="n">
        <v>3.78</v>
      </c>
      <c r="N137" s="25" t="n">
        <v>0.700646699662223</v>
      </c>
      <c r="O137" s="17" t="n">
        <v>0</v>
      </c>
      <c r="P137" s="26" t="n">
        <v>0</v>
      </c>
      <c r="Q137" s="24" t="n">
        <f aca="false">IF(O137=1,1/(1+EXP(-(P137-Inputs!$B$12)/Inputs!$B$13)),0)</f>
        <v>0</v>
      </c>
      <c r="R137" s="24" t="n">
        <f aca="false">N137*O137</f>
        <v>0</v>
      </c>
      <c r="S137" s="12" t="n">
        <f aca="false">N137*Q137</f>
        <v>0</v>
      </c>
      <c r="T137" s="24" t="n">
        <f aca="false">N137^2</f>
        <v>0.490905797747565</v>
      </c>
    </row>
    <row r="138" customFormat="false" ht="15" hidden="false" customHeight="false" outlineLevel="0" collapsed="false">
      <c r="A138" s="5" t="s">
        <v>390</v>
      </c>
      <c r="B138" s="5" t="s">
        <v>151</v>
      </c>
      <c r="C138" s="5" t="s">
        <v>54</v>
      </c>
      <c r="D138" s="5" t="s">
        <v>65</v>
      </c>
      <c r="E138" s="5" t="s">
        <v>72</v>
      </c>
      <c r="F138" s="26" t="n">
        <v>73.54</v>
      </c>
      <c r="G138" s="26" t="n">
        <v>78.82</v>
      </c>
      <c r="H138" s="30" t="n">
        <v>1.063</v>
      </c>
      <c r="I138" s="28" t="n">
        <f aca="false">H138*G138/3.6</f>
        <v>23.2737944444444</v>
      </c>
      <c r="J138" s="30" t="n">
        <v>4.93</v>
      </c>
      <c r="K138" s="30" t="n">
        <v>0.656</v>
      </c>
      <c r="L138" s="30" t="n">
        <v>1.846</v>
      </c>
      <c r="M138" s="30" t="n">
        <v>5.6</v>
      </c>
      <c r="N138" s="25" t="n">
        <v>0.501543508866166</v>
      </c>
      <c r="O138" s="17" t="n">
        <v>0</v>
      </c>
      <c r="P138" s="26" t="n">
        <v>0</v>
      </c>
      <c r="Q138" s="24" t="n">
        <f aca="false">IF(O138=1,1/(1+EXP(-(P138-Inputs!$B$12)/Inputs!$B$13)),0)</f>
        <v>0</v>
      </c>
      <c r="R138" s="24" t="n">
        <f aca="false">N138*O138</f>
        <v>0</v>
      </c>
      <c r="S138" s="12" t="n">
        <f aca="false">N138*Q138</f>
        <v>0</v>
      </c>
      <c r="T138" s="24" t="n">
        <f aca="false">N138^2</f>
        <v>0.251545891285786</v>
      </c>
    </row>
    <row r="139" customFormat="false" ht="15" hidden="false" customHeight="false" outlineLevel="0" collapsed="false">
      <c r="A139" s="5" t="s">
        <v>391</v>
      </c>
      <c r="B139" s="5" t="s">
        <v>151</v>
      </c>
      <c r="C139" s="5" t="s">
        <v>54</v>
      </c>
      <c r="D139" s="5" t="s">
        <v>65</v>
      </c>
      <c r="E139" s="5" t="s">
        <v>72</v>
      </c>
      <c r="F139" s="26" t="n">
        <v>61.03</v>
      </c>
      <c r="G139" s="26" t="n">
        <v>61.19</v>
      </c>
      <c r="H139" s="30" t="n">
        <v>1.032</v>
      </c>
      <c r="I139" s="28" t="n">
        <f aca="false">H139*G139/3.6</f>
        <v>17.5411333333333</v>
      </c>
      <c r="J139" s="30" t="n">
        <v>5.36</v>
      </c>
      <c r="K139" s="30" t="n">
        <v>2.853</v>
      </c>
      <c r="L139" s="30" t="n">
        <v>1.061</v>
      </c>
      <c r="M139" s="30" t="n">
        <v>6.14</v>
      </c>
      <c r="N139" s="25" t="n">
        <v>0.204507078090943</v>
      </c>
      <c r="O139" s="17" t="n">
        <v>0</v>
      </c>
      <c r="P139" s="26" t="n">
        <v>0</v>
      </c>
      <c r="Q139" s="24" t="n">
        <f aca="false">IF(O139=1,1/(1+EXP(-(P139-Inputs!$B$12)/Inputs!$B$13)),0)</f>
        <v>0</v>
      </c>
      <c r="R139" s="24" t="n">
        <f aca="false">N139*O139</f>
        <v>0</v>
      </c>
      <c r="S139" s="12" t="n">
        <f aca="false">N139*Q139</f>
        <v>0</v>
      </c>
      <c r="T139" s="24" t="n">
        <f aca="false">N139^2</f>
        <v>0.0418231449892952</v>
      </c>
    </row>
    <row r="140" customFormat="false" ht="15" hidden="false" customHeight="false" outlineLevel="0" collapsed="false">
      <c r="A140" s="5" t="s">
        <v>392</v>
      </c>
      <c r="B140" s="5" t="s">
        <v>151</v>
      </c>
      <c r="C140" s="5" t="s">
        <v>54</v>
      </c>
      <c r="D140" s="5" t="s">
        <v>65</v>
      </c>
      <c r="E140" s="5" t="s">
        <v>72</v>
      </c>
      <c r="F140" s="26" t="n">
        <v>74.12</v>
      </c>
      <c r="G140" s="26" t="n">
        <v>73.41</v>
      </c>
      <c r="H140" s="30" t="n">
        <v>1.063</v>
      </c>
      <c r="I140" s="28" t="n">
        <f aca="false">H140*G140/3.6</f>
        <v>21.6763416666667</v>
      </c>
      <c r="J140" s="30" t="n">
        <v>2.8</v>
      </c>
      <c r="K140" s="30" t="n">
        <v>1.58</v>
      </c>
      <c r="L140" s="30" t="n">
        <v>2.116</v>
      </c>
      <c r="M140" s="30" t="n">
        <v>5.39</v>
      </c>
      <c r="N140" s="25" t="n">
        <v>0.0500155002008088</v>
      </c>
      <c r="O140" s="17" t="n">
        <v>0</v>
      </c>
      <c r="P140" s="26" t="n">
        <v>0</v>
      </c>
      <c r="Q140" s="24" t="n">
        <f aca="false">IF(O140=1,1/(1+EXP(-(P140-Inputs!$B$12)/Inputs!$B$13)),0)</f>
        <v>0</v>
      </c>
      <c r="R140" s="24" t="n">
        <f aca="false">N140*O140</f>
        <v>0</v>
      </c>
      <c r="S140" s="12" t="n">
        <f aca="false">N140*Q140</f>
        <v>0</v>
      </c>
      <c r="T140" s="24" t="n">
        <f aca="false">N140^2</f>
        <v>0.0025015502603371</v>
      </c>
    </row>
    <row r="141" customFormat="false" ht="15" hidden="false" customHeight="false" outlineLevel="0" collapsed="false">
      <c r="A141" s="5" t="s">
        <v>393</v>
      </c>
      <c r="B141" s="5" t="s">
        <v>151</v>
      </c>
      <c r="C141" s="5" t="s">
        <v>54</v>
      </c>
      <c r="D141" s="5" t="s">
        <v>65</v>
      </c>
      <c r="E141" s="5" t="s">
        <v>72</v>
      </c>
      <c r="F141" s="26" t="n">
        <v>58.53</v>
      </c>
      <c r="G141" s="26" t="n">
        <v>60.15</v>
      </c>
      <c r="H141" s="30" t="n">
        <v>1.199</v>
      </c>
      <c r="I141" s="28" t="n">
        <f aca="false">H141*G141/3.6</f>
        <v>20.0332916666667</v>
      </c>
      <c r="J141" s="30" t="n">
        <v>2.97</v>
      </c>
      <c r="K141" s="30" t="n">
        <v>1.349</v>
      </c>
      <c r="L141" s="30" t="n">
        <v>1.546</v>
      </c>
      <c r="M141" s="30" t="n">
        <v>7.49</v>
      </c>
      <c r="N141" s="25" t="n">
        <v>0.169425135168221</v>
      </c>
      <c r="O141" s="17" t="n">
        <v>0</v>
      </c>
      <c r="P141" s="26" t="n">
        <v>0</v>
      </c>
      <c r="Q141" s="24" t="n">
        <f aca="false">IF(O141=1,1/(1+EXP(-(P141-Inputs!$B$12)/Inputs!$B$13)),0)</f>
        <v>0</v>
      </c>
      <c r="R141" s="24" t="n">
        <f aca="false">N141*O141</f>
        <v>0</v>
      </c>
      <c r="S141" s="12" t="n">
        <f aca="false">N141*Q141</f>
        <v>0</v>
      </c>
      <c r="T141" s="24" t="n">
        <f aca="false">N141^2</f>
        <v>0.0287048764267699</v>
      </c>
    </row>
    <row r="142" customFormat="false" ht="15" hidden="false" customHeight="false" outlineLevel="0" collapsed="false">
      <c r="A142" s="5" t="s">
        <v>394</v>
      </c>
      <c r="B142" s="5" t="s">
        <v>151</v>
      </c>
      <c r="C142" s="5" t="s">
        <v>54</v>
      </c>
      <c r="D142" s="5" t="s">
        <v>65</v>
      </c>
      <c r="E142" s="5" t="s">
        <v>72</v>
      </c>
      <c r="F142" s="26" t="n">
        <v>72.17</v>
      </c>
      <c r="G142" s="26" t="n">
        <v>72.46</v>
      </c>
      <c r="H142" s="30" t="n">
        <v>1.163</v>
      </c>
      <c r="I142" s="28" t="n">
        <f aca="false">H142*G142/3.6</f>
        <v>23.4086055555556</v>
      </c>
      <c r="J142" s="30" t="n">
        <v>3.26</v>
      </c>
      <c r="K142" s="30" t="n">
        <v>1.234</v>
      </c>
      <c r="L142" s="30" t="n">
        <v>2.862</v>
      </c>
      <c r="M142" s="30" t="n">
        <v>4.94</v>
      </c>
      <c r="N142" s="25" t="n">
        <v>0.0165503366360575</v>
      </c>
      <c r="O142" s="17" t="n">
        <v>0</v>
      </c>
      <c r="P142" s="26" t="n">
        <v>0</v>
      </c>
      <c r="Q142" s="24" t="n">
        <f aca="false">IF(O142=1,1/(1+EXP(-(P142-Inputs!$B$12)/Inputs!$B$13)),0)</f>
        <v>0</v>
      </c>
      <c r="R142" s="24" t="n">
        <f aca="false">N142*O142</f>
        <v>0</v>
      </c>
      <c r="S142" s="12" t="n">
        <f aca="false">N142*Q142</f>
        <v>0</v>
      </c>
      <c r="T142" s="24" t="n">
        <f aca="false">N142^2</f>
        <v>0.000273913642766828</v>
      </c>
    </row>
    <row r="143" customFormat="false" ht="15" hidden="false" customHeight="false" outlineLevel="0" collapsed="false">
      <c r="A143" s="5" t="s">
        <v>395</v>
      </c>
      <c r="B143" s="5" t="s">
        <v>151</v>
      </c>
      <c r="C143" s="5" t="s">
        <v>54</v>
      </c>
      <c r="D143" s="5" t="s">
        <v>65</v>
      </c>
      <c r="E143" s="5" t="s">
        <v>72</v>
      </c>
      <c r="F143" s="26" t="n">
        <v>67.11</v>
      </c>
      <c r="G143" s="26" t="n">
        <v>65.86</v>
      </c>
      <c r="H143" s="30" t="n">
        <v>1.048</v>
      </c>
      <c r="I143" s="28" t="n">
        <f aca="false">H143*G143/3.6</f>
        <v>19.1725777777778</v>
      </c>
      <c r="J143" s="30" t="n">
        <v>5.57</v>
      </c>
      <c r="K143" s="30" t="n">
        <v>1.033</v>
      </c>
      <c r="L143" s="30" t="n">
        <v>2.686</v>
      </c>
      <c r="M143" s="30" t="n">
        <v>3.58</v>
      </c>
      <c r="N143" s="25" t="n">
        <v>0.104210634335659</v>
      </c>
      <c r="O143" s="17" t="n">
        <v>0</v>
      </c>
      <c r="P143" s="26" t="n">
        <v>0</v>
      </c>
      <c r="Q143" s="24" t="n">
        <f aca="false">IF(O143=1,1/(1+EXP(-(P143-Inputs!$B$12)/Inputs!$B$13)),0)</f>
        <v>0</v>
      </c>
      <c r="R143" s="24" t="n">
        <f aca="false">N143*O143</f>
        <v>0</v>
      </c>
      <c r="S143" s="12" t="n">
        <f aca="false">N143*Q143</f>
        <v>0</v>
      </c>
      <c r="T143" s="24" t="n">
        <f aca="false">N143^2</f>
        <v>0.0108598563086404</v>
      </c>
    </row>
    <row r="144" customFormat="false" ht="15" hidden="false" customHeight="false" outlineLevel="0" collapsed="false">
      <c r="A144" s="5" t="s">
        <v>396</v>
      </c>
      <c r="B144" s="5" t="s">
        <v>151</v>
      </c>
      <c r="C144" s="5" t="s">
        <v>54</v>
      </c>
      <c r="D144" s="5" t="s">
        <v>65</v>
      </c>
      <c r="E144" s="5" t="s">
        <v>72</v>
      </c>
      <c r="F144" s="26" t="n">
        <v>74.4</v>
      </c>
      <c r="G144" s="26" t="n">
        <v>74.02</v>
      </c>
      <c r="H144" s="30" t="n">
        <v>1.195</v>
      </c>
      <c r="I144" s="28" t="n">
        <f aca="false">H144*G144/3.6</f>
        <v>24.5705277777778</v>
      </c>
      <c r="J144" s="30" t="n">
        <v>4.03</v>
      </c>
      <c r="K144" s="30" t="n">
        <v>2.046</v>
      </c>
      <c r="L144" s="30" t="n">
        <v>1.303</v>
      </c>
      <c r="M144" s="30" t="n">
        <v>5.75</v>
      </c>
      <c r="N144" s="25" t="n">
        <v>0.194860891827678</v>
      </c>
      <c r="O144" s="17" t="n">
        <v>0</v>
      </c>
      <c r="P144" s="26" t="n">
        <v>0</v>
      </c>
      <c r="Q144" s="24" t="n">
        <f aca="false">IF(O144=1,1/(1+EXP(-(P144-Inputs!$B$12)/Inputs!$B$13)),0)</f>
        <v>0</v>
      </c>
      <c r="R144" s="24" t="n">
        <f aca="false">N144*O144</f>
        <v>0</v>
      </c>
      <c r="S144" s="12" t="n">
        <f aca="false">N144*Q144</f>
        <v>0</v>
      </c>
      <c r="T144" s="24" t="n">
        <f aca="false">N144^2</f>
        <v>0.0379707671638778</v>
      </c>
    </row>
    <row r="145" customFormat="false" ht="15" hidden="false" customHeight="false" outlineLevel="0" collapsed="false">
      <c r="A145" s="5" t="s">
        <v>397</v>
      </c>
      <c r="B145" s="5" t="s">
        <v>151</v>
      </c>
      <c r="C145" s="5" t="s">
        <v>54</v>
      </c>
      <c r="D145" s="5" t="s">
        <v>65</v>
      </c>
      <c r="E145" s="5" t="s">
        <v>72</v>
      </c>
      <c r="F145" s="26" t="n">
        <v>66.47</v>
      </c>
      <c r="G145" s="26" t="n">
        <v>67.77</v>
      </c>
      <c r="H145" s="30" t="n">
        <v>1.057</v>
      </c>
      <c r="I145" s="28" t="n">
        <f aca="false">H145*G145/3.6</f>
        <v>19.898025</v>
      </c>
      <c r="J145" s="30" t="n">
        <v>5.89</v>
      </c>
      <c r="K145" s="30" t="n">
        <v>1.362</v>
      </c>
      <c r="L145" s="30" t="n">
        <v>1.188</v>
      </c>
      <c r="M145" s="30" t="n">
        <v>4.09</v>
      </c>
      <c r="N145" s="25" t="n">
        <v>1.01706670788148</v>
      </c>
      <c r="O145" s="17" t="n">
        <v>0</v>
      </c>
      <c r="P145" s="26" t="n">
        <v>0</v>
      </c>
      <c r="Q145" s="24" t="n">
        <f aca="false">IF(O145=1,1/(1+EXP(-(P145-Inputs!$B$12)/Inputs!$B$13)),0)</f>
        <v>0</v>
      </c>
      <c r="R145" s="24" t="n">
        <f aca="false">N145*O145</f>
        <v>0</v>
      </c>
      <c r="S145" s="12" t="n">
        <f aca="false">N145*Q145</f>
        <v>0</v>
      </c>
      <c r="T145" s="24" t="n">
        <f aca="false">N145^2</f>
        <v>1.03442468828088</v>
      </c>
    </row>
    <row r="146" customFormat="false" ht="15" hidden="false" customHeight="false" outlineLevel="0" collapsed="false">
      <c r="A146" s="5" t="s">
        <v>398</v>
      </c>
      <c r="B146" s="5" t="s">
        <v>152</v>
      </c>
      <c r="C146" s="5" t="s">
        <v>54</v>
      </c>
      <c r="D146" s="5" t="s">
        <v>65</v>
      </c>
      <c r="E146" s="5" t="s">
        <v>73</v>
      </c>
      <c r="F146" s="26" t="n">
        <v>66.62</v>
      </c>
      <c r="G146" s="26" t="n">
        <v>68.25</v>
      </c>
      <c r="H146" s="30" t="n">
        <v>0.668</v>
      </c>
      <c r="I146" s="28" t="n">
        <f aca="false">H146*G146/3.6</f>
        <v>12.6641666666667</v>
      </c>
      <c r="J146" s="30" t="n">
        <v>4.34</v>
      </c>
      <c r="K146" s="30" t="n">
        <v>1.617</v>
      </c>
      <c r="L146" s="30" t="n">
        <v>0.833</v>
      </c>
      <c r="M146" s="30" t="n">
        <v>6.6</v>
      </c>
      <c r="N146" s="25" t="n">
        <v>0.846286472308076</v>
      </c>
      <c r="O146" s="17" t="n">
        <v>0</v>
      </c>
      <c r="P146" s="26" t="n">
        <v>0</v>
      </c>
      <c r="Q146" s="24" t="n">
        <f aca="false">IF(O146=1,1/(1+EXP(-(P146-Inputs!$B$12)/Inputs!$B$13)),0)</f>
        <v>0</v>
      </c>
      <c r="R146" s="24" t="n">
        <f aca="false">N146*O146</f>
        <v>0</v>
      </c>
      <c r="S146" s="12" t="n">
        <f aca="false">N146*Q146</f>
        <v>0</v>
      </c>
      <c r="T146" s="24" t="n">
        <f aca="false">N146^2</f>
        <v>0.716200793211648</v>
      </c>
    </row>
    <row r="147" customFormat="false" ht="15" hidden="false" customHeight="false" outlineLevel="0" collapsed="false">
      <c r="A147" s="5" t="s">
        <v>399</v>
      </c>
      <c r="B147" s="5" t="s">
        <v>152</v>
      </c>
      <c r="C147" s="5" t="s">
        <v>54</v>
      </c>
      <c r="D147" s="5" t="s">
        <v>65</v>
      </c>
      <c r="E147" s="5" t="s">
        <v>73</v>
      </c>
      <c r="F147" s="26" t="n">
        <v>70.38</v>
      </c>
      <c r="G147" s="26" t="n">
        <v>70.23</v>
      </c>
      <c r="H147" s="30" t="n">
        <v>0.66</v>
      </c>
      <c r="I147" s="28" t="n">
        <f aca="false">H147*G147/3.6</f>
        <v>12.8755</v>
      </c>
      <c r="J147" s="30" t="n">
        <v>3.87</v>
      </c>
      <c r="K147" s="30" t="n">
        <v>1.132</v>
      </c>
      <c r="L147" s="30" t="n">
        <v>1.899</v>
      </c>
      <c r="M147" s="30" t="n">
        <v>4.64</v>
      </c>
      <c r="N147" s="25" t="n">
        <v>0.202847122858767</v>
      </c>
      <c r="O147" s="17" t="n">
        <v>0</v>
      </c>
      <c r="P147" s="26" t="n">
        <v>0</v>
      </c>
      <c r="Q147" s="24" t="n">
        <f aca="false">IF(O147=1,1/(1+EXP(-(P147-Inputs!$B$12)/Inputs!$B$13)),0)</f>
        <v>0</v>
      </c>
      <c r="R147" s="24" t="n">
        <f aca="false">N147*O147</f>
        <v>0</v>
      </c>
      <c r="S147" s="12" t="n">
        <f aca="false">N147*Q147</f>
        <v>0</v>
      </c>
      <c r="T147" s="24" t="n">
        <f aca="false">N147^2</f>
        <v>0.0411469552520797</v>
      </c>
    </row>
    <row r="148" customFormat="false" ht="15" hidden="false" customHeight="false" outlineLevel="0" collapsed="false">
      <c r="A148" s="5" t="s">
        <v>400</v>
      </c>
      <c r="B148" s="5" t="s">
        <v>152</v>
      </c>
      <c r="C148" s="5" t="s">
        <v>54</v>
      </c>
      <c r="D148" s="5" t="s">
        <v>65</v>
      </c>
      <c r="E148" s="5" t="s">
        <v>73</v>
      </c>
      <c r="F148" s="26" t="n">
        <v>63.42</v>
      </c>
      <c r="G148" s="26" t="n">
        <v>66.17</v>
      </c>
      <c r="H148" s="30" t="n">
        <v>0.715</v>
      </c>
      <c r="I148" s="28" t="n">
        <f aca="false">H148*G148/3.6</f>
        <v>13.1420972222222</v>
      </c>
      <c r="J148" s="30" t="n">
        <v>5.7</v>
      </c>
      <c r="K148" s="30" t="n">
        <v>0.635</v>
      </c>
      <c r="L148" s="30" t="n">
        <v>1.01</v>
      </c>
      <c r="M148" s="30" t="n">
        <v>3.87</v>
      </c>
      <c r="N148" s="25" t="n">
        <v>7.55666565260416</v>
      </c>
      <c r="O148" s="17" t="n">
        <v>0</v>
      </c>
      <c r="P148" s="26" t="n">
        <v>0</v>
      </c>
      <c r="Q148" s="24" t="n">
        <f aca="false">IF(O148=1,1/(1+EXP(-(P148-Inputs!$B$12)/Inputs!$B$13)),0)</f>
        <v>0</v>
      </c>
      <c r="R148" s="24" t="n">
        <f aca="false">N148*O148</f>
        <v>0</v>
      </c>
      <c r="S148" s="12" t="n">
        <f aca="false">N148*Q148</f>
        <v>0</v>
      </c>
      <c r="T148" s="24" t="n">
        <f aca="false">N148^2</f>
        <v>57.1031957852475</v>
      </c>
    </row>
    <row r="149" customFormat="false" ht="15" hidden="false" customHeight="false" outlineLevel="0" collapsed="false">
      <c r="A149" s="5" t="s">
        <v>401</v>
      </c>
      <c r="B149" s="5" t="s">
        <v>152</v>
      </c>
      <c r="C149" s="5" t="s">
        <v>54</v>
      </c>
      <c r="D149" s="5" t="s">
        <v>65</v>
      </c>
      <c r="E149" s="5" t="s">
        <v>73</v>
      </c>
      <c r="F149" s="26" t="n">
        <v>71.21</v>
      </c>
      <c r="G149" s="26" t="n">
        <v>72.03</v>
      </c>
      <c r="H149" s="30" t="n">
        <v>0.564</v>
      </c>
      <c r="I149" s="28" t="n">
        <f aca="false">H149*G149/3.6</f>
        <v>11.2847</v>
      </c>
      <c r="J149" s="30" t="n">
        <v>4.75</v>
      </c>
      <c r="K149" s="30" t="n">
        <v>2.468</v>
      </c>
      <c r="L149" s="30" t="n">
        <v>1.614</v>
      </c>
      <c r="M149" s="30" t="n">
        <v>7.3</v>
      </c>
      <c r="N149" s="25" t="n">
        <v>0.0397418134167697</v>
      </c>
      <c r="O149" s="17" t="n">
        <v>1</v>
      </c>
      <c r="P149" s="26" t="n">
        <v>22.49</v>
      </c>
      <c r="Q149" s="24" t="n">
        <f aca="false">IF(O149=1,1/(1+EXP(-(P149-Inputs!$B$12)/Inputs!$B$13)),0)</f>
        <v>0.0385786300474597</v>
      </c>
      <c r="R149" s="24" t="n">
        <f aca="false">N149*O149</f>
        <v>0.0397418134167697</v>
      </c>
      <c r="S149" s="12" t="n">
        <f aca="false">N149*Q149</f>
        <v>0.00153318471722073</v>
      </c>
      <c r="T149" s="24" t="n">
        <f aca="false">N149^2</f>
        <v>0.00157941173365334</v>
      </c>
    </row>
    <row r="150" customFormat="false" ht="15" hidden="false" customHeight="false" outlineLevel="0" collapsed="false">
      <c r="A150" s="5" t="s">
        <v>402</v>
      </c>
      <c r="B150" s="5" t="s">
        <v>152</v>
      </c>
      <c r="C150" s="5" t="s">
        <v>54</v>
      </c>
      <c r="D150" s="5" t="s">
        <v>65</v>
      </c>
      <c r="E150" s="5" t="s">
        <v>73</v>
      </c>
      <c r="F150" s="26" t="n">
        <v>65.6</v>
      </c>
      <c r="G150" s="26" t="n">
        <v>66.18</v>
      </c>
      <c r="H150" s="30" t="n">
        <v>0.889</v>
      </c>
      <c r="I150" s="28" t="n">
        <f aca="false">H150*G150/3.6</f>
        <v>16.3427833333333</v>
      </c>
      <c r="J150" s="30" t="n">
        <v>5.62</v>
      </c>
      <c r="K150" s="30" t="n">
        <v>0.897</v>
      </c>
      <c r="L150" s="30" t="n">
        <v>1.126</v>
      </c>
      <c r="M150" s="30" t="n">
        <v>4.32</v>
      </c>
      <c r="N150" s="25" t="n">
        <v>4.77186566937309</v>
      </c>
      <c r="O150" s="17" t="n">
        <v>0</v>
      </c>
      <c r="P150" s="26" t="n">
        <v>0</v>
      </c>
      <c r="Q150" s="24" t="n">
        <f aca="false">IF(O150=1,1/(1+EXP(-(P150-Inputs!$B$12)/Inputs!$B$13)),0)</f>
        <v>0</v>
      </c>
      <c r="R150" s="24" t="n">
        <f aca="false">N150*O150</f>
        <v>0</v>
      </c>
      <c r="S150" s="12" t="n">
        <f aca="false">N150*Q150</f>
        <v>0</v>
      </c>
      <c r="T150" s="24" t="n">
        <f aca="false">N150^2</f>
        <v>22.7707019665415</v>
      </c>
    </row>
    <row r="151" customFormat="false" ht="15" hidden="false" customHeight="false" outlineLevel="0" collapsed="false">
      <c r="A151" s="5" t="s">
        <v>403</v>
      </c>
      <c r="B151" s="5" t="s">
        <v>152</v>
      </c>
      <c r="C151" s="5" t="s">
        <v>54</v>
      </c>
      <c r="D151" s="5" t="s">
        <v>65</v>
      </c>
      <c r="E151" s="5" t="s">
        <v>73</v>
      </c>
      <c r="F151" s="26" t="n">
        <v>74.86</v>
      </c>
      <c r="G151" s="26" t="n">
        <v>74.93</v>
      </c>
      <c r="H151" s="30" t="n">
        <v>0.609</v>
      </c>
      <c r="I151" s="28" t="n">
        <f aca="false">H151*G151/3.6</f>
        <v>12.6756583333333</v>
      </c>
      <c r="J151" s="30" t="n">
        <v>5.93</v>
      </c>
      <c r="K151" s="30" t="n">
        <v>1.124</v>
      </c>
      <c r="L151" s="30" t="n">
        <v>1.107</v>
      </c>
      <c r="M151" s="30" t="n">
        <v>5.86</v>
      </c>
      <c r="N151" s="25" t="n">
        <v>0.929196228050094</v>
      </c>
      <c r="O151" s="17" t="n">
        <v>0</v>
      </c>
      <c r="P151" s="26" t="n">
        <v>0</v>
      </c>
      <c r="Q151" s="24" t="n">
        <f aca="false">IF(O151=1,1/(1+EXP(-(P151-Inputs!$B$12)/Inputs!$B$13)),0)</f>
        <v>0</v>
      </c>
      <c r="R151" s="24" t="n">
        <f aca="false">N151*O151</f>
        <v>0</v>
      </c>
      <c r="S151" s="12" t="n">
        <f aca="false">N151*Q151</f>
        <v>0</v>
      </c>
      <c r="T151" s="24" t="n">
        <f aca="false">N151^2</f>
        <v>0.863405630222522</v>
      </c>
    </row>
    <row r="152" customFormat="false" ht="15" hidden="false" customHeight="false" outlineLevel="0" collapsed="false">
      <c r="A152" s="5" t="s">
        <v>404</v>
      </c>
      <c r="B152" s="5" t="s">
        <v>152</v>
      </c>
      <c r="C152" s="5" t="s">
        <v>54</v>
      </c>
      <c r="D152" s="5" t="s">
        <v>65</v>
      </c>
      <c r="E152" s="5" t="s">
        <v>73</v>
      </c>
      <c r="F152" s="26" t="n">
        <v>70.24</v>
      </c>
      <c r="G152" s="26" t="n">
        <v>70.46</v>
      </c>
      <c r="H152" s="30" t="n">
        <v>0.77</v>
      </c>
      <c r="I152" s="28" t="n">
        <f aca="false">H152*G152/3.6</f>
        <v>15.0706111111111</v>
      </c>
      <c r="J152" s="30" t="n">
        <v>3.56</v>
      </c>
      <c r="K152" s="30" t="n">
        <v>1.339</v>
      </c>
      <c r="L152" s="30" t="n">
        <v>1.703</v>
      </c>
      <c r="M152" s="30" t="n">
        <v>4.27</v>
      </c>
      <c r="N152" s="25" t="n">
        <v>0.325004629868507</v>
      </c>
      <c r="O152" s="17" t="n">
        <v>0</v>
      </c>
      <c r="P152" s="26" t="n">
        <v>0</v>
      </c>
      <c r="Q152" s="24" t="n">
        <f aca="false">IF(O152=1,1/(1+EXP(-(P152-Inputs!$B$12)/Inputs!$B$13)),0)</f>
        <v>0</v>
      </c>
      <c r="R152" s="24" t="n">
        <f aca="false">N152*O152</f>
        <v>0</v>
      </c>
      <c r="S152" s="12" t="n">
        <f aca="false">N152*Q152</f>
        <v>0</v>
      </c>
      <c r="T152" s="24" t="n">
        <f aca="false">N152^2</f>
        <v>0.105628009435965</v>
      </c>
    </row>
    <row r="153" customFormat="false" ht="15" hidden="false" customHeight="false" outlineLevel="0" collapsed="false">
      <c r="A153" s="5" t="s">
        <v>405</v>
      </c>
      <c r="B153" s="5" t="s">
        <v>152</v>
      </c>
      <c r="C153" s="5" t="s">
        <v>54</v>
      </c>
      <c r="D153" s="5" t="s">
        <v>65</v>
      </c>
      <c r="E153" s="5" t="s">
        <v>73</v>
      </c>
      <c r="F153" s="26" t="n">
        <v>61.48</v>
      </c>
      <c r="G153" s="26" t="n">
        <v>60.18</v>
      </c>
      <c r="H153" s="30" t="n">
        <v>0.799</v>
      </c>
      <c r="I153" s="28" t="n">
        <f aca="false">H153*G153/3.6</f>
        <v>13.3566166666667</v>
      </c>
      <c r="J153" s="30" t="n">
        <v>3.93</v>
      </c>
      <c r="K153" s="30" t="n">
        <v>2.129</v>
      </c>
      <c r="L153" s="30" t="n">
        <v>1.681</v>
      </c>
      <c r="M153" s="30" t="n">
        <v>4.45</v>
      </c>
      <c r="N153" s="25" t="n">
        <v>0.159714074145055</v>
      </c>
      <c r="O153" s="17" t="n">
        <v>0</v>
      </c>
      <c r="P153" s="26" t="n">
        <v>0</v>
      </c>
      <c r="Q153" s="24" t="n">
        <f aca="false">IF(O153=1,1/(1+EXP(-(P153-Inputs!$B$12)/Inputs!$B$13)),0)</f>
        <v>0</v>
      </c>
      <c r="R153" s="24" t="n">
        <f aca="false">N153*O153</f>
        <v>0</v>
      </c>
      <c r="S153" s="12" t="n">
        <f aca="false">N153*Q153</f>
        <v>0</v>
      </c>
      <c r="T153" s="24" t="n">
        <f aca="false">N153^2</f>
        <v>0.0255085854800122</v>
      </c>
    </row>
    <row r="154" customFormat="false" ht="15" hidden="false" customHeight="false" outlineLevel="0" collapsed="false">
      <c r="A154" s="5" t="s">
        <v>406</v>
      </c>
      <c r="B154" s="5" t="s">
        <v>152</v>
      </c>
      <c r="C154" s="5" t="s">
        <v>54</v>
      </c>
      <c r="D154" s="5" t="s">
        <v>65</v>
      </c>
      <c r="E154" s="5" t="s">
        <v>73</v>
      </c>
      <c r="F154" s="26" t="n">
        <v>73.86</v>
      </c>
      <c r="G154" s="26" t="n">
        <v>71.69</v>
      </c>
      <c r="H154" s="30" t="n">
        <v>0.808</v>
      </c>
      <c r="I154" s="28" t="n">
        <f aca="false">H154*G154/3.6</f>
        <v>16.0904222222222</v>
      </c>
      <c r="J154" s="30" t="n">
        <v>5.74</v>
      </c>
      <c r="K154" s="30" t="n">
        <v>0.776</v>
      </c>
      <c r="L154" s="30" t="n">
        <v>1.328</v>
      </c>
      <c r="M154" s="30" t="n">
        <v>7.15</v>
      </c>
      <c r="N154" s="25" t="n">
        <v>1.09578879900277</v>
      </c>
      <c r="O154" s="17" t="n">
        <v>0</v>
      </c>
      <c r="P154" s="26" t="n">
        <v>0</v>
      </c>
      <c r="Q154" s="24" t="n">
        <f aca="false">IF(O154=1,1/(1+EXP(-(P154-Inputs!$B$12)/Inputs!$B$13)),0)</f>
        <v>0</v>
      </c>
      <c r="R154" s="24" t="n">
        <f aca="false">N154*O154</f>
        <v>0</v>
      </c>
      <c r="S154" s="12" t="n">
        <f aca="false">N154*Q154</f>
        <v>0</v>
      </c>
      <c r="T154" s="24" t="n">
        <f aca="false">N154^2</f>
        <v>1.20075309201993</v>
      </c>
    </row>
    <row r="155" customFormat="false" ht="15" hidden="false" customHeight="false" outlineLevel="0" collapsed="false">
      <c r="A155" s="5" t="s">
        <v>407</v>
      </c>
      <c r="B155" s="5" t="s">
        <v>152</v>
      </c>
      <c r="C155" s="5" t="s">
        <v>54</v>
      </c>
      <c r="D155" s="5" t="s">
        <v>65</v>
      </c>
      <c r="E155" s="5" t="s">
        <v>73</v>
      </c>
      <c r="F155" s="26" t="n">
        <v>62.45</v>
      </c>
      <c r="G155" s="26" t="n">
        <v>62.42</v>
      </c>
      <c r="H155" s="30" t="n">
        <v>0.86</v>
      </c>
      <c r="I155" s="28" t="n">
        <f aca="false">H155*G155/3.6</f>
        <v>14.9114444444444</v>
      </c>
      <c r="J155" s="30" t="n">
        <v>2.51</v>
      </c>
      <c r="K155" s="30" t="n">
        <v>0.808</v>
      </c>
      <c r="L155" s="30" t="n">
        <v>1.243</v>
      </c>
      <c r="M155" s="30" t="n">
        <v>4.5</v>
      </c>
      <c r="N155" s="25" t="n">
        <v>3.80710491164554</v>
      </c>
      <c r="O155" s="17" t="n">
        <v>0</v>
      </c>
      <c r="P155" s="26" t="n">
        <v>0</v>
      </c>
      <c r="Q155" s="24" t="n">
        <f aca="false">IF(O155=1,1/(1+EXP(-(P155-Inputs!$B$12)/Inputs!$B$13)),0)</f>
        <v>0</v>
      </c>
      <c r="R155" s="24" t="n">
        <f aca="false">N155*O155</f>
        <v>0</v>
      </c>
      <c r="S155" s="12" t="n">
        <f aca="false">N155*Q155</f>
        <v>0</v>
      </c>
      <c r="T155" s="24" t="n">
        <f aca="false">N155^2</f>
        <v>14.4940478082756</v>
      </c>
    </row>
    <row r="156" customFormat="false" ht="15" hidden="false" customHeight="false" outlineLevel="0" collapsed="false">
      <c r="A156" s="5" t="s">
        <v>408</v>
      </c>
      <c r="B156" s="5" t="s">
        <v>153</v>
      </c>
      <c r="C156" s="5" t="s">
        <v>54</v>
      </c>
      <c r="D156" s="5" t="s">
        <v>66</v>
      </c>
      <c r="E156" s="5" t="s">
        <v>68</v>
      </c>
      <c r="F156" s="26" t="n">
        <v>89.44</v>
      </c>
      <c r="G156" s="26" t="n">
        <v>88.5</v>
      </c>
      <c r="H156" s="30" t="n">
        <v>3.866</v>
      </c>
      <c r="I156" s="28" t="n">
        <f aca="false">H156*G156/3.6</f>
        <v>95.0391666666667</v>
      </c>
      <c r="J156" s="30" t="n">
        <v>3.09</v>
      </c>
      <c r="K156" s="30" t="n">
        <v>1.469</v>
      </c>
      <c r="L156" s="30" t="n">
        <v>1.129</v>
      </c>
      <c r="M156" s="30" t="n">
        <v>5.51</v>
      </c>
      <c r="N156" s="25" t="n">
        <v>0.629438399461265</v>
      </c>
      <c r="O156" s="17" t="n">
        <v>0</v>
      </c>
      <c r="P156" s="26" t="n">
        <v>0</v>
      </c>
      <c r="Q156" s="24" t="n">
        <f aca="false">IF(O156=1,1/(1+EXP(-(P156-Inputs!$B$12)/Inputs!$B$13)),0)</f>
        <v>0</v>
      </c>
      <c r="R156" s="24" t="n">
        <f aca="false">N156*O156</f>
        <v>0</v>
      </c>
      <c r="S156" s="12" t="n">
        <f aca="false">N156*Q156</f>
        <v>0</v>
      </c>
      <c r="T156" s="24" t="n">
        <f aca="false">N156^2</f>
        <v>0.396192698716359</v>
      </c>
    </row>
    <row r="157" customFormat="false" ht="15" hidden="false" customHeight="false" outlineLevel="0" collapsed="false">
      <c r="A157" s="5" t="s">
        <v>409</v>
      </c>
      <c r="B157" s="5" t="s">
        <v>153</v>
      </c>
      <c r="C157" s="5" t="s">
        <v>54</v>
      </c>
      <c r="D157" s="5" t="s">
        <v>66</v>
      </c>
      <c r="E157" s="5" t="s">
        <v>68</v>
      </c>
      <c r="F157" s="26" t="n">
        <v>81.87</v>
      </c>
      <c r="G157" s="26" t="n">
        <v>82.58</v>
      </c>
      <c r="H157" s="30" t="n">
        <v>3.125</v>
      </c>
      <c r="I157" s="28" t="n">
        <f aca="false">H157*G157/3.6</f>
        <v>71.6840277777778</v>
      </c>
      <c r="J157" s="30" t="n">
        <v>2.8</v>
      </c>
      <c r="K157" s="30" t="n">
        <v>2.39</v>
      </c>
      <c r="L157" s="30" t="n">
        <v>0.902</v>
      </c>
      <c r="M157" s="30" t="n">
        <v>6.56</v>
      </c>
      <c r="N157" s="25" t="n">
        <v>0.398473209316637</v>
      </c>
      <c r="O157" s="17" t="n">
        <v>0</v>
      </c>
      <c r="P157" s="26" t="n">
        <v>0</v>
      </c>
      <c r="Q157" s="24" t="n">
        <f aca="false">IF(O157=1,1/(1+EXP(-(P157-Inputs!$B$12)/Inputs!$B$13)),0)</f>
        <v>0</v>
      </c>
      <c r="R157" s="24" t="n">
        <f aca="false">N157*O157</f>
        <v>0</v>
      </c>
      <c r="S157" s="12" t="n">
        <f aca="false">N157*Q157</f>
        <v>0</v>
      </c>
      <c r="T157" s="24" t="n">
        <f aca="false">N157^2</f>
        <v>0.1587808985431</v>
      </c>
    </row>
    <row r="158" customFormat="false" ht="15" hidden="false" customHeight="false" outlineLevel="0" collapsed="false">
      <c r="A158" s="5" t="s">
        <v>410</v>
      </c>
      <c r="B158" s="5" t="s">
        <v>153</v>
      </c>
      <c r="C158" s="5" t="s">
        <v>54</v>
      </c>
      <c r="D158" s="5" t="s">
        <v>66</v>
      </c>
      <c r="E158" s="5" t="s">
        <v>68</v>
      </c>
      <c r="F158" s="26" t="n">
        <v>79.27</v>
      </c>
      <c r="G158" s="26" t="n">
        <v>83.55</v>
      </c>
      <c r="H158" s="30" t="n">
        <v>4.96</v>
      </c>
      <c r="I158" s="28" t="n">
        <f aca="false">H158*G158/3.6</f>
        <v>115.113333333333</v>
      </c>
      <c r="J158" s="30" t="n">
        <v>3.88</v>
      </c>
      <c r="K158" s="30" t="n">
        <v>1.5</v>
      </c>
      <c r="L158" s="30" t="n">
        <v>1.745</v>
      </c>
      <c r="M158" s="30" t="n">
        <v>4.28</v>
      </c>
      <c r="N158" s="25" t="n">
        <v>0.336812975541787</v>
      </c>
      <c r="O158" s="17" t="n">
        <v>0</v>
      </c>
      <c r="P158" s="26" t="n">
        <v>0</v>
      </c>
      <c r="Q158" s="24" t="n">
        <f aca="false">IF(O158=1,1/(1+EXP(-(P158-Inputs!$B$12)/Inputs!$B$13)),0)</f>
        <v>0</v>
      </c>
      <c r="R158" s="24" t="n">
        <f aca="false">N158*O158</f>
        <v>0</v>
      </c>
      <c r="S158" s="12" t="n">
        <f aca="false">N158*Q158</f>
        <v>0</v>
      </c>
      <c r="T158" s="24" t="n">
        <f aca="false">N158^2</f>
        <v>0.113442980493313</v>
      </c>
    </row>
    <row r="159" customFormat="false" ht="15" hidden="false" customHeight="false" outlineLevel="0" collapsed="false">
      <c r="A159" s="5" t="s">
        <v>411</v>
      </c>
      <c r="B159" s="5" t="s">
        <v>153</v>
      </c>
      <c r="C159" s="5" t="s">
        <v>54</v>
      </c>
      <c r="D159" s="5" t="s">
        <v>66</v>
      </c>
      <c r="E159" s="5" t="s">
        <v>68</v>
      </c>
      <c r="F159" s="26" t="n">
        <v>82.7</v>
      </c>
      <c r="G159" s="26" t="n">
        <v>82.24</v>
      </c>
      <c r="H159" s="30" t="n">
        <v>3.976</v>
      </c>
      <c r="I159" s="28" t="n">
        <f aca="false">H159*G159/3.6</f>
        <v>90.8295111111111</v>
      </c>
      <c r="J159" s="30" t="n">
        <v>2.57</v>
      </c>
      <c r="K159" s="30" t="n">
        <v>2.695</v>
      </c>
      <c r="L159" s="30" t="n">
        <v>2.115</v>
      </c>
      <c r="M159" s="30" t="n">
        <v>6.4</v>
      </c>
      <c r="N159" s="25" t="n">
        <v>0.0133469571628033</v>
      </c>
      <c r="O159" s="17" t="n">
        <v>0</v>
      </c>
      <c r="P159" s="26" t="n">
        <v>0</v>
      </c>
      <c r="Q159" s="24" t="n">
        <f aca="false">IF(O159=1,1/(1+EXP(-(P159-Inputs!$B$12)/Inputs!$B$13)),0)</f>
        <v>0</v>
      </c>
      <c r="R159" s="24" t="n">
        <f aca="false">N159*O159</f>
        <v>0</v>
      </c>
      <c r="S159" s="12" t="n">
        <f aca="false">N159*Q159</f>
        <v>0</v>
      </c>
      <c r="T159" s="24" t="n">
        <f aca="false">N159^2</f>
        <v>0.000178141265505706</v>
      </c>
    </row>
    <row r="160" customFormat="false" ht="15" hidden="false" customHeight="false" outlineLevel="0" collapsed="false">
      <c r="A160" s="5" t="s">
        <v>412</v>
      </c>
      <c r="B160" s="5" t="s">
        <v>153</v>
      </c>
      <c r="C160" s="5" t="s">
        <v>54</v>
      </c>
      <c r="D160" s="5" t="s">
        <v>66</v>
      </c>
      <c r="E160" s="5" t="s">
        <v>68</v>
      </c>
      <c r="F160" s="26" t="n">
        <v>86.49</v>
      </c>
      <c r="G160" s="26" t="n">
        <v>86.27</v>
      </c>
      <c r="H160" s="30" t="n">
        <v>4.286</v>
      </c>
      <c r="I160" s="28" t="n">
        <f aca="false">H160*G160/3.6</f>
        <v>102.709227777778</v>
      </c>
      <c r="J160" s="30" t="n">
        <v>4.02</v>
      </c>
      <c r="K160" s="30" t="n">
        <v>1.063</v>
      </c>
      <c r="L160" s="30" t="n">
        <v>1.134</v>
      </c>
      <c r="M160" s="30" t="n">
        <v>7.91</v>
      </c>
      <c r="N160" s="25" t="n">
        <v>0.572886027024089</v>
      </c>
      <c r="O160" s="17" t="n">
        <v>0</v>
      </c>
      <c r="P160" s="26" t="n">
        <v>0</v>
      </c>
      <c r="Q160" s="24" t="n">
        <f aca="false">IF(O160=1,1/(1+EXP(-(P160-Inputs!$B$12)/Inputs!$B$13)),0)</f>
        <v>0</v>
      </c>
      <c r="R160" s="24" t="n">
        <f aca="false">N160*O160</f>
        <v>0</v>
      </c>
      <c r="S160" s="12" t="n">
        <f aca="false">N160*Q160</f>
        <v>0</v>
      </c>
      <c r="T160" s="24" t="n">
        <f aca="false">N160^2</f>
        <v>0.328198399959445</v>
      </c>
    </row>
    <row r="161" customFormat="false" ht="15" hidden="false" customHeight="false" outlineLevel="0" collapsed="false">
      <c r="A161" s="5" t="s">
        <v>413</v>
      </c>
      <c r="B161" s="5" t="s">
        <v>153</v>
      </c>
      <c r="C161" s="5" t="s">
        <v>54</v>
      </c>
      <c r="D161" s="5" t="s">
        <v>66</v>
      </c>
      <c r="E161" s="5" t="s">
        <v>68</v>
      </c>
      <c r="F161" s="26" t="n">
        <v>76.43</v>
      </c>
      <c r="G161" s="26" t="n">
        <v>81.03</v>
      </c>
      <c r="H161" s="30" t="n">
        <v>4.876</v>
      </c>
      <c r="I161" s="28" t="n">
        <f aca="false">H161*G161/3.6</f>
        <v>109.750633333333</v>
      </c>
      <c r="J161" s="30" t="n">
        <v>3.39</v>
      </c>
      <c r="K161" s="30" t="n">
        <v>2.515</v>
      </c>
      <c r="L161" s="30" t="n">
        <v>0.93</v>
      </c>
      <c r="M161" s="30" t="n">
        <v>7.24</v>
      </c>
      <c r="N161" s="25" t="n">
        <v>0.449924162197028</v>
      </c>
      <c r="O161" s="17" t="n">
        <v>0</v>
      </c>
      <c r="P161" s="26" t="n">
        <v>0</v>
      </c>
      <c r="Q161" s="24" t="n">
        <f aca="false">IF(O161=1,1/(1+EXP(-(P161-Inputs!$B$12)/Inputs!$B$13)),0)</f>
        <v>0</v>
      </c>
      <c r="R161" s="24" t="n">
        <f aca="false">N161*O161</f>
        <v>0</v>
      </c>
      <c r="S161" s="12" t="n">
        <f aca="false">N161*Q161</f>
        <v>0</v>
      </c>
      <c r="T161" s="24" t="n">
        <f aca="false">N161^2</f>
        <v>0.202431751728698</v>
      </c>
    </row>
    <row r="162" customFormat="false" ht="15" hidden="false" customHeight="false" outlineLevel="0" collapsed="false">
      <c r="A162" s="5" t="s">
        <v>414</v>
      </c>
      <c r="B162" s="5" t="s">
        <v>153</v>
      </c>
      <c r="C162" s="5" t="s">
        <v>54</v>
      </c>
      <c r="D162" s="5" t="s">
        <v>66</v>
      </c>
      <c r="E162" s="5" t="s">
        <v>68</v>
      </c>
      <c r="F162" s="26" t="n">
        <v>91.58</v>
      </c>
      <c r="G162" s="26" t="n">
        <v>91.84</v>
      </c>
      <c r="H162" s="30" t="n">
        <v>4.672</v>
      </c>
      <c r="I162" s="28" t="n">
        <f aca="false">H162*G162/3.6</f>
        <v>119.187911111111</v>
      </c>
      <c r="J162" s="30" t="n">
        <v>3.26</v>
      </c>
      <c r="K162" s="30" t="n">
        <v>1.134</v>
      </c>
      <c r="L162" s="30" t="n">
        <v>2.067</v>
      </c>
      <c r="M162" s="30" t="n">
        <v>5.47</v>
      </c>
      <c r="N162" s="25" t="n">
        <v>0.127689379655598</v>
      </c>
      <c r="O162" s="17" t="n">
        <v>0</v>
      </c>
      <c r="P162" s="26" t="n">
        <v>0</v>
      </c>
      <c r="Q162" s="24" t="n">
        <f aca="false">IF(O162=1,1/(1+EXP(-(P162-Inputs!$B$12)/Inputs!$B$13)),0)</f>
        <v>0</v>
      </c>
      <c r="R162" s="24" t="n">
        <f aca="false">N162*O162</f>
        <v>0</v>
      </c>
      <c r="S162" s="12" t="n">
        <f aca="false">N162*Q162</f>
        <v>0</v>
      </c>
      <c r="T162" s="24" t="n">
        <f aca="false">N162^2</f>
        <v>0.0163045776768314</v>
      </c>
    </row>
    <row r="163" customFormat="false" ht="15" hidden="false" customHeight="false" outlineLevel="0" collapsed="false">
      <c r="A163" s="5" t="s">
        <v>415</v>
      </c>
      <c r="B163" s="5" t="s">
        <v>153</v>
      </c>
      <c r="C163" s="5" t="s">
        <v>54</v>
      </c>
      <c r="D163" s="5" t="s">
        <v>66</v>
      </c>
      <c r="E163" s="5" t="s">
        <v>68</v>
      </c>
      <c r="F163" s="26" t="n">
        <v>82.58</v>
      </c>
      <c r="G163" s="26" t="n">
        <v>81.07</v>
      </c>
      <c r="H163" s="30" t="n">
        <v>3.97</v>
      </c>
      <c r="I163" s="28" t="n">
        <f aca="false">H163*G163/3.6</f>
        <v>89.4021944444444</v>
      </c>
      <c r="J163" s="30" t="n">
        <v>5.21</v>
      </c>
      <c r="K163" s="30" t="n">
        <v>0.898</v>
      </c>
      <c r="L163" s="30" t="n">
        <v>1.617</v>
      </c>
      <c r="M163" s="30" t="n">
        <v>4.24</v>
      </c>
      <c r="N163" s="25" t="n">
        <v>0.776828565615934</v>
      </c>
      <c r="O163" s="17" t="n">
        <v>0</v>
      </c>
      <c r="P163" s="26" t="n">
        <v>0</v>
      </c>
      <c r="Q163" s="24" t="n">
        <f aca="false">IF(O163=1,1/(1+EXP(-(P163-Inputs!$B$12)/Inputs!$B$13)),0)</f>
        <v>0</v>
      </c>
      <c r="R163" s="24" t="n">
        <f aca="false">N163*O163</f>
        <v>0</v>
      </c>
      <c r="S163" s="12" t="n">
        <f aca="false">N163*Q163</f>
        <v>0</v>
      </c>
      <c r="T163" s="24" t="n">
        <f aca="false">N163^2</f>
        <v>0.60346262035691</v>
      </c>
    </row>
    <row r="164" customFormat="false" ht="15" hidden="false" customHeight="false" outlineLevel="0" collapsed="false">
      <c r="A164" s="5" t="s">
        <v>416</v>
      </c>
      <c r="B164" s="5" t="s">
        <v>153</v>
      </c>
      <c r="C164" s="5" t="s">
        <v>54</v>
      </c>
      <c r="D164" s="5" t="s">
        <v>66</v>
      </c>
      <c r="E164" s="5" t="s">
        <v>68</v>
      </c>
      <c r="F164" s="26" t="n">
        <v>94.2</v>
      </c>
      <c r="G164" s="26" t="n">
        <v>93.26</v>
      </c>
      <c r="H164" s="30" t="n">
        <v>4.062</v>
      </c>
      <c r="I164" s="28" t="n">
        <f aca="false">H164*G164/3.6</f>
        <v>105.228366666667</v>
      </c>
      <c r="J164" s="30" t="n">
        <v>3.43</v>
      </c>
      <c r="K164" s="30" t="n">
        <v>1.082</v>
      </c>
      <c r="L164" s="30" t="n">
        <v>1.559</v>
      </c>
      <c r="M164" s="30" t="n">
        <v>5.67</v>
      </c>
      <c r="N164" s="25" t="n">
        <v>0.361198551297736</v>
      </c>
      <c r="O164" s="17" t="n">
        <v>0</v>
      </c>
      <c r="P164" s="26" t="n">
        <v>0</v>
      </c>
      <c r="Q164" s="24" t="n">
        <f aca="false">IF(O164=1,1/(1+EXP(-(P164-Inputs!$B$12)/Inputs!$B$13)),0)</f>
        <v>0</v>
      </c>
      <c r="R164" s="24" t="n">
        <f aca="false">N164*O164</f>
        <v>0</v>
      </c>
      <c r="S164" s="12" t="n">
        <f aca="false">N164*Q164</f>
        <v>0</v>
      </c>
      <c r="T164" s="24" t="n">
        <f aca="false">N164^2</f>
        <v>0.130464393459584</v>
      </c>
    </row>
    <row r="165" customFormat="false" ht="15" hidden="false" customHeight="false" outlineLevel="0" collapsed="false">
      <c r="A165" s="5" t="s">
        <v>417</v>
      </c>
      <c r="B165" s="5" t="s">
        <v>153</v>
      </c>
      <c r="C165" s="5" t="s">
        <v>54</v>
      </c>
      <c r="D165" s="5" t="s">
        <v>66</v>
      </c>
      <c r="E165" s="5" t="s">
        <v>68</v>
      </c>
      <c r="F165" s="26" t="n">
        <v>80.85</v>
      </c>
      <c r="G165" s="26" t="n">
        <v>80.8</v>
      </c>
      <c r="H165" s="30" t="n">
        <v>4.324</v>
      </c>
      <c r="I165" s="28" t="n">
        <f aca="false">H165*G165/3.6</f>
        <v>97.0497777777778</v>
      </c>
      <c r="J165" s="30" t="n">
        <v>4.44</v>
      </c>
      <c r="K165" s="30" t="n">
        <v>1.698</v>
      </c>
      <c r="L165" s="30" t="n">
        <v>1.57</v>
      </c>
      <c r="M165" s="30" t="n">
        <v>5.47</v>
      </c>
      <c r="N165" s="25" t="n">
        <v>0.19374178717119</v>
      </c>
      <c r="O165" s="17" t="n">
        <v>0</v>
      </c>
      <c r="P165" s="26" t="n">
        <v>0</v>
      </c>
      <c r="Q165" s="24" t="n">
        <f aca="false">IF(O165=1,1/(1+EXP(-(P165-Inputs!$B$12)/Inputs!$B$13)),0)</f>
        <v>0</v>
      </c>
      <c r="R165" s="24" t="n">
        <f aca="false">N165*O165</f>
        <v>0</v>
      </c>
      <c r="S165" s="12" t="n">
        <f aca="false">N165*Q165</f>
        <v>0</v>
      </c>
      <c r="T165" s="24" t="n">
        <f aca="false">N165^2</f>
        <v>0.0375358800962865</v>
      </c>
    </row>
    <row r="166" customFormat="false" ht="15" hidden="false" customHeight="false" outlineLevel="0" collapsed="false">
      <c r="A166" s="5" t="s">
        <v>418</v>
      </c>
      <c r="B166" s="5" t="s">
        <v>154</v>
      </c>
      <c r="C166" s="5" t="s">
        <v>54</v>
      </c>
      <c r="D166" s="5" t="s">
        <v>66</v>
      </c>
      <c r="E166" s="5" t="s">
        <v>70</v>
      </c>
      <c r="F166" s="26" t="n">
        <v>83.01</v>
      </c>
      <c r="G166" s="26" t="n">
        <v>89.77</v>
      </c>
      <c r="H166" s="30" t="n">
        <v>2.195</v>
      </c>
      <c r="I166" s="28" t="n">
        <f aca="false">H166*G166/3.6</f>
        <v>54.7347638888889</v>
      </c>
      <c r="J166" s="30" t="n">
        <v>4.08</v>
      </c>
      <c r="K166" s="30" t="n">
        <v>0.881</v>
      </c>
      <c r="L166" s="30" t="n">
        <v>1.468</v>
      </c>
      <c r="M166" s="30" t="n">
        <v>5.92</v>
      </c>
      <c r="N166" s="25" t="n">
        <v>0.678025861030245</v>
      </c>
      <c r="O166" s="17" t="n">
        <v>0</v>
      </c>
      <c r="P166" s="26" t="n">
        <v>0</v>
      </c>
      <c r="Q166" s="24" t="n">
        <f aca="false">IF(O166=1,1/(1+EXP(-(P166-Inputs!$B$12)/Inputs!$B$13)),0)</f>
        <v>0</v>
      </c>
      <c r="R166" s="24" t="n">
        <f aca="false">N166*O166</f>
        <v>0</v>
      </c>
      <c r="S166" s="12" t="n">
        <f aca="false">N166*Q166</f>
        <v>0</v>
      </c>
      <c r="T166" s="24" t="n">
        <f aca="false">N166^2</f>
        <v>0.459719068225806</v>
      </c>
    </row>
    <row r="167" customFormat="false" ht="15" hidden="false" customHeight="false" outlineLevel="0" collapsed="false">
      <c r="A167" s="5" t="s">
        <v>419</v>
      </c>
      <c r="B167" s="5" t="s">
        <v>154</v>
      </c>
      <c r="C167" s="5" t="s">
        <v>54</v>
      </c>
      <c r="D167" s="5" t="s">
        <v>66</v>
      </c>
      <c r="E167" s="5" t="s">
        <v>70</v>
      </c>
      <c r="F167" s="26" t="n">
        <v>91.7</v>
      </c>
      <c r="G167" s="26" t="n">
        <v>93.55</v>
      </c>
      <c r="H167" s="30" t="n">
        <v>2.473</v>
      </c>
      <c r="I167" s="28" t="n">
        <f aca="false">H167*G167/3.6</f>
        <v>64.2636527777778</v>
      </c>
      <c r="J167" s="30" t="n">
        <v>3.68</v>
      </c>
      <c r="K167" s="30" t="n">
        <v>1.571</v>
      </c>
      <c r="L167" s="30" t="n">
        <v>1.012</v>
      </c>
      <c r="M167" s="30" t="n">
        <v>4.5</v>
      </c>
      <c r="N167" s="25" t="n">
        <v>0.960296095292497</v>
      </c>
      <c r="O167" s="17" t="n">
        <v>0</v>
      </c>
      <c r="P167" s="26" t="n">
        <v>0</v>
      </c>
      <c r="Q167" s="24" t="n">
        <f aca="false">IF(O167=1,1/(1+EXP(-(P167-Inputs!$B$12)/Inputs!$B$13)),0)</f>
        <v>0</v>
      </c>
      <c r="R167" s="24" t="n">
        <f aca="false">N167*O167</f>
        <v>0</v>
      </c>
      <c r="S167" s="12" t="n">
        <f aca="false">N167*Q167</f>
        <v>0</v>
      </c>
      <c r="T167" s="24" t="n">
        <f aca="false">N167^2</f>
        <v>0.922168590634017</v>
      </c>
    </row>
    <row r="168" customFormat="false" ht="15" hidden="false" customHeight="false" outlineLevel="0" collapsed="false">
      <c r="A168" s="5" t="s">
        <v>420</v>
      </c>
      <c r="B168" s="5" t="s">
        <v>154</v>
      </c>
      <c r="C168" s="5" t="s">
        <v>54</v>
      </c>
      <c r="D168" s="5" t="s">
        <v>66</v>
      </c>
      <c r="E168" s="5" t="s">
        <v>70</v>
      </c>
      <c r="F168" s="26" t="n">
        <v>78.83</v>
      </c>
      <c r="G168" s="26" t="n">
        <v>74.81</v>
      </c>
      <c r="H168" s="30" t="n">
        <v>2.146</v>
      </c>
      <c r="I168" s="28" t="n">
        <f aca="false">H168*G168/3.6</f>
        <v>44.5950722222222</v>
      </c>
      <c r="J168" s="30" t="n">
        <v>5.52</v>
      </c>
      <c r="K168" s="30" t="n">
        <v>1.143</v>
      </c>
      <c r="L168" s="30" t="n">
        <v>1.842</v>
      </c>
      <c r="M168" s="30" t="n">
        <v>5.68</v>
      </c>
      <c r="N168" s="25" t="n">
        <v>0.169383431755832</v>
      </c>
      <c r="O168" s="17" t="n">
        <v>0</v>
      </c>
      <c r="P168" s="26" t="n">
        <v>0</v>
      </c>
      <c r="Q168" s="24" t="n">
        <f aca="false">IF(O168=1,1/(1+EXP(-(P168-Inputs!$B$12)/Inputs!$B$13)),0)</f>
        <v>0</v>
      </c>
      <c r="R168" s="24" t="n">
        <f aca="false">N168*O168</f>
        <v>0</v>
      </c>
      <c r="S168" s="12" t="n">
        <f aca="false">N168*Q168</f>
        <v>0</v>
      </c>
      <c r="T168" s="24" t="n">
        <f aca="false">N168^2</f>
        <v>0.0286907469533827</v>
      </c>
    </row>
    <row r="169" customFormat="false" ht="15" hidden="false" customHeight="false" outlineLevel="0" collapsed="false">
      <c r="A169" s="5" t="s">
        <v>421</v>
      </c>
      <c r="B169" s="5" t="s">
        <v>154</v>
      </c>
      <c r="C169" s="5" t="s">
        <v>54</v>
      </c>
      <c r="D169" s="5" t="s">
        <v>66</v>
      </c>
      <c r="E169" s="5" t="s">
        <v>70</v>
      </c>
      <c r="F169" s="26" t="n">
        <v>84.68</v>
      </c>
      <c r="G169" s="26" t="n">
        <v>87.8</v>
      </c>
      <c r="H169" s="30" t="n">
        <v>2.386</v>
      </c>
      <c r="I169" s="28" t="n">
        <f aca="false">H169*G169/3.6</f>
        <v>58.1918888888889</v>
      </c>
      <c r="J169" s="30" t="n">
        <v>3.39</v>
      </c>
      <c r="K169" s="30" t="n">
        <v>1.848</v>
      </c>
      <c r="L169" s="30" t="n">
        <v>1.197</v>
      </c>
      <c r="M169" s="30" t="n">
        <v>7.19</v>
      </c>
      <c r="N169" s="25" t="n">
        <v>0.249254390031537</v>
      </c>
      <c r="O169" s="17" t="n">
        <v>0</v>
      </c>
      <c r="P169" s="26" t="n">
        <v>0</v>
      </c>
      <c r="Q169" s="24" t="n">
        <f aca="false">IF(O169=1,1/(1+EXP(-(P169-Inputs!$B$12)/Inputs!$B$13)),0)</f>
        <v>0</v>
      </c>
      <c r="R169" s="24" t="n">
        <f aca="false">N169*O169</f>
        <v>0</v>
      </c>
      <c r="S169" s="12" t="n">
        <f aca="false">N169*Q169</f>
        <v>0</v>
      </c>
      <c r="T169" s="24" t="n">
        <f aca="false">N169^2</f>
        <v>0.0621277509499934</v>
      </c>
    </row>
    <row r="170" customFormat="false" ht="15" hidden="false" customHeight="false" outlineLevel="0" collapsed="false">
      <c r="A170" s="5" t="s">
        <v>422</v>
      </c>
      <c r="B170" s="5" t="s">
        <v>154</v>
      </c>
      <c r="C170" s="5" t="s">
        <v>54</v>
      </c>
      <c r="D170" s="5" t="s">
        <v>66</v>
      </c>
      <c r="E170" s="5" t="s">
        <v>70</v>
      </c>
      <c r="F170" s="26" t="n">
        <v>86.97</v>
      </c>
      <c r="G170" s="26" t="n">
        <v>91.06</v>
      </c>
      <c r="H170" s="30" t="n">
        <v>2.733</v>
      </c>
      <c r="I170" s="28" t="n">
        <f aca="false">H170*G170/3.6</f>
        <v>69.1297166666667</v>
      </c>
      <c r="J170" s="30" t="n">
        <v>2.96</v>
      </c>
      <c r="K170" s="30" t="n">
        <v>0.694</v>
      </c>
      <c r="L170" s="30" t="n">
        <v>1.844</v>
      </c>
      <c r="M170" s="30" t="n">
        <v>6.22</v>
      </c>
      <c r="N170" s="25" t="n">
        <v>0.743460793543097</v>
      </c>
      <c r="O170" s="17" t="n">
        <v>0</v>
      </c>
      <c r="P170" s="26" t="n">
        <v>0</v>
      </c>
      <c r="Q170" s="24" t="n">
        <f aca="false">IF(O170=1,1/(1+EXP(-(P170-Inputs!$B$12)/Inputs!$B$13)),0)</f>
        <v>0</v>
      </c>
      <c r="R170" s="24" t="n">
        <f aca="false">N170*O170</f>
        <v>0</v>
      </c>
      <c r="S170" s="12" t="n">
        <f aca="false">N170*Q170</f>
        <v>0</v>
      </c>
      <c r="T170" s="24" t="n">
        <f aca="false">N170^2</f>
        <v>0.552733951535732</v>
      </c>
    </row>
    <row r="171" customFormat="false" ht="15" hidden="false" customHeight="false" outlineLevel="0" collapsed="false">
      <c r="A171" s="5" t="s">
        <v>423</v>
      </c>
      <c r="B171" s="5" t="s">
        <v>154</v>
      </c>
      <c r="C171" s="5" t="s">
        <v>54</v>
      </c>
      <c r="D171" s="5" t="s">
        <v>66</v>
      </c>
      <c r="E171" s="5" t="s">
        <v>70</v>
      </c>
      <c r="F171" s="26" t="n">
        <v>75.33</v>
      </c>
      <c r="G171" s="26" t="n">
        <v>74.12</v>
      </c>
      <c r="H171" s="30" t="n">
        <v>2.427</v>
      </c>
      <c r="I171" s="28" t="n">
        <f aca="false">H171*G171/3.6</f>
        <v>49.9692333333333</v>
      </c>
      <c r="J171" s="30" t="n">
        <v>3.39</v>
      </c>
      <c r="K171" s="30" t="n">
        <v>1.122</v>
      </c>
      <c r="L171" s="30" t="n">
        <v>1.826</v>
      </c>
      <c r="M171" s="30" t="n">
        <v>4.93</v>
      </c>
      <c r="N171" s="25" t="n">
        <v>0.290859060911356</v>
      </c>
      <c r="O171" s="17" t="n">
        <v>0</v>
      </c>
      <c r="P171" s="26" t="n">
        <v>0</v>
      </c>
      <c r="Q171" s="24" t="n">
        <f aca="false">IF(O171=1,1/(1+EXP(-(P171-Inputs!$B$12)/Inputs!$B$13)),0)</f>
        <v>0</v>
      </c>
      <c r="R171" s="24" t="n">
        <f aca="false">N171*O171</f>
        <v>0</v>
      </c>
      <c r="S171" s="12" t="n">
        <f aca="false">N171*Q171</f>
        <v>0</v>
      </c>
      <c r="T171" s="24" t="n">
        <f aca="false">N171^2</f>
        <v>0.0845989933142361</v>
      </c>
    </row>
    <row r="172" customFormat="false" ht="15" hidden="false" customHeight="false" outlineLevel="0" collapsed="false">
      <c r="A172" s="5" t="s">
        <v>424</v>
      </c>
      <c r="B172" s="5" t="s">
        <v>154</v>
      </c>
      <c r="C172" s="5" t="s">
        <v>54</v>
      </c>
      <c r="D172" s="5" t="s">
        <v>66</v>
      </c>
      <c r="E172" s="5" t="s">
        <v>70</v>
      </c>
      <c r="F172" s="26" t="n">
        <v>79.85</v>
      </c>
      <c r="G172" s="26" t="n">
        <v>76.99</v>
      </c>
      <c r="H172" s="30" t="n">
        <v>2.388</v>
      </c>
      <c r="I172" s="28" t="n">
        <f aca="false">H172*G172/3.6</f>
        <v>51.0700333333333</v>
      </c>
      <c r="J172" s="30" t="n">
        <v>3.31</v>
      </c>
      <c r="K172" s="30" t="n">
        <v>2.729</v>
      </c>
      <c r="L172" s="30" t="n">
        <v>1.853</v>
      </c>
      <c r="M172" s="30" t="n">
        <v>3.81</v>
      </c>
      <c r="N172" s="25" t="n">
        <v>0.0701565503019088</v>
      </c>
      <c r="O172" s="17" t="n">
        <v>0</v>
      </c>
      <c r="P172" s="26" t="n">
        <v>0</v>
      </c>
      <c r="Q172" s="24" t="n">
        <f aca="false">IF(O172=1,1/(1+EXP(-(P172-Inputs!$B$12)/Inputs!$B$13)),0)</f>
        <v>0</v>
      </c>
      <c r="R172" s="24" t="n">
        <f aca="false">N172*O172</f>
        <v>0</v>
      </c>
      <c r="S172" s="12" t="n">
        <f aca="false">N172*Q172</f>
        <v>0</v>
      </c>
      <c r="T172" s="24" t="n">
        <f aca="false">N172^2</f>
        <v>0.00492194155026426</v>
      </c>
    </row>
    <row r="173" customFormat="false" ht="15" hidden="false" customHeight="false" outlineLevel="0" collapsed="false">
      <c r="A173" s="5" t="s">
        <v>425</v>
      </c>
      <c r="B173" s="5" t="s">
        <v>154</v>
      </c>
      <c r="C173" s="5" t="s">
        <v>54</v>
      </c>
      <c r="D173" s="5" t="s">
        <v>66</v>
      </c>
      <c r="E173" s="5" t="s">
        <v>70</v>
      </c>
      <c r="F173" s="26" t="n">
        <v>79.14</v>
      </c>
      <c r="G173" s="26" t="n">
        <v>80.65</v>
      </c>
      <c r="H173" s="30" t="n">
        <v>2.15</v>
      </c>
      <c r="I173" s="28" t="n">
        <f aca="false">H173*G173/3.6</f>
        <v>48.1659722222222</v>
      </c>
      <c r="J173" s="30" t="n">
        <v>3.34</v>
      </c>
      <c r="K173" s="30" t="n">
        <v>1.585</v>
      </c>
      <c r="L173" s="30" t="n">
        <v>2.261</v>
      </c>
      <c r="M173" s="30" t="n">
        <v>3.57</v>
      </c>
      <c r="N173" s="25" t="n">
        <v>0.109686122224808</v>
      </c>
      <c r="O173" s="17" t="n">
        <v>0</v>
      </c>
      <c r="P173" s="26" t="n">
        <v>0</v>
      </c>
      <c r="Q173" s="24" t="n">
        <f aca="false">IF(O173=1,1/(1+EXP(-(P173-Inputs!$B$12)/Inputs!$B$13)),0)</f>
        <v>0</v>
      </c>
      <c r="R173" s="24" t="n">
        <f aca="false">N173*O173</f>
        <v>0</v>
      </c>
      <c r="S173" s="12" t="n">
        <f aca="false">N173*Q173</f>
        <v>0</v>
      </c>
      <c r="T173" s="24" t="n">
        <f aca="false">N173^2</f>
        <v>0.0120310454087154</v>
      </c>
    </row>
    <row r="174" customFormat="false" ht="15" hidden="false" customHeight="false" outlineLevel="0" collapsed="false">
      <c r="A174" s="5" t="s">
        <v>426</v>
      </c>
      <c r="B174" s="5" t="s">
        <v>154</v>
      </c>
      <c r="C174" s="5" t="s">
        <v>54</v>
      </c>
      <c r="D174" s="5" t="s">
        <v>66</v>
      </c>
      <c r="E174" s="5" t="s">
        <v>70</v>
      </c>
      <c r="F174" s="26" t="n">
        <v>94.02</v>
      </c>
      <c r="G174" s="26" t="n">
        <v>94.84</v>
      </c>
      <c r="H174" s="30" t="n">
        <v>2.475</v>
      </c>
      <c r="I174" s="28" t="n">
        <f aca="false">H174*G174/3.6</f>
        <v>65.2025</v>
      </c>
      <c r="J174" s="30" t="n">
        <v>4.4</v>
      </c>
      <c r="K174" s="30" t="n">
        <v>3.035</v>
      </c>
      <c r="L174" s="30" t="n">
        <v>1.346</v>
      </c>
      <c r="M174" s="30" t="n">
        <v>5.31</v>
      </c>
      <c r="N174" s="25" t="n">
        <v>0.0974414813076169</v>
      </c>
      <c r="O174" s="17" t="n">
        <v>0</v>
      </c>
      <c r="P174" s="26" t="n">
        <v>0</v>
      </c>
      <c r="Q174" s="24" t="n">
        <f aca="false">IF(O174=1,1/(1+EXP(-(P174-Inputs!$B$12)/Inputs!$B$13)),0)</f>
        <v>0</v>
      </c>
      <c r="R174" s="24" t="n">
        <f aca="false">N174*O174</f>
        <v>0</v>
      </c>
      <c r="S174" s="12" t="n">
        <f aca="false">N174*Q174</f>
        <v>0</v>
      </c>
      <c r="T174" s="24" t="n">
        <f aca="false">N174^2</f>
        <v>0.00949484227942265</v>
      </c>
    </row>
    <row r="175" customFormat="false" ht="15" hidden="false" customHeight="false" outlineLevel="0" collapsed="false">
      <c r="A175" s="5" t="s">
        <v>427</v>
      </c>
      <c r="B175" s="5" t="s">
        <v>154</v>
      </c>
      <c r="C175" s="5" t="s">
        <v>54</v>
      </c>
      <c r="D175" s="5" t="s">
        <v>66</v>
      </c>
      <c r="E175" s="5" t="s">
        <v>70</v>
      </c>
      <c r="F175" s="26" t="n">
        <v>78</v>
      </c>
      <c r="G175" s="26" t="n">
        <v>77.48</v>
      </c>
      <c r="H175" s="30" t="n">
        <v>2.125</v>
      </c>
      <c r="I175" s="28" t="n">
        <f aca="false">H175*G175/3.6</f>
        <v>45.7347222222222</v>
      </c>
      <c r="J175" s="30" t="n">
        <v>4.46</v>
      </c>
      <c r="K175" s="30" t="n">
        <v>1.032</v>
      </c>
      <c r="L175" s="30" t="n">
        <v>1.276</v>
      </c>
      <c r="M175" s="30" t="n">
        <v>5.22</v>
      </c>
      <c r="N175" s="25" t="n">
        <v>1.01656343607447</v>
      </c>
      <c r="O175" s="17" t="n">
        <v>0</v>
      </c>
      <c r="P175" s="26" t="n">
        <v>0</v>
      </c>
      <c r="Q175" s="24" t="n">
        <f aca="false">IF(O175=1,1/(1+EXP(-(P175-Inputs!$B$12)/Inputs!$B$13)),0)</f>
        <v>0</v>
      </c>
      <c r="R175" s="24" t="n">
        <f aca="false">N175*O175</f>
        <v>0</v>
      </c>
      <c r="S175" s="12" t="n">
        <f aca="false">N175*Q175</f>
        <v>0</v>
      </c>
      <c r="T175" s="24" t="n">
        <f aca="false">N175^2</f>
        <v>1.03340121956354</v>
      </c>
    </row>
    <row r="176" customFormat="false" ht="15" hidden="false" customHeight="false" outlineLevel="0" collapsed="false">
      <c r="A176" s="5" t="s">
        <v>428</v>
      </c>
      <c r="B176" s="5" t="s">
        <v>155</v>
      </c>
      <c r="C176" s="5" t="s">
        <v>54</v>
      </c>
      <c r="D176" s="5" t="s">
        <v>66</v>
      </c>
      <c r="E176" s="5" t="s">
        <v>71</v>
      </c>
      <c r="F176" s="26" t="n">
        <v>80.72</v>
      </c>
      <c r="G176" s="26" t="n">
        <v>82.22</v>
      </c>
      <c r="H176" s="30" t="n">
        <v>1.686</v>
      </c>
      <c r="I176" s="28" t="n">
        <f aca="false">H176*G176/3.6</f>
        <v>38.5063666666667</v>
      </c>
      <c r="J176" s="30" t="n">
        <v>3.7</v>
      </c>
      <c r="K176" s="30" t="n">
        <v>4.687</v>
      </c>
      <c r="L176" s="30" t="n">
        <v>1.313</v>
      </c>
      <c r="M176" s="30" t="n">
        <v>4.62</v>
      </c>
      <c r="N176" s="25" t="n">
        <v>0.0602584675106261</v>
      </c>
      <c r="O176" s="17" t="n">
        <v>0</v>
      </c>
      <c r="P176" s="26" t="n">
        <v>0</v>
      </c>
      <c r="Q176" s="24" t="n">
        <f aca="false">IF(O176=1,1/(1+EXP(-(P176-Inputs!$B$12)/Inputs!$B$13)),0)</f>
        <v>0</v>
      </c>
      <c r="R176" s="24" t="n">
        <f aca="false">N176*O176</f>
        <v>0</v>
      </c>
      <c r="S176" s="12" t="n">
        <f aca="false">N176*Q176</f>
        <v>0</v>
      </c>
      <c r="T176" s="24" t="n">
        <f aca="false">N176^2</f>
        <v>0.00363108290672918</v>
      </c>
    </row>
    <row r="177" customFormat="false" ht="15" hidden="false" customHeight="false" outlineLevel="0" collapsed="false">
      <c r="A177" s="5" t="s">
        <v>429</v>
      </c>
      <c r="B177" s="5" t="s">
        <v>155</v>
      </c>
      <c r="C177" s="5" t="s">
        <v>54</v>
      </c>
      <c r="D177" s="5" t="s">
        <v>66</v>
      </c>
      <c r="E177" s="5" t="s">
        <v>71</v>
      </c>
      <c r="F177" s="26" t="n">
        <v>92.74</v>
      </c>
      <c r="G177" s="26" t="n">
        <v>92.76</v>
      </c>
      <c r="H177" s="30" t="n">
        <v>1.588</v>
      </c>
      <c r="I177" s="28" t="n">
        <f aca="false">H177*G177/3.6</f>
        <v>40.9174666666667</v>
      </c>
      <c r="J177" s="30" t="n">
        <v>4.6</v>
      </c>
      <c r="K177" s="30" t="n">
        <v>0.802</v>
      </c>
      <c r="L177" s="30" t="n">
        <v>2.55</v>
      </c>
      <c r="M177" s="30" t="n">
        <v>7.07</v>
      </c>
      <c r="N177" s="25" t="n">
        <v>0.0346091209221383</v>
      </c>
      <c r="O177" s="17" t="n">
        <v>0</v>
      </c>
      <c r="P177" s="26" t="n">
        <v>0</v>
      </c>
      <c r="Q177" s="24" t="n">
        <f aca="false">IF(O177=1,1/(1+EXP(-(P177-Inputs!$B$12)/Inputs!$B$13)),0)</f>
        <v>0</v>
      </c>
      <c r="R177" s="24" t="n">
        <f aca="false">N177*O177</f>
        <v>0</v>
      </c>
      <c r="S177" s="12" t="n">
        <f aca="false">N177*Q177</f>
        <v>0</v>
      </c>
      <c r="T177" s="24" t="n">
        <f aca="false">N177^2</f>
        <v>0.00119779125100319</v>
      </c>
    </row>
    <row r="178" customFormat="false" ht="15" hidden="false" customHeight="false" outlineLevel="0" collapsed="false">
      <c r="A178" s="5" t="s">
        <v>430</v>
      </c>
      <c r="B178" s="5" t="s">
        <v>155</v>
      </c>
      <c r="C178" s="5" t="s">
        <v>54</v>
      </c>
      <c r="D178" s="5" t="s">
        <v>66</v>
      </c>
      <c r="E178" s="5" t="s">
        <v>71</v>
      </c>
      <c r="F178" s="26" t="n">
        <v>75.68</v>
      </c>
      <c r="G178" s="26" t="n">
        <v>74.75</v>
      </c>
      <c r="H178" s="30" t="n">
        <v>1.593</v>
      </c>
      <c r="I178" s="28" t="n">
        <f aca="false">H178*G178/3.6</f>
        <v>33.076875</v>
      </c>
      <c r="J178" s="30" t="n">
        <v>2.76</v>
      </c>
      <c r="K178" s="30" t="n">
        <v>3.865</v>
      </c>
      <c r="L178" s="30" t="n">
        <v>1.982</v>
      </c>
      <c r="M178" s="30" t="n">
        <v>3.88</v>
      </c>
      <c r="N178" s="25" t="n">
        <v>0.0233201178603026</v>
      </c>
      <c r="O178" s="17" t="n">
        <v>0</v>
      </c>
      <c r="P178" s="26" t="n">
        <v>0</v>
      </c>
      <c r="Q178" s="24" t="n">
        <f aca="false">IF(O178=1,1/(1+EXP(-(P178-Inputs!$B$12)/Inputs!$B$13)),0)</f>
        <v>0</v>
      </c>
      <c r="R178" s="24" t="n">
        <f aca="false">N178*O178</f>
        <v>0</v>
      </c>
      <c r="S178" s="12" t="n">
        <f aca="false">N178*Q178</f>
        <v>0</v>
      </c>
      <c r="T178" s="24" t="n">
        <f aca="false">N178^2</f>
        <v>0.000543827897018404</v>
      </c>
    </row>
    <row r="179" customFormat="false" ht="15" hidden="false" customHeight="false" outlineLevel="0" collapsed="false">
      <c r="A179" s="5" t="s">
        <v>431</v>
      </c>
      <c r="B179" s="5" t="s">
        <v>155</v>
      </c>
      <c r="C179" s="5" t="s">
        <v>54</v>
      </c>
      <c r="D179" s="5" t="s">
        <v>66</v>
      </c>
      <c r="E179" s="5" t="s">
        <v>71</v>
      </c>
      <c r="F179" s="26" t="n">
        <v>89.01</v>
      </c>
      <c r="G179" s="26" t="n">
        <v>88.5</v>
      </c>
      <c r="H179" s="30" t="n">
        <v>1.558</v>
      </c>
      <c r="I179" s="28" t="n">
        <f aca="false">H179*G179/3.6</f>
        <v>38.3008333333333</v>
      </c>
      <c r="J179" s="30" t="n">
        <v>5.49</v>
      </c>
      <c r="K179" s="30" t="n">
        <v>1.766</v>
      </c>
      <c r="L179" s="30" t="n">
        <v>1.44</v>
      </c>
      <c r="M179" s="30" t="n">
        <v>7.95</v>
      </c>
      <c r="N179" s="25" t="n">
        <v>0.0674559727626184</v>
      </c>
      <c r="O179" s="17" t="n">
        <v>0</v>
      </c>
      <c r="P179" s="26" t="n">
        <v>0</v>
      </c>
      <c r="Q179" s="24" t="n">
        <f aca="false">IF(O179=1,1/(1+EXP(-(P179-Inputs!$B$12)/Inputs!$B$13)),0)</f>
        <v>0</v>
      </c>
      <c r="R179" s="24" t="n">
        <f aca="false">N179*O179</f>
        <v>0</v>
      </c>
      <c r="S179" s="12" t="n">
        <f aca="false">N179*Q179</f>
        <v>0</v>
      </c>
      <c r="T179" s="24" t="n">
        <f aca="false">N179^2</f>
        <v>0.00455030826135111</v>
      </c>
    </row>
    <row r="180" customFormat="false" ht="15" hidden="false" customHeight="false" outlineLevel="0" collapsed="false">
      <c r="A180" s="5" t="s">
        <v>432</v>
      </c>
      <c r="B180" s="5" t="s">
        <v>155</v>
      </c>
      <c r="C180" s="5" t="s">
        <v>54</v>
      </c>
      <c r="D180" s="5" t="s">
        <v>66</v>
      </c>
      <c r="E180" s="5" t="s">
        <v>71</v>
      </c>
      <c r="F180" s="26" t="n">
        <v>85.23</v>
      </c>
      <c r="G180" s="26" t="n">
        <v>87.32</v>
      </c>
      <c r="H180" s="30" t="n">
        <v>1.755</v>
      </c>
      <c r="I180" s="28" t="n">
        <f aca="false">H180*G180/3.6</f>
        <v>42.5685</v>
      </c>
      <c r="J180" s="30" t="n">
        <v>3.69</v>
      </c>
      <c r="K180" s="30" t="n">
        <v>1.933</v>
      </c>
      <c r="L180" s="30" t="n">
        <v>1.271</v>
      </c>
      <c r="M180" s="30" t="n">
        <v>6.22</v>
      </c>
      <c r="N180" s="25" t="n">
        <v>0.278310037578281</v>
      </c>
      <c r="O180" s="17" t="n">
        <v>0</v>
      </c>
      <c r="P180" s="26" t="n">
        <v>0</v>
      </c>
      <c r="Q180" s="24" t="n">
        <f aca="false">IF(O180=1,1/(1+EXP(-(P180-Inputs!$B$12)/Inputs!$B$13)),0)</f>
        <v>0</v>
      </c>
      <c r="R180" s="24" t="n">
        <f aca="false">N180*O180</f>
        <v>0</v>
      </c>
      <c r="S180" s="12" t="n">
        <f aca="false">N180*Q180</f>
        <v>0</v>
      </c>
      <c r="T180" s="24" t="n">
        <f aca="false">N180^2</f>
        <v>0.077456477016824</v>
      </c>
    </row>
    <row r="181" customFormat="false" ht="15" hidden="false" customHeight="false" outlineLevel="0" collapsed="false">
      <c r="A181" s="5" t="s">
        <v>433</v>
      </c>
      <c r="B181" s="5" t="s">
        <v>155</v>
      </c>
      <c r="C181" s="5" t="s">
        <v>54</v>
      </c>
      <c r="D181" s="5" t="s">
        <v>66</v>
      </c>
      <c r="E181" s="5" t="s">
        <v>71</v>
      </c>
      <c r="F181" s="26" t="n">
        <v>83.09</v>
      </c>
      <c r="G181" s="26" t="n">
        <v>83.62</v>
      </c>
      <c r="H181" s="30" t="n">
        <v>1.762</v>
      </c>
      <c r="I181" s="28" t="n">
        <f aca="false">H181*G181/3.6</f>
        <v>40.9273444444445</v>
      </c>
      <c r="J181" s="30" t="n">
        <v>5.89</v>
      </c>
      <c r="K181" s="30" t="n">
        <v>2.069</v>
      </c>
      <c r="L181" s="30" t="n">
        <v>2.201</v>
      </c>
      <c r="M181" s="30" t="n">
        <v>3.92</v>
      </c>
      <c r="N181" s="25" t="n">
        <v>0.055893558616631</v>
      </c>
      <c r="O181" s="17" t="n">
        <v>0</v>
      </c>
      <c r="P181" s="26" t="n">
        <v>0</v>
      </c>
      <c r="Q181" s="24" t="n">
        <f aca="false">IF(O181=1,1/(1+EXP(-(P181-Inputs!$B$12)/Inputs!$B$13)),0)</f>
        <v>0</v>
      </c>
      <c r="R181" s="24" t="n">
        <f aca="false">N181*O181</f>
        <v>0</v>
      </c>
      <c r="S181" s="12" t="n">
        <f aca="false">N181*Q181</f>
        <v>0</v>
      </c>
      <c r="T181" s="24" t="n">
        <f aca="false">N181^2</f>
        <v>0.00312408989483076</v>
      </c>
    </row>
    <row r="182" customFormat="false" ht="15" hidden="false" customHeight="false" outlineLevel="0" collapsed="false">
      <c r="A182" s="5" t="s">
        <v>434</v>
      </c>
      <c r="B182" s="5" t="s">
        <v>155</v>
      </c>
      <c r="C182" s="5" t="s">
        <v>54</v>
      </c>
      <c r="D182" s="5" t="s">
        <v>66</v>
      </c>
      <c r="E182" s="5" t="s">
        <v>71</v>
      </c>
      <c r="F182" s="26" t="n">
        <v>79.63</v>
      </c>
      <c r="G182" s="26" t="n">
        <v>76.87</v>
      </c>
      <c r="H182" s="30" t="n">
        <v>1.533</v>
      </c>
      <c r="I182" s="28" t="n">
        <f aca="false">H182*G182/3.6</f>
        <v>32.7338083333333</v>
      </c>
      <c r="J182" s="30" t="n">
        <v>2.6</v>
      </c>
      <c r="K182" s="30" t="n">
        <v>2.374</v>
      </c>
      <c r="L182" s="30" t="n">
        <v>0.591</v>
      </c>
      <c r="M182" s="30" t="n">
        <v>7.32</v>
      </c>
      <c r="N182" s="25" t="n">
        <v>0.548926234610461</v>
      </c>
      <c r="O182" s="17" t="n">
        <v>0</v>
      </c>
      <c r="P182" s="26" t="n">
        <v>0</v>
      </c>
      <c r="Q182" s="24" t="n">
        <f aca="false">IF(O182=1,1/(1+EXP(-(P182-Inputs!$B$12)/Inputs!$B$13)),0)</f>
        <v>0</v>
      </c>
      <c r="R182" s="24" t="n">
        <f aca="false">N182*O182</f>
        <v>0</v>
      </c>
      <c r="S182" s="12" t="n">
        <f aca="false">N182*Q182</f>
        <v>0</v>
      </c>
      <c r="T182" s="24" t="n">
        <f aca="false">N182^2</f>
        <v>0.301320011043619</v>
      </c>
    </row>
    <row r="183" customFormat="false" ht="15" hidden="false" customHeight="false" outlineLevel="0" collapsed="false">
      <c r="A183" s="5" t="s">
        <v>435</v>
      </c>
      <c r="B183" s="5" t="s">
        <v>155</v>
      </c>
      <c r="C183" s="5" t="s">
        <v>54</v>
      </c>
      <c r="D183" s="5" t="s">
        <v>66</v>
      </c>
      <c r="E183" s="5" t="s">
        <v>71</v>
      </c>
      <c r="F183" s="26" t="n">
        <v>90.41</v>
      </c>
      <c r="G183" s="26" t="n">
        <v>88.16</v>
      </c>
      <c r="H183" s="30" t="n">
        <v>1.521</v>
      </c>
      <c r="I183" s="28" t="n">
        <f aca="false">H183*G183/3.6</f>
        <v>37.2476</v>
      </c>
      <c r="J183" s="30" t="n">
        <v>5.48</v>
      </c>
      <c r="K183" s="30" t="n">
        <v>0.692</v>
      </c>
      <c r="L183" s="30" t="n">
        <v>1.178</v>
      </c>
      <c r="M183" s="30" t="n">
        <v>7.5</v>
      </c>
      <c r="N183" s="25" t="n">
        <v>1.61461667464276</v>
      </c>
      <c r="O183" s="17" t="n">
        <v>0</v>
      </c>
      <c r="P183" s="26" t="n">
        <v>0</v>
      </c>
      <c r="Q183" s="24" t="n">
        <f aca="false">IF(O183=1,1/(1+EXP(-(P183-Inputs!$B$12)/Inputs!$B$13)),0)</f>
        <v>0</v>
      </c>
      <c r="R183" s="24" t="n">
        <f aca="false">N183*O183</f>
        <v>0</v>
      </c>
      <c r="S183" s="12" t="n">
        <f aca="false">N183*Q183</f>
        <v>0</v>
      </c>
      <c r="T183" s="24" t="n">
        <f aca="false">N183^2</f>
        <v>2.60698700603445</v>
      </c>
    </row>
    <row r="184" customFormat="false" ht="15" hidden="false" customHeight="false" outlineLevel="0" collapsed="false">
      <c r="A184" s="5" t="s">
        <v>436</v>
      </c>
      <c r="B184" s="5" t="s">
        <v>155</v>
      </c>
      <c r="C184" s="5" t="s">
        <v>54</v>
      </c>
      <c r="D184" s="5" t="s">
        <v>66</v>
      </c>
      <c r="E184" s="5" t="s">
        <v>71</v>
      </c>
      <c r="F184" s="26" t="n">
        <v>81.37</v>
      </c>
      <c r="G184" s="26" t="n">
        <v>77.84</v>
      </c>
      <c r="H184" s="30" t="n">
        <v>1.572</v>
      </c>
      <c r="I184" s="28" t="n">
        <f aca="false">H184*G184/3.6</f>
        <v>33.9901333333333</v>
      </c>
      <c r="J184" s="30" t="n">
        <v>3.06</v>
      </c>
      <c r="K184" s="30" t="n">
        <v>1.192</v>
      </c>
      <c r="L184" s="30" t="n">
        <v>3.374</v>
      </c>
      <c r="M184" s="30" t="n">
        <v>5.54</v>
      </c>
      <c r="N184" s="25" t="n">
        <v>0.00461454295704399</v>
      </c>
      <c r="O184" s="17" t="n">
        <v>0</v>
      </c>
      <c r="P184" s="26" t="n">
        <v>0</v>
      </c>
      <c r="Q184" s="24" t="n">
        <f aca="false">IF(O184=1,1/(1+EXP(-(P184-Inputs!$B$12)/Inputs!$B$13)),0)</f>
        <v>0</v>
      </c>
      <c r="R184" s="24" t="n">
        <f aca="false">N184*O184</f>
        <v>0</v>
      </c>
      <c r="S184" s="12" t="n">
        <f aca="false">N184*Q184</f>
        <v>0</v>
      </c>
      <c r="T184" s="24" t="n">
        <f aca="false">N184^2</f>
        <v>2.12940067024043E-005</v>
      </c>
    </row>
    <row r="185" customFormat="false" ht="15" hidden="false" customHeight="false" outlineLevel="0" collapsed="false">
      <c r="A185" s="5" t="s">
        <v>437</v>
      </c>
      <c r="B185" s="5" t="s">
        <v>155</v>
      </c>
      <c r="C185" s="5" t="s">
        <v>54</v>
      </c>
      <c r="D185" s="5" t="s">
        <v>66</v>
      </c>
      <c r="E185" s="5" t="s">
        <v>71</v>
      </c>
      <c r="F185" s="26" t="n">
        <v>93.48</v>
      </c>
      <c r="G185" s="26" t="n">
        <v>98.08</v>
      </c>
      <c r="H185" s="30" t="n">
        <v>1.609</v>
      </c>
      <c r="I185" s="28" t="n">
        <f aca="false">H185*G185/3.6</f>
        <v>43.8363111111111</v>
      </c>
      <c r="J185" s="30" t="n">
        <v>5.34</v>
      </c>
      <c r="K185" s="30" t="n">
        <v>1.473</v>
      </c>
      <c r="L185" s="30" t="n">
        <v>2.118</v>
      </c>
      <c r="M185" s="30" t="n">
        <v>5.84</v>
      </c>
      <c r="N185" s="25" t="n">
        <v>0.0469744003787565</v>
      </c>
      <c r="O185" s="17" t="n">
        <v>0</v>
      </c>
      <c r="P185" s="26" t="n">
        <v>0</v>
      </c>
      <c r="Q185" s="24" t="n">
        <f aca="false">IF(O185=1,1/(1+EXP(-(P185-Inputs!$B$12)/Inputs!$B$13)),0)</f>
        <v>0</v>
      </c>
      <c r="R185" s="24" t="n">
        <f aca="false">N185*O185</f>
        <v>0</v>
      </c>
      <c r="S185" s="12" t="n">
        <f aca="false">N185*Q185</f>
        <v>0</v>
      </c>
      <c r="T185" s="24" t="n">
        <f aca="false">N185^2</f>
        <v>0.00220659429094372</v>
      </c>
    </row>
    <row r="186" customFormat="false" ht="15" hidden="false" customHeight="false" outlineLevel="0" collapsed="false">
      <c r="A186" s="5" t="s">
        <v>438</v>
      </c>
      <c r="B186" s="5" t="s">
        <v>156</v>
      </c>
      <c r="C186" s="5" t="s">
        <v>54</v>
      </c>
      <c r="D186" s="5" t="s">
        <v>66</v>
      </c>
      <c r="E186" s="5" t="s">
        <v>72</v>
      </c>
      <c r="F186" s="26" t="n">
        <v>82.69</v>
      </c>
      <c r="G186" s="26" t="n">
        <v>81.95</v>
      </c>
      <c r="H186" s="30" t="n">
        <v>1.088</v>
      </c>
      <c r="I186" s="28" t="n">
        <f aca="false">H186*G186/3.6</f>
        <v>24.7671111111111</v>
      </c>
      <c r="J186" s="30" t="n">
        <v>4.11</v>
      </c>
      <c r="K186" s="30" t="n">
        <v>1.581</v>
      </c>
      <c r="L186" s="30" t="n">
        <v>1.757</v>
      </c>
      <c r="M186" s="30" t="n">
        <v>7.47</v>
      </c>
      <c r="N186" s="25" t="n">
        <v>0.0587416187485481</v>
      </c>
      <c r="O186" s="17" t="n">
        <v>0</v>
      </c>
      <c r="P186" s="26" t="n">
        <v>0</v>
      </c>
      <c r="Q186" s="24" t="n">
        <f aca="false">IF(O186=1,1/(1+EXP(-(P186-Inputs!$B$12)/Inputs!$B$13)),0)</f>
        <v>0</v>
      </c>
      <c r="R186" s="24" t="n">
        <f aca="false">N186*O186</f>
        <v>0</v>
      </c>
      <c r="S186" s="12" t="n">
        <f aca="false">N186*Q186</f>
        <v>0</v>
      </c>
      <c r="T186" s="24" t="n">
        <f aca="false">N186^2</f>
        <v>0.00345057777319977</v>
      </c>
    </row>
    <row r="187" customFormat="false" ht="15" hidden="false" customHeight="false" outlineLevel="0" collapsed="false">
      <c r="A187" s="5" t="s">
        <v>439</v>
      </c>
      <c r="B187" s="5" t="s">
        <v>156</v>
      </c>
      <c r="C187" s="5" t="s">
        <v>54</v>
      </c>
      <c r="D187" s="5" t="s">
        <v>66</v>
      </c>
      <c r="E187" s="5" t="s">
        <v>72</v>
      </c>
      <c r="F187" s="26" t="n">
        <v>89.94</v>
      </c>
      <c r="G187" s="26" t="n">
        <v>91.56</v>
      </c>
      <c r="H187" s="30" t="n">
        <v>1.269</v>
      </c>
      <c r="I187" s="28" t="n">
        <f aca="false">H187*G187/3.6</f>
        <v>32.2749</v>
      </c>
      <c r="J187" s="30" t="n">
        <v>2.63</v>
      </c>
      <c r="K187" s="30" t="n">
        <v>1.418</v>
      </c>
      <c r="L187" s="30" t="n">
        <v>2.511</v>
      </c>
      <c r="M187" s="30" t="n">
        <v>4.02</v>
      </c>
      <c r="N187" s="25" t="n">
        <v>0.0522890445148906</v>
      </c>
      <c r="O187" s="17" t="n">
        <v>0</v>
      </c>
      <c r="P187" s="26" t="n">
        <v>0</v>
      </c>
      <c r="Q187" s="24" t="n">
        <f aca="false">IF(O187=1,1/(1+EXP(-(P187-Inputs!$B$12)/Inputs!$B$13)),0)</f>
        <v>0</v>
      </c>
      <c r="R187" s="24" t="n">
        <f aca="false">N187*O187</f>
        <v>0</v>
      </c>
      <c r="S187" s="12" t="n">
        <f aca="false">N187*Q187</f>
        <v>0</v>
      </c>
      <c r="T187" s="24" t="n">
        <f aca="false">N187^2</f>
        <v>0.00273414417628021</v>
      </c>
    </row>
    <row r="188" customFormat="false" ht="15" hidden="false" customHeight="false" outlineLevel="0" collapsed="false">
      <c r="A188" s="5" t="s">
        <v>440</v>
      </c>
      <c r="B188" s="5" t="s">
        <v>156</v>
      </c>
      <c r="C188" s="5" t="s">
        <v>54</v>
      </c>
      <c r="D188" s="5" t="s">
        <v>66</v>
      </c>
      <c r="E188" s="5" t="s">
        <v>72</v>
      </c>
      <c r="F188" s="26" t="n">
        <v>84.95</v>
      </c>
      <c r="G188" s="26" t="n">
        <v>83.32</v>
      </c>
      <c r="H188" s="30" t="n">
        <v>1.37</v>
      </c>
      <c r="I188" s="28" t="n">
        <f aca="false">H188*G188/3.6</f>
        <v>31.7078888888889</v>
      </c>
      <c r="J188" s="30" t="n">
        <v>2.82</v>
      </c>
      <c r="K188" s="30" t="n">
        <v>1.057</v>
      </c>
      <c r="L188" s="30" t="n">
        <v>1.274</v>
      </c>
      <c r="M188" s="30" t="n">
        <v>4.58</v>
      </c>
      <c r="N188" s="25" t="n">
        <v>2.07386337902205</v>
      </c>
      <c r="O188" s="17" t="n">
        <v>0</v>
      </c>
      <c r="P188" s="26" t="n">
        <v>0</v>
      </c>
      <c r="Q188" s="24" t="n">
        <f aca="false">IF(O188=1,1/(1+EXP(-(P188-Inputs!$B$12)/Inputs!$B$13)),0)</f>
        <v>0</v>
      </c>
      <c r="R188" s="24" t="n">
        <f aca="false">N188*O188</f>
        <v>0</v>
      </c>
      <c r="S188" s="12" t="n">
        <f aca="false">N188*Q188</f>
        <v>0</v>
      </c>
      <c r="T188" s="24" t="n">
        <f aca="false">N188^2</f>
        <v>4.30090931484877</v>
      </c>
    </row>
    <row r="189" customFormat="false" ht="15" hidden="false" customHeight="false" outlineLevel="0" collapsed="false">
      <c r="A189" s="5" t="s">
        <v>441</v>
      </c>
      <c r="B189" s="5" t="s">
        <v>156</v>
      </c>
      <c r="C189" s="5" t="s">
        <v>54</v>
      </c>
      <c r="D189" s="5" t="s">
        <v>66</v>
      </c>
      <c r="E189" s="5" t="s">
        <v>72</v>
      </c>
      <c r="F189" s="26" t="n">
        <v>80.06</v>
      </c>
      <c r="G189" s="26" t="n">
        <v>80.92</v>
      </c>
      <c r="H189" s="30" t="n">
        <v>1.121</v>
      </c>
      <c r="I189" s="28" t="n">
        <f aca="false">H189*G189/3.6</f>
        <v>25.1975888888889</v>
      </c>
      <c r="J189" s="30" t="n">
        <v>3.16</v>
      </c>
      <c r="K189" s="30" t="n">
        <v>1.276</v>
      </c>
      <c r="L189" s="30" t="n">
        <v>1.306</v>
      </c>
      <c r="M189" s="30" t="n">
        <v>5.26</v>
      </c>
      <c r="N189" s="25" t="n">
        <v>0.603927669497589</v>
      </c>
      <c r="O189" s="17" t="n">
        <v>0</v>
      </c>
      <c r="P189" s="26" t="n">
        <v>0</v>
      </c>
      <c r="Q189" s="24" t="n">
        <f aca="false">IF(O189=1,1/(1+EXP(-(P189-Inputs!$B$12)/Inputs!$B$13)),0)</f>
        <v>0</v>
      </c>
      <c r="R189" s="24" t="n">
        <f aca="false">N189*O189</f>
        <v>0</v>
      </c>
      <c r="S189" s="12" t="n">
        <f aca="false">N189*Q189</f>
        <v>0</v>
      </c>
      <c r="T189" s="24" t="n">
        <f aca="false">N189^2</f>
        <v>0.364728629984789</v>
      </c>
    </row>
    <row r="190" customFormat="false" ht="15" hidden="false" customHeight="false" outlineLevel="0" collapsed="false">
      <c r="A190" s="5" t="s">
        <v>442</v>
      </c>
      <c r="B190" s="5" t="s">
        <v>156</v>
      </c>
      <c r="C190" s="5" t="s">
        <v>54</v>
      </c>
      <c r="D190" s="5" t="s">
        <v>66</v>
      </c>
      <c r="E190" s="5" t="s">
        <v>72</v>
      </c>
      <c r="F190" s="26" t="n">
        <v>90.08</v>
      </c>
      <c r="G190" s="26" t="n">
        <v>89.87</v>
      </c>
      <c r="H190" s="30" t="n">
        <v>1.31</v>
      </c>
      <c r="I190" s="28" t="n">
        <f aca="false">H190*G190/3.6</f>
        <v>32.7026944444445</v>
      </c>
      <c r="J190" s="30" t="n">
        <v>5.91</v>
      </c>
      <c r="K190" s="30" t="n">
        <v>0.65</v>
      </c>
      <c r="L190" s="30" t="n">
        <v>1.421</v>
      </c>
      <c r="M190" s="30" t="n">
        <v>5.62</v>
      </c>
      <c r="N190" s="25" t="n">
        <v>2.01776612981684</v>
      </c>
      <c r="O190" s="17" t="n">
        <v>0</v>
      </c>
      <c r="P190" s="26" t="n">
        <v>0</v>
      </c>
      <c r="Q190" s="24" t="n">
        <f aca="false">IF(O190=1,1/(1+EXP(-(P190-Inputs!$B$12)/Inputs!$B$13)),0)</f>
        <v>0</v>
      </c>
      <c r="R190" s="24" t="n">
        <f aca="false">N190*O190</f>
        <v>0</v>
      </c>
      <c r="S190" s="12" t="n">
        <f aca="false">N190*Q190</f>
        <v>0</v>
      </c>
      <c r="T190" s="24" t="n">
        <f aca="false">N190^2</f>
        <v>4.07138015463601</v>
      </c>
    </row>
    <row r="191" customFormat="false" ht="15" hidden="false" customHeight="false" outlineLevel="0" collapsed="false">
      <c r="A191" s="5" t="s">
        <v>443</v>
      </c>
      <c r="B191" s="5" t="s">
        <v>156</v>
      </c>
      <c r="C191" s="5" t="s">
        <v>54</v>
      </c>
      <c r="D191" s="5" t="s">
        <v>66</v>
      </c>
      <c r="E191" s="5" t="s">
        <v>72</v>
      </c>
      <c r="F191" s="26" t="n">
        <v>79.57</v>
      </c>
      <c r="G191" s="26" t="n">
        <v>78.67</v>
      </c>
      <c r="H191" s="30" t="n">
        <v>1.035</v>
      </c>
      <c r="I191" s="28" t="n">
        <f aca="false">H191*G191/3.6</f>
        <v>22.617625</v>
      </c>
      <c r="J191" s="30" t="n">
        <v>4.57</v>
      </c>
      <c r="K191" s="30" t="n">
        <v>2.575</v>
      </c>
      <c r="L191" s="30" t="n">
        <v>0.809</v>
      </c>
      <c r="M191" s="30" t="n">
        <v>5.92</v>
      </c>
      <c r="N191" s="25" t="n">
        <v>0.450534307973832</v>
      </c>
      <c r="O191" s="17" t="n">
        <v>0</v>
      </c>
      <c r="P191" s="26" t="n">
        <v>0</v>
      </c>
      <c r="Q191" s="24" t="n">
        <f aca="false">IF(O191=1,1/(1+EXP(-(P191-Inputs!$B$12)/Inputs!$B$13)),0)</f>
        <v>0</v>
      </c>
      <c r="R191" s="24" t="n">
        <f aca="false">N191*O191</f>
        <v>0</v>
      </c>
      <c r="S191" s="12" t="n">
        <f aca="false">N191*Q191</f>
        <v>0</v>
      </c>
      <c r="T191" s="24" t="n">
        <f aca="false">N191^2</f>
        <v>0.20298116266146</v>
      </c>
    </row>
    <row r="192" customFormat="false" ht="15" hidden="false" customHeight="false" outlineLevel="0" collapsed="false">
      <c r="A192" s="5" t="s">
        <v>444</v>
      </c>
      <c r="B192" s="5" t="s">
        <v>156</v>
      </c>
      <c r="C192" s="5" t="s">
        <v>54</v>
      </c>
      <c r="D192" s="5" t="s">
        <v>66</v>
      </c>
      <c r="E192" s="5" t="s">
        <v>72</v>
      </c>
      <c r="F192" s="26" t="n">
        <v>86.93</v>
      </c>
      <c r="G192" s="26" t="n">
        <v>85.39</v>
      </c>
      <c r="H192" s="30" t="n">
        <v>1.19</v>
      </c>
      <c r="I192" s="28" t="n">
        <f aca="false">H192*G192/3.6</f>
        <v>28.2261388888889</v>
      </c>
      <c r="J192" s="30" t="n">
        <v>5.29</v>
      </c>
      <c r="K192" s="30" t="n">
        <v>1.448</v>
      </c>
      <c r="L192" s="30" t="n">
        <v>2.161</v>
      </c>
      <c r="M192" s="30" t="n">
        <v>6.73</v>
      </c>
      <c r="N192" s="25" t="n">
        <v>0.0361930480112846</v>
      </c>
      <c r="O192" s="17" t="n">
        <v>0</v>
      </c>
      <c r="P192" s="26" t="n">
        <v>0</v>
      </c>
      <c r="Q192" s="24" t="n">
        <f aca="false">IF(O192=1,1/(1+EXP(-(P192-Inputs!$B$12)/Inputs!$B$13)),0)</f>
        <v>0</v>
      </c>
      <c r="R192" s="24" t="n">
        <f aca="false">N192*O192</f>
        <v>0</v>
      </c>
      <c r="S192" s="12" t="n">
        <f aca="false">N192*Q192</f>
        <v>0</v>
      </c>
      <c r="T192" s="24" t="n">
        <f aca="false">N192^2</f>
        <v>0.00130993672434715</v>
      </c>
    </row>
    <row r="193" customFormat="false" ht="15" hidden="false" customHeight="false" outlineLevel="0" collapsed="false">
      <c r="A193" s="5" t="s">
        <v>445</v>
      </c>
      <c r="B193" s="5" t="s">
        <v>156</v>
      </c>
      <c r="C193" s="5" t="s">
        <v>54</v>
      </c>
      <c r="D193" s="5" t="s">
        <v>66</v>
      </c>
      <c r="E193" s="5" t="s">
        <v>72</v>
      </c>
      <c r="F193" s="26" t="n">
        <v>75.07</v>
      </c>
      <c r="G193" s="26" t="n">
        <v>76.66</v>
      </c>
      <c r="H193" s="30" t="n">
        <v>1.005</v>
      </c>
      <c r="I193" s="28" t="n">
        <f aca="false">H193*G193/3.6</f>
        <v>21.4009166666667</v>
      </c>
      <c r="J193" s="30" t="n">
        <v>5.07</v>
      </c>
      <c r="K193" s="30" t="n">
        <v>2.973</v>
      </c>
      <c r="L193" s="30" t="n">
        <v>1.923</v>
      </c>
      <c r="M193" s="30" t="n">
        <v>6.11</v>
      </c>
      <c r="N193" s="25" t="n">
        <v>0.0240929688466754</v>
      </c>
      <c r="O193" s="17" t="n">
        <v>1</v>
      </c>
      <c r="P193" s="26" t="n">
        <v>30.43</v>
      </c>
      <c r="Q193" s="24" t="n">
        <f aca="false">IF(O193=1,1/(1+EXP(-(P193-Inputs!$B$12)/Inputs!$B$13)),0)</f>
        <v>0.110915012855654</v>
      </c>
      <c r="R193" s="24" t="n">
        <f aca="false">N193*O193</f>
        <v>0.0240929688466754</v>
      </c>
      <c r="S193" s="12" t="n">
        <f aca="false">N193*Q193</f>
        <v>0.00267227194935986</v>
      </c>
      <c r="T193" s="24" t="n">
        <f aca="false">N193^2</f>
        <v>0.000580471147846871</v>
      </c>
    </row>
    <row r="194" customFormat="false" ht="15" hidden="false" customHeight="false" outlineLevel="0" collapsed="false">
      <c r="A194" s="5" t="s">
        <v>446</v>
      </c>
      <c r="B194" s="5" t="s">
        <v>156</v>
      </c>
      <c r="C194" s="5" t="s">
        <v>54</v>
      </c>
      <c r="D194" s="5" t="s">
        <v>66</v>
      </c>
      <c r="E194" s="5" t="s">
        <v>72</v>
      </c>
      <c r="F194" s="26" t="n">
        <v>80.61</v>
      </c>
      <c r="G194" s="26" t="n">
        <v>81.71</v>
      </c>
      <c r="H194" s="30" t="n">
        <v>1.012</v>
      </c>
      <c r="I194" s="28" t="n">
        <f aca="false">H194*G194/3.6</f>
        <v>22.9695888888889</v>
      </c>
      <c r="J194" s="30" t="n">
        <v>4.76</v>
      </c>
      <c r="K194" s="30" t="n">
        <v>0.44</v>
      </c>
      <c r="L194" s="30" t="n">
        <v>2.257</v>
      </c>
      <c r="M194" s="30" t="n">
        <v>4.33</v>
      </c>
      <c r="N194" s="25" t="n">
        <v>0.808836394225092</v>
      </c>
      <c r="O194" s="17" t="n">
        <v>0</v>
      </c>
      <c r="P194" s="26" t="n">
        <v>0</v>
      </c>
      <c r="Q194" s="24" t="n">
        <f aca="false">IF(O194=1,1/(1+EXP(-(P194-Inputs!$B$12)/Inputs!$B$13)),0)</f>
        <v>0</v>
      </c>
      <c r="R194" s="24" t="n">
        <f aca="false">N194*O194</f>
        <v>0</v>
      </c>
      <c r="S194" s="12" t="n">
        <f aca="false">N194*Q194</f>
        <v>0</v>
      </c>
      <c r="T194" s="24" t="n">
        <f aca="false">N194^2</f>
        <v>0.654216312623048</v>
      </c>
    </row>
    <row r="195" customFormat="false" ht="15" hidden="false" customHeight="false" outlineLevel="0" collapsed="false">
      <c r="A195" s="5" t="s">
        <v>447</v>
      </c>
      <c r="B195" s="5" t="s">
        <v>156</v>
      </c>
      <c r="C195" s="5" t="s">
        <v>54</v>
      </c>
      <c r="D195" s="5" t="s">
        <v>66</v>
      </c>
      <c r="E195" s="5" t="s">
        <v>72</v>
      </c>
      <c r="F195" s="26" t="n">
        <v>88.91</v>
      </c>
      <c r="G195" s="26" t="n">
        <v>88.25</v>
      </c>
      <c r="H195" s="30" t="n">
        <v>1.021</v>
      </c>
      <c r="I195" s="28" t="n">
        <f aca="false">H195*G195/3.6</f>
        <v>25.0286805555556</v>
      </c>
      <c r="J195" s="30" t="n">
        <v>4.26</v>
      </c>
      <c r="K195" s="30" t="n">
        <v>1.416</v>
      </c>
      <c r="L195" s="30" t="n">
        <v>3.056</v>
      </c>
      <c r="M195" s="30" t="n">
        <v>5.53</v>
      </c>
      <c r="N195" s="25" t="n">
        <v>0.00796782505962002</v>
      </c>
      <c r="O195" s="17" t="n">
        <v>0</v>
      </c>
      <c r="P195" s="26" t="n">
        <v>0</v>
      </c>
      <c r="Q195" s="24" t="n">
        <f aca="false">IF(O195=1,1/(1+EXP(-(P195-Inputs!$B$12)/Inputs!$B$13)),0)</f>
        <v>0</v>
      </c>
      <c r="R195" s="24" t="n">
        <f aca="false">N195*O195</f>
        <v>0</v>
      </c>
      <c r="S195" s="12" t="n">
        <f aca="false">N195*Q195</f>
        <v>0</v>
      </c>
      <c r="T195" s="24" t="n">
        <f aca="false">N195^2</f>
        <v>6.34862361807088E-005</v>
      </c>
    </row>
    <row r="196" customFormat="false" ht="15" hidden="false" customHeight="false" outlineLevel="0" collapsed="false">
      <c r="A196" s="5" t="s">
        <v>448</v>
      </c>
      <c r="B196" s="5" t="s">
        <v>157</v>
      </c>
      <c r="C196" s="5" t="s">
        <v>54</v>
      </c>
      <c r="D196" s="5" t="s">
        <v>66</v>
      </c>
      <c r="E196" s="5" t="s">
        <v>73</v>
      </c>
      <c r="F196" s="26" t="n">
        <v>90.9</v>
      </c>
      <c r="G196" s="26" t="n">
        <v>89.01</v>
      </c>
      <c r="H196" s="30" t="n">
        <v>0.734</v>
      </c>
      <c r="I196" s="28" t="n">
        <f aca="false">H196*G196/3.6</f>
        <v>18.14815</v>
      </c>
      <c r="J196" s="30" t="n">
        <v>5.49</v>
      </c>
      <c r="K196" s="30" t="n">
        <v>1.513</v>
      </c>
      <c r="L196" s="30" t="n">
        <v>1.121</v>
      </c>
      <c r="M196" s="30" t="n">
        <v>7.5</v>
      </c>
      <c r="N196" s="25" t="n">
        <v>0.400584753133434</v>
      </c>
      <c r="O196" s="17" t="n">
        <v>0</v>
      </c>
      <c r="P196" s="26" t="n">
        <v>0</v>
      </c>
      <c r="Q196" s="24" t="n">
        <f aca="false">IF(O196=1,1/(1+EXP(-(P196-Inputs!$B$12)/Inputs!$B$13)),0)</f>
        <v>0</v>
      </c>
      <c r="R196" s="24" t="n">
        <f aca="false">N196*O196</f>
        <v>0</v>
      </c>
      <c r="S196" s="12" t="n">
        <f aca="false">N196*Q196</f>
        <v>0</v>
      </c>
      <c r="T196" s="24" t="n">
        <f aca="false">N196^2</f>
        <v>0.160468144442974</v>
      </c>
    </row>
    <row r="197" customFormat="false" ht="15" hidden="false" customHeight="false" outlineLevel="0" collapsed="false">
      <c r="A197" s="5" t="s">
        <v>449</v>
      </c>
      <c r="B197" s="5" t="s">
        <v>157</v>
      </c>
      <c r="C197" s="5" t="s">
        <v>54</v>
      </c>
      <c r="D197" s="5" t="s">
        <v>66</v>
      </c>
      <c r="E197" s="5" t="s">
        <v>73</v>
      </c>
      <c r="F197" s="26" t="n">
        <v>94.47</v>
      </c>
      <c r="G197" s="26" t="n">
        <v>95.87</v>
      </c>
      <c r="H197" s="30" t="n">
        <v>0.643</v>
      </c>
      <c r="I197" s="28" t="n">
        <f aca="false">H197*G197/3.6</f>
        <v>17.1234472222222</v>
      </c>
      <c r="J197" s="30" t="n">
        <v>3.8</v>
      </c>
      <c r="K197" s="30" t="n">
        <v>1.155</v>
      </c>
      <c r="L197" s="30" t="n">
        <v>1.715</v>
      </c>
      <c r="M197" s="30" t="n">
        <v>5.84</v>
      </c>
      <c r="N197" s="25" t="n">
        <v>0.200638872844225</v>
      </c>
      <c r="O197" s="17" t="n">
        <v>0</v>
      </c>
      <c r="P197" s="26" t="n">
        <v>0</v>
      </c>
      <c r="Q197" s="24" t="n">
        <f aca="false">IF(O197=1,1/(1+EXP(-(P197-Inputs!$B$12)/Inputs!$B$13)),0)</f>
        <v>0</v>
      </c>
      <c r="R197" s="24" t="n">
        <f aca="false">N197*O197</f>
        <v>0</v>
      </c>
      <c r="S197" s="12" t="n">
        <f aca="false">N197*Q197</f>
        <v>0</v>
      </c>
      <c r="T197" s="24" t="n">
        <f aca="false">N197^2</f>
        <v>0.0402559572962013</v>
      </c>
    </row>
    <row r="198" customFormat="false" ht="15" hidden="false" customHeight="false" outlineLevel="0" collapsed="false">
      <c r="A198" s="5" t="s">
        <v>450</v>
      </c>
      <c r="B198" s="5" t="s">
        <v>157</v>
      </c>
      <c r="C198" s="5" t="s">
        <v>54</v>
      </c>
      <c r="D198" s="5" t="s">
        <v>66</v>
      </c>
      <c r="E198" s="5" t="s">
        <v>73</v>
      </c>
      <c r="F198" s="26" t="n">
        <v>86.63</v>
      </c>
      <c r="G198" s="26" t="n">
        <v>88.57</v>
      </c>
      <c r="H198" s="30" t="n">
        <v>0.782</v>
      </c>
      <c r="I198" s="28" t="n">
        <f aca="false">H198*G198/3.6</f>
        <v>19.2393722222222</v>
      </c>
      <c r="J198" s="30" t="n">
        <v>2.74</v>
      </c>
      <c r="K198" s="30" t="n">
        <v>1.096</v>
      </c>
      <c r="L198" s="30" t="n">
        <v>1.295</v>
      </c>
      <c r="M198" s="30" t="n">
        <v>4.04</v>
      </c>
      <c r="N198" s="25" t="n">
        <v>1.47693442409654</v>
      </c>
      <c r="O198" s="17" t="n">
        <v>0</v>
      </c>
      <c r="P198" s="26" t="n">
        <v>0</v>
      </c>
      <c r="Q198" s="24" t="n">
        <f aca="false">IF(O198=1,1/(1+EXP(-(P198-Inputs!$B$12)/Inputs!$B$13)),0)</f>
        <v>0</v>
      </c>
      <c r="R198" s="24" t="n">
        <f aca="false">N198*O198</f>
        <v>0</v>
      </c>
      <c r="S198" s="12" t="n">
        <f aca="false">N198*Q198</f>
        <v>0</v>
      </c>
      <c r="T198" s="24" t="n">
        <f aca="false">N198^2</f>
        <v>2.18133529308139</v>
      </c>
    </row>
    <row r="199" customFormat="false" ht="15" hidden="false" customHeight="false" outlineLevel="0" collapsed="false">
      <c r="A199" s="5" t="s">
        <v>451</v>
      </c>
      <c r="B199" s="5" t="s">
        <v>157</v>
      </c>
      <c r="C199" s="5" t="s">
        <v>54</v>
      </c>
      <c r="D199" s="5" t="s">
        <v>66</v>
      </c>
      <c r="E199" s="5" t="s">
        <v>73</v>
      </c>
      <c r="F199" s="26" t="n">
        <v>90.69</v>
      </c>
      <c r="G199" s="26" t="n">
        <v>91.12</v>
      </c>
      <c r="H199" s="30" t="n">
        <v>0.633</v>
      </c>
      <c r="I199" s="28" t="n">
        <f aca="false">H199*G199/3.6</f>
        <v>16.0219333333333</v>
      </c>
      <c r="J199" s="30" t="n">
        <v>5.28</v>
      </c>
      <c r="K199" s="30" t="n">
        <v>0.514</v>
      </c>
      <c r="L199" s="30" t="n">
        <v>1.963</v>
      </c>
      <c r="M199" s="30" t="n">
        <v>5.72</v>
      </c>
      <c r="N199" s="25" t="n">
        <v>0.560125150904522</v>
      </c>
      <c r="O199" s="17" t="n">
        <v>0</v>
      </c>
      <c r="P199" s="26" t="n">
        <v>0</v>
      </c>
      <c r="Q199" s="24" t="n">
        <f aca="false">IF(O199=1,1/(1+EXP(-(P199-Inputs!$B$12)/Inputs!$B$13)),0)</f>
        <v>0</v>
      </c>
      <c r="R199" s="24" t="n">
        <f aca="false">N199*O199</f>
        <v>0</v>
      </c>
      <c r="S199" s="12" t="n">
        <f aca="false">N199*Q199</f>
        <v>0</v>
      </c>
      <c r="T199" s="24" t="n">
        <f aca="false">N199^2</f>
        <v>0.313740184675814</v>
      </c>
    </row>
    <row r="200" customFormat="false" ht="15" hidden="false" customHeight="false" outlineLevel="0" collapsed="false">
      <c r="A200" s="5" t="s">
        <v>452</v>
      </c>
      <c r="B200" s="5" t="s">
        <v>157</v>
      </c>
      <c r="C200" s="5" t="s">
        <v>54</v>
      </c>
      <c r="D200" s="5" t="s">
        <v>66</v>
      </c>
      <c r="E200" s="5" t="s">
        <v>73</v>
      </c>
      <c r="F200" s="26" t="n">
        <v>93.8</v>
      </c>
      <c r="G200" s="26" t="n">
        <v>92.32</v>
      </c>
      <c r="H200" s="30" t="n">
        <v>0.68</v>
      </c>
      <c r="I200" s="28" t="n">
        <f aca="false">H200*G200/3.6</f>
        <v>17.4382222222222</v>
      </c>
      <c r="J200" s="30" t="n">
        <v>4.07</v>
      </c>
      <c r="K200" s="30" t="n">
        <v>0.945</v>
      </c>
      <c r="L200" s="30" t="n">
        <v>2.026</v>
      </c>
      <c r="M200" s="30" t="n">
        <v>7.25</v>
      </c>
      <c r="N200" s="25" t="n">
        <v>0.0876713260773822</v>
      </c>
      <c r="O200" s="17" t="n">
        <v>0</v>
      </c>
      <c r="P200" s="26" t="n">
        <v>0</v>
      </c>
      <c r="Q200" s="24" t="n">
        <f aca="false">IF(O200=1,1/(1+EXP(-(P200-Inputs!$B$12)/Inputs!$B$13)),0)</f>
        <v>0</v>
      </c>
      <c r="R200" s="24" t="n">
        <f aca="false">N200*O200</f>
        <v>0</v>
      </c>
      <c r="S200" s="12" t="n">
        <f aca="false">N200*Q200</f>
        <v>0</v>
      </c>
      <c r="T200" s="24" t="n">
        <f aca="false">N200^2</f>
        <v>0.00768626141616668</v>
      </c>
    </row>
    <row r="201" customFormat="false" ht="15" hidden="false" customHeight="false" outlineLevel="0" collapsed="false">
      <c r="A201" s="5" t="s">
        <v>453</v>
      </c>
      <c r="B201" s="5" t="s">
        <v>157</v>
      </c>
      <c r="C201" s="5" t="s">
        <v>54</v>
      </c>
      <c r="D201" s="5" t="s">
        <v>66</v>
      </c>
      <c r="E201" s="5" t="s">
        <v>73</v>
      </c>
      <c r="F201" s="26" t="n">
        <v>77.12</v>
      </c>
      <c r="G201" s="26" t="n">
        <v>78.94</v>
      </c>
      <c r="H201" s="30" t="n">
        <v>0.515</v>
      </c>
      <c r="I201" s="28" t="n">
        <f aca="false">H201*G201/3.6</f>
        <v>11.2928055555556</v>
      </c>
      <c r="J201" s="30" t="n">
        <v>5.35</v>
      </c>
      <c r="K201" s="30" t="n">
        <v>1.17</v>
      </c>
      <c r="L201" s="30" t="n">
        <v>1.862</v>
      </c>
      <c r="M201" s="30" t="n">
        <v>6.55</v>
      </c>
      <c r="N201" s="25" t="n">
        <v>0.137482732659615</v>
      </c>
      <c r="O201" s="17" t="n">
        <v>1</v>
      </c>
      <c r="P201" s="26" t="n">
        <v>14.62</v>
      </c>
      <c r="Q201" s="24" t="n">
        <f aca="false">IF(O201=1,1/(1+EXP(-(P201-Inputs!$B$12)/Inputs!$B$13)),0)</f>
        <v>0.0128687641960525</v>
      </c>
      <c r="R201" s="24" t="n">
        <f aca="false">N201*O201</f>
        <v>0.137482732659615</v>
      </c>
      <c r="S201" s="12" t="n">
        <f aca="false">N201*Q201</f>
        <v>0.00176923286762551</v>
      </c>
      <c r="T201" s="24" t="n">
        <f aca="false">N201^2</f>
        <v>0.0189015017795551</v>
      </c>
    </row>
    <row r="202" customFormat="false" ht="15" hidden="false" customHeight="false" outlineLevel="0" collapsed="false">
      <c r="A202" s="5" t="s">
        <v>454</v>
      </c>
      <c r="B202" s="5" t="s">
        <v>157</v>
      </c>
      <c r="C202" s="5" t="s">
        <v>54</v>
      </c>
      <c r="D202" s="5" t="s">
        <v>66</v>
      </c>
      <c r="E202" s="5" t="s">
        <v>73</v>
      </c>
      <c r="F202" s="26" t="n">
        <v>88.97</v>
      </c>
      <c r="G202" s="26" t="n">
        <v>94.45</v>
      </c>
      <c r="H202" s="30" t="n">
        <v>0.553</v>
      </c>
      <c r="I202" s="28" t="n">
        <f aca="false">H202*G202/3.6</f>
        <v>14.5085694444444</v>
      </c>
      <c r="J202" s="30" t="n">
        <v>3.74</v>
      </c>
      <c r="K202" s="30" t="n">
        <v>1.19</v>
      </c>
      <c r="L202" s="30" t="n">
        <v>3.336</v>
      </c>
      <c r="M202" s="30" t="n">
        <v>3.93</v>
      </c>
      <c r="N202" s="25" t="n">
        <v>0.0120542216939078</v>
      </c>
      <c r="O202" s="17" t="n">
        <v>1</v>
      </c>
      <c r="P202" s="26" t="n">
        <v>21.5</v>
      </c>
      <c r="Q202" s="24" t="n">
        <f aca="false">IF(O202=1,1/(1+EXP(-(P202-Inputs!$B$12)/Inputs!$B$13)),0)</f>
        <v>0.0336620392833985</v>
      </c>
      <c r="R202" s="24" t="n">
        <f aca="false">N202*O202</f>
        <v>0.0120542216939078</v>
      </c>
      <c r="S202" s="12" t="n">
        <f aca="false">N202*Q202</f>
        <v>0.00040576968419112</v>
      </c>
      <c r="T202" s="24" t="n">
        <f aca="false">N202^2</f>
        <v>0.000145304260645878</v>
      </c>
    </row>
    <row r="203" customFormat="false" ht="15" hidden="false" customHeight="false" outlineLevel="0" collapsed="false">
      <c r="A203" s="5" t="s">
        <v>455</v>
      </c>
      <c r="B203" s="5" t="s">
        <v>157</v>
      </c>
      <c r="C203" s="5" t="s">
        <v>54</v>
      </c>
      <c r="D203" s="5" t="s">
        <v>66</v>
      </c>
      <c r="E203" s="5" t="s">
        <v>73</v>
      </c>
      <c r="F203" s="26" t="n">
        <v>79.27</v>
      </c>
      <c r="G203" s="26" t="n">
        <v>82.19</v>
      </c>
      <c r="H203" s="30" t="n">
        <v>0.941</v>
      </c>
      <c r="I203" s="28" t="n">
        <f aca="false">H203*G203/3.6</f>
        <v>21.4835527777778</v>
      </c>
      <c r="J203" s="30" t="n">
        <v>2.71</v>
      </c>
      <c r="K203" s="30" t="n">
        <v>0.563</v>
      </c>
      <c r="L203" s="30" t="n">
        <v>1.526</v>
      </c>
      <c r="M203" s="30" t="n">
        <v>3.66</v>
      </c>
      <c r="N203" s="25" t="n">
        <v>14.012496654003</v>
      </c>
      <c r="O203" s="17" t="n">
        <v>0</v>
      </c>
      <c r="P203" s="26" t="n">
        <v>0</v>
      </c>
      <c r="Q203" s="24" t="n">
        <f aca="false">IF(O203=1,1/(1+EXP(-(P203-Inputs!$B$12)/Inputs!$B$13)),0)</f>
        <v>0</v>
      </c>
      <c r="R203" s="24" t="n">
        <f aca="false">N203*O203</f>
        <v>0</v>
      </c>
      <c r="S203" s="12" t="n">
        <f aca="false">N203*Q203</f>
        <v>0</v>
      </c>
      <c r="T203" s="24" t="n">
        <f aca="false">N203^2</f>
        <v>196.350062478445</v>
      </c>
    </row>
    <row r="204" customFormat="false" ht="15" hidden="false" customHeight="false" outlineLevel="0" collapsed="false">
      <c r="A204" s="5" t="s">
        <v>456</v>
      </c>
      <c r="B204" s="5" t="s">
        <v>157</v>
      </c>
      <c r="C204" s="5" t="s">
        <v>54</v>
      </c>
      <c r="D204" s="5" t="s">
        <v>66</v>
      </c>
      <c r="E204" s="5" t="s">
        <v>73</v>
      </c>
      <c r="F204" s="26" t="n">
        <v>76.35</v>
      </c>
      <c r="G204" s="26" t="n">
        <v>78.43</v>
      </c>
      <c r="H204" s="30" t="n">
        <v>0.507</v>
      </c>
      <c r="I204" s="28" t="n">
        <f aca="false">H204*G204/3.6</f>
        <v>11.0455583333333</v>
      </c>
      <c r="J204" s="30" t="n">
        <v>5.05</v>
      </c>
      <c r="K204" s="30" t="n">
        <v>0.579</v>
      </c>
      <c r="L204" s="30" t="n">
        <v>1.509</v>
      </c>
      <c r="M204" s="30" t="n">
        <v>5.08</v>
      </c>
      <c r="N204" s="25" t="n">
        <v>2.32459852165085</v>
      </c>
      <c r="O204" s="17" t="n">
        <v>0</v>
      </c>
      <c r="P204" s="26" t="n">
        <v>0</v>
      </c>
      <c r="Q204" s="24" t="n">
        <f aca="false">IF(O204=1,1/(1+EXP(-(P204-Inputs!$B$12)/Inputs!$B$13)),0)</f>
        <v>0</v>
      </c>
      <c r="R204" s="24" t="n">
        <f aca="false">N204*O204</f>
        <v>0</v>
      </c>
      <c r="S204" s="12" t="n">
        <f aca="false">N204*Q204</f>
        <v>0</v>
      </c>
      <c r="T204" s="24" t="n">
        <f aca="false">N204^2</f>
        <v>5.4037582868613</v>
      </c>
    </row>
    <row r="205" customFormat="false" ht="15" hidden="false" customHeight="false" outlineLevel="0" collapsed="false">
      <c r="A205" s="5" t="s">
        <v>457</v>
      </c>
      <c r="B205" s="5" t="s">
        <v>157</v>
      </c>
      <c r="C205" s="5" t="s">
        <v>54</v>
      </c>
      <c r="D205" s="5" t="s">
        <v>66</v>
      </c>
      <c r="E205" s="5" t="s">
        <v>73</v>
      </c>
      <c r="F205" s="26" t="n">
        <v>85.86</v>
      </c>
      <c r="G205" s="26" t="n">
        <v>86.17</v>
      </c>
      <c r="H205" s="30" t="n">
        <v>0.516</v>
      </c>
      <c r="I205" s="28" t="n">
        <f aca="false">H205*G205/3.6</f>
        <v>12.3510333333333</v>
      </c>
      <c r="J205" s="30" t="n">
        <v>4.6</v>
      </c>
      <c r="K205" s="30" t="n">
        <v>0.887</v>
      </c>
      <c r="L205" s="30" t="n">
        <v>1.055</v>
      </c>
      <c r="M205" s="30" t="n">
        <v>6.53</v>
      </c>
      <c r="N205" s="25" t="n">
        <v>1.9881490636333</v>
      </c>
      <c r="O205" s="17" t="n">
        <v>0</v>
      </c>
      <c r="P205" s="26" t="n">
        <v>0</v>
      </c>
      <c r="Q205" s="24" t="n">
        <f aca="false">IF(O205=1,1/(1+EXP(-(P205-Inputs!$B$12)/Inputs!$B$13)),0)</f>
        <v>0</v>
      </c>
      <c r="R205" s="24" t="n">
        <f aca="false">N205*O205</f>
        <v>0</v>
      </c>
      <c r="S205" s="12" t="n">
        <f aca="false">N205*Q205</f>
        <v>0</v>
      </c>
      <c r="T205" s="24" t="n">
        <f aca="false">N205^2</f>
        <v>3.95273669922598</v>
      </c>
    </row>
    <row r="206" customFormat="false" ht="15" hidden="false" customHeight="false" outlineLevel="0" collapsed="false">
      <c r="A206" s="5" t="s">
        <v>458</v>
      </c>
      <c r="B206" s="5" t="s">
        <v>158</v>
      </c>
      <c r="C206" s="5" t="s">
        <v>56</v>
      </c>
      <c r="D206" s="5" t="s">
        <v>62</v>
      </c>
      <c r="E206" s="5" t="s">
        <v>68</v>
      </c>
      <c r="F206" s="26" t="n">
        <v>31.03</v>
      </c>
      <c r="G206" s="26" t="n">
        <v>30.44</v>
      </c>
      <c r="H206" s="30" t="n">
        <v>3.512</v>
      </c>
      <c r="I206" s="28" t="n">
        <f aca="false">H206*G206/3.6</f>
        <v>29.6959111111111</v>
      </c>
      <c r="J206" s="30" t="n">
        <v>3.93</v>
      </c>
      <c r="K206" s="30" t="n">
        <v>0.843</v>
      </c>
      <c r="L206" s="30" t="n">
        <v>1.959</v>
      </c>
      <c r="M206" s="30" t="n">
        <v>4.9</v>
      </c>
      <c r="N206" s="25" t="n">
        <v>0.283444265451393</v>
      </c>
      <c r="O206" s="17" t="n">
        <v>0</v>
      </c>
      <c r="P206" s="26" t="n">
        <v>0</v>
      </c>
      <c r="Q206" s="24" t="n">
        <f aca="false">IF(O206=1,1/(1+EXP(-(P206-Inputs!$B$12)/Inputs!$B$13)),0)</f>
        <v>0</v>
      </c>
      <c r="R206" s="24" t="n">
        <f aca="false">N206*O206</f>
        <v>0</v>
      </c>
      <c r="S206" s="12" t="n">
        <f aca="false">N206*Q206</f>
        <v>0</v>
      </c>
      <c r="T206" s="24" t="n">
        <f aca="false">N206^2</f>
        <v>0.0803406516172796</v>
      </c>
    </row>
    <row r="207" customFormat="false" ht="15" hidden="false" customHeight="false" outlineLevel="0" collapsed="false">
      <c r="A207" s="5" t="s">
        <v>459</v>
      </c>
      <c r="B207" s="5" t="s">
        <v>158</v>
      </c>
      <c r="C207" s="5" t="s">
        <v>56</v>
      </c>
      <c r="D207" s="5" t="s">
        <v>62</v>
      </c>
      <c r="E207" s="5" t="s">
        <v>68</v>
      </c>
      <c r="F207" s="26" t="n">
        <v>20.2</v>
      </c>
      <c r="G207" s="26" t="n">
        <v>20.56</v>
      </c>
      <c r="H207" s="30" t="n">
        <v>3.193</v>
      </c>
      <c r="I207" s="28" t="n">
        <f aca="false">H207*G207/3.6</f>
        <v>18.2355777777778</v>
      </c>
      <c r="J207" s="30" t="n">
        <v>4.06</v>
      </c>
      <c r="K207" s="30" t="n">
        <v>1.488</v>
      </c>
      <c r="L207" s="30" t="n">
        <v>1.082</v>
      </c>
      <c r="M207" s="30" t="n">
        <v>6.15</v>
      </c>
      <c r="N207" s="25" t="n">
        <v>0.702245147836348</v>
      </c>
      <c r="O207" s="17" t="n">
        <v>0</v>
      </c>
      <c r="P207" s="26" t="n">
        <v>0</v>
      </c>
      <c r="Q207" s="24" t="n">
        <f aca="false">IF(O207=1,1/(1+EXP(-(P207-Inputs!$B$12)/Inputs!$B$13)),0)</f>
        <v>0</v>
      </c>
      <c r="R207" s="24" t="n">
        <f aca="false">N207*O207</f>
        <v>0</v>
      </c>
      <c r="S207" s="12" t="n">
        <f aca="false">N207*Q207</f>
        <v>0</v>
      </c>
      <c r="T207" s="24" t="n">
        <f aca="false">N207^2</f>
        <v>0.493148247659694</v>
      </c>
    </row>
    <row r="208" customFormat="false" ht="15" hidden="false" customHeight="false" outlineLevel="0" collapsed="false">
      <c r="A208" s="5" t="s">
        <v>460</v>
      </c>
      <c r="B208" s="5" t="s">
        <v>158</v>
      </c>
      <c r="C208" s="5" t="s">
        <v>56</v>
      </c>
      <c r="D208" s="5" t="s">
        <v>62</v>
      </c>
      <c r="E208" s="5" t="s">
        <v>68</v>
      </c>
      <c r="F208" s="26" t="n">
        <v>27.72</v>
      </c>
      <c r="G208" s="26" t="n">
        <v>26.08</v>
      </c>
      <c r="H208" s="30" t="n">
        <v>3.218</v>
      </c>
      <c r="I208" s="28" t="n">
        <f aca="false">H208*G208/3.6</f>
        <v>23.3126222222222</v>
      </c>
      <c r="J208" s="30" t="n">
        <v>3.19</v>
      </c>
      <c r="K208" s="30" t="n">
        <v>2.075</v>
      </c>
      <c r="L208" s="30" t="n">
        <v>2.965</v>
      </c>
      <c r="M208" s="30" t="n">
        <v>4.25</v>
      </c>
      <c r="N208" s="25" t="n">
        <v>0.00727177829825334</v>
      </c>
      <c r="O208" s="17" t="n">
        <v>0</v>
      </c>
      <c r="P208" s="26" t="n">
        <v>0</v>
      </c>
      <c r="Q208" s="24" t="n">
        <f aca="false">IF(O208=1,1/(1+EXP(-(P208-Inputs!$B$12)/Inputs!$B$13)),0)</f>
        <v>0</v>
      </c>
      <c r="R208" s="24" t="n">
        <f aca="false">N208*O208</f>
        <v>0</v>
      </c>
      <c r="S208" s="12" t="n">
        <f aca="false">N208*Q208</f>
        <v>0</v>
      </c>
      <c r="T208" s="24" t="n">
        <f aca="false">N208^2</f>
        <v>5.28787596189482E-005</v>
      </c>
    </row>
    <row r="209" customFormat="false" ht="15" hidden="false" customHeight="false" outlineLevel="0" collapsed="false">
      <c r="A209" s="5" t="s">
        <v>461</v>
      </c>
      <c r="B209" s="5" t="s">
        <v>158</v>
      </c>
      <c r="C209" s="5" t="s">
        <v>56</v>
      </c>
      <c r="D209" s="5" t="s">
        <v>62</v>
      </c>
      <c r="E209" s="5" t="s">
        <v>68</v>
      </c>
      <c r="F209" s="26" t="n">
        <v>26.46</v>
      </c>
      <c r="G209" s="26" t="n">
        <v>24.04</v>
      </c>
      <c r="H209" s="30" t="n">
        <v>3.174</v>
      </c>
      <c r="I209" s="28" t="n">
        <f aca="false">H209*G209/3.6</f>
        <v>21.1952666666667</v>
      </c>
      <c r="J209" s="30" t="n">
        <v>3.55</v>
      </c>
      <c r="K209" s="30" t="n">
        <v>1.584</v>
      </c>
      <c r="L209" s="30" t="n">
        <v>0.976</v>
      </c>
      <c r="M209" s="30" t="n">
        <v>7.84</v>
      </c>
      <c r="N209" s="25" t="n">
        <v>0.429934600605593</v>
      </c>
      <c r="O209" s="17" t="n">
        <v>0</v>
      </c>
      <c r="P209" s="26" t="n">
        <v>0</v>
      </c>
      <c r="Q209" s="24" t="n">
        <f aca="false">IF(O209=1,1/(1+EXP(-(P209-Inputs!$B$12)/Inputs!$B$13)),0)</f>
        <v>0</v>
      </c>
      <c r="R209" s="24" t="n">
        <f aca="false">N209*O209</f>
        <v>0</v>
      </c>
      <c r="S209" s="12" t="n">
        <f aca="false">N209*Q209</f>
        <v>0</v>
      </c>
      <c r="T209" s="24" t="n">
        <f aca="false">N209^2</f>
        <v>0.184843760797891</v>
      </c>
    </row>
    <row r="210" customFormat="false" ht="15" hidden="false" customHeight="false" outlineLevel="0" collapsed="false">
      <c r="A210" s="5" t="s">
        <v>462</v>
      </c>
      <c r="B210" s="5" t="s">
        <v>158</v>
      </c>
      <c r="C210" s="5" t="s">
        <v>56</v>
      </c>
      <c r="D210" s="5" t="s">
        <v>62</v>
      </c>
      <c r="E210" s="5" t="s">
        <v>68</v>
      </c>
      <c r="F210" s="26" t="n">
        <v>32.64</v>
      </c>
      <c r="G210" s="26" t="n">
        <v>35.51</v>
      </c>
      <c r="H210" s="30" t="n">
        <v>4.359</v>
      </c>
      <c r="I210" s="28" t="n">
        <f aca="false">H210*G210/3.6</f>
        <v>42.9966916666667</v>
      </c>
      <c r="J210" s="30" t="n">
        <v>3.68</v>
      </c>
      <c r="K210" s="30" t="n">
        <v>1.306</v>
      </c>
      <c r="L210" s="30" t="n">
        <v>1.279</v>
      </c>
      <c r="M210" s="30" t="n">
        <v>4.63</v>
      </c>
      <c r="N210" s="25" t="n">
        <v>0.72805699078241</v>
      </c>
      <c r="O210" s="17" t="n">
        <v>0</v>
      </c>
      <c r="P210" s="26" t="n">
        <v>0</v>
      </c>
      <c r="Q210" s="24" t="n">
        <f aca="false">IF(O210=1,1/(1+EXP(-(P210-Inputs!$B$12)/Inputs!$B$13)),0)</f>
        <v>0</v>
      </c>
      <c r="R210" s="24" t="n">
        <f aca="false">N210*O210</f>
        <v>0</v>
      </c>
      <c r="S210" s="12" t="n">
        <f aca="false">N210*Q210</f>
        <v>0</v>
      </c>
      <c r="T210" s="24" t="n">
        <f aca="false">N210^2</f>
        <v>0.530066981827138</v>
      </c>
    </row>
    <row r="211" customFormat="false" ht="15" hidden="false" customHeight="false" outlineLevel="0" collapsed="false">
      <c r="A211" s="5" t="s">
        <v>463</v>
      </c>
      <c r="B211" s="5" t="s">
        <v>158</v>
      </c>
      <c r="C211" s="5" t="s">
        <v>56</v>
      </c>
      <c r="D211" s="5" t="s">
        <v>62</v>
      </c>
      <c r="E211" s="5" t="s">
        <v>68</v>
      </c>
      <c r="F211" s="26" t="n">
        <v>34.01</v>
      </c>
      <c r="G211" s="26" t="n">
        <v>33.07</v>
      </c>
      <c r="H211" s="30" t="n">
        <v>5.457</v>
      </c>
      <c r="I211" s="28" t="n">
        <f aca="false">H211*G211/3.6</f>
        <v>50.1286083333333</v>
      </c>
      <c r="J211" s="30" t="n">
        <v>2.5</v>
      </c>
      <c r="K211" s="30" t="n">
        <v>0.944</v>
      </c>
      <c r="L211" s="30" t="n">
        <v>2.567</v>
      </c>
      <c r="M211" s="30" t="n">
        <v>3.97</v>
      </c>
      <c r="N211" s="25" t="n">
        <v>0.195601786150401</v>
      </c>
      <c r="O211" s="17" t="n">
        <v>0</v>
      </c>
      <c r="P211" s="26" t="n">
        <v>0</v>
      </c>
      <c r="Q211" s="24" t="n">
        <f aca="false">IF(O211=1,1/(1+EXP(-(P211-Inputs!$B$12)/Inputs!$B$13)),0)</f>
        <v>0</v>
      </c>
      <c r="R211" s="24" t="n">
        <f aca="false">N211*O211</f>
        <v>0</v>
      </c>
      <c r="S211" s="12" t="n">
        <f aca="false">N211*Q211</f>
        <v>0</v>
      </c>
      <c r="T211" s="24" t="n">
        <f aca="false">N211^2</f>
        <v>0.038260058745227</v>
      </c>
    </row>
    <row r="212" customFormat="false" ht="15" hidden="false" customHeight="false" outlineLevel="0" collapsed="false">
      <c r="A212" s="5" t="s">
        <v>464</v>
      </c>
      <c r="B212" s="5" t="s">
        <v>158</v>
      </c>
      <c r="C212" s="5" t="s">
        <v>56</v>
      </c>
      <c r="D212" s="5" t="s">
        <v>62</v>
      </c>
      <c r="E212" s="5" t="s">
        <v>68</v>
      </c>
      <c r="F212" s="26" t="n">
        <v>32.88</v>
      </c>
      <c r="G212" s="26" t="n">
        <v>28.48</v>
      </c>
      <c r="H212" s="30" t="n">
        <v>3.741</v>
      </c>
      <c r="I212" s="28" t="n">
        <f aca="false">H212*G212/3.6</f>
        <v>29.5954666666667</v>
      </c>
      <c r="J212" s="30" t="n">
        <v>3.26</v>
      </c>
      <c r="K212" s="30" t="n">
        <v>4.983</v>
      </c>
      <c r="L212" s="30" t="n">
        <v>1.353</v>
      </c>
      <c r="M212" s="30" t="n">
        <v>6.93</v>
      </c>
      <c r="N212" s="25" t="n">
        <v>0.0226705757877123</v>
      </c>
      <c r="O212" s="17" t="n">
        <v>0</v>
      </c>
      <c r="P212" s="26" t="n">
        <v>0</v>
      </c>
      <c r="Q212" s="24" t="n">
        <f aca="false">IF(O212=1,1/(1+EXP(-(P212-Inputs!$B$12)/Inputs!$B$13)),0)</f>
        <v>0</v>
      </c>
      <c r="R212" s="24" t="n">
        <f aca="false">N212*O212</f>
        <v>0</v>
      </c>
      <c r="S212" s="12" t="n">
        <f aca="false">N212*Q212</f>
        <v>0</v>
      </c>
      <c r="T212" s="24" t="n">
        <f aca="false">N212^2</f>
        <v>0.000513955006546407</v>
      </c>
    </row>
    <row r="213" customFormat="false" ht="15" hidden="false" customHeight="false" outlineLevel="0" collapsed="false">
      <c r="A213" s="5" t="s">
        <v>465</v>
      </c>
      <c r="B213" s="5" t="s">
        <v>158</v>
      </c>
      <c r="C213" s="5" t="s">
        <v>56</v>
      </c>
      <c r="D213" s="5" t="s">
        <v>62</v>
      </c>
      <c r="E213" s="5" t="s">
        <v>68</v>
      </c>
      <c r="F213" s="26" t="n">
        <v>21.01</v>
      </c>
      <c r="G213" s="26" t="n">
        <v>20.22</v>
      </c>
      <c r="H213" s="30" t="n">
        <v>4.916</v>
      </c>
      <c r="I213" s="28" t="n">
        <f aca="false">H213*G213/3.6</f>
        <v>27.6115333333333</v>
      </c>
      <c r="J213" s="30" t="n">
        <v>4.13</v>
      </c>
      <c r="K213" s="30" t="n">
        <v>0.43</v>
      </c>
      <c r="L213" s="30" t="n">
        <v>1.506</v>
      </c>
      <c r="M213" s="30" t="n">
        <v>4.69</v>
      </c>
      <c r="N213" s="25" t="n">
        <v>6.23262864848203</v>
      </c>
      <c r="O213" s="17" t="n">
        <v>0</v>
      </c>
      <c r="P213" s="26" t="n">
        <v>0</v>
      </c>
      <c r="Q213" s="24" t="n">
        <f aca="false">IF(O213=1,1/(1+EXP(-(P213-Inputs!$B$12)/Inputs!$B$13)),0)</f>
        <v>0</v>
      </c>
      <c r="R213" s="24" t="n">
        <f aca="false">N213*O213</f>
        <v>0</v>
      </c>
      <c r="S213" s="12" t="n">
        <f aca="false">N213*Q213</f>
        <v>0</v>
      </c>
      <c r="T213" s="24" t="n">
        <f aca="false">N213^2</f>
        <v>38.8456598698789</v>
      </c>
    </row>
    <row r="214" customFormat="false" ht="15" hidden="false" customHeight="false" outlineLevel="0" collapsed="false">
      <c r="A214" s="5" t="s">
        <v>466</v>
      </c>
      <c r="B214" s="5" t="s">
        <v>158</v>
      </c>
      <c r="C214" s="5" t="s">
        <v>56</v>
      </c>
      <c r="D214" s="5" t="s">
        <v>62</v>
      </c>
      <c r="E214" s="5" t="s">
        <v>68</v>
      </c>
      <c r="F214" s="26" t="n">
        <v>26.82</v>
      </c>
      <c r="G214" s="26" t="n">
        <v>29.1</v>
      </c>
      <c r="H214" s="30" t="n">
        <v>4.046</v>
      </c>
      <c r="I214" s="28" t="n">
        <f aca="false">H214*G214/3.6</f>
        <v>32.7051666666667</v>
      </c>
      <c r="J214" s="30" t="n">
        <v>4.58</v>
      </c>
      <c r="K214" s="30" t="n">
        <v>1.928</v>
      </c>
      <c r="L214" s="30" t="n">
        <v>2.668</v>
      </c>
      <c r="M214" s="30" t="n">
        <v>3.91</v>
      </c>
      <c r="N214" s="25" t="n">
        <v>0.0189160433370743</v>
      </c>
      <c r="O214" s="17" t="n">
        <v>0</v>
      </c>
      <c r="P214" s="26" t="n">
        <v>0</v>
      </c>
      <c r="Q214" s="24" t="n">
        <f aca="false">IF(O214=1,1/(1+EXP(-(P214-Inputs!$B$12)/Inputs!$B$13)),0)</f>
        <v>0</v>
      </c>
      <c r="R214" s="24" t="n">
        <f aca="false">N214*O214</f>
        <v>0</v>
      </c>
      <c r="S214" s="12" t="n">
        <f aca="false">N214*Q214</f>
        <v>0</v>
      </c>
      <c r="T214" s="24" t="n">
        <f aca="false">N214^2</f>
        <v>0.000357816695530072</v>
      </c>
    </row>
    <row r="215" customFormat="false" ht="15" hidden="false" customHeight="false" outlineLevel="0" collapsed="false">
      <c r="A215" s="5" t="s">
        <v>467</v>
      </c>
      <c r="B215" s="5" t="s">
        <v>158</v>
      </c>
      <c r="C215" s="5" t="s">
        <v>56</v>
      </c>
      <c r="D215" s="5" t="s">
        <v>62</v>
      </c>
      <c r="E215" s="5" t="s">
        <v>68</v>
      </c>
      <c r="F215" s="26" t="n">
        <v>20.86</v>
      </c>
      <c r="G215" s="26" t="n">
        <v>24.03</v>
      </c>
      <c r="H215" s="30" t="n">
        <v>3.8</v>
      </c>
      <c r="I215" s="28" t="n">
        <f aca="false">H215*G215/3.6</f>
        <v>25.365</v>
      </c>
      <c r="J215" s="30" t="n">
        <v>4.49</v>
      </c>
      <c r="K215" s="30" t="n">
        <v>1.08</v>
      </c>
      <c r="L215" s="30" t="n">
        <v>1.566</v>
      </c>
      <c r="M215" s="30" t="n">
        <v>6.23</v>
      </c>
      <c r="N215" s="25" t="n">
        <v>0.351009000802364</v>
      </c>
      <c r="O215" s="17" t="n">
        <v>0</v>
      </c>
      <c r="P215" s="26" t="n">
        <v>0</v>
      </c>
      <c r="Q215" s="24" t="n">
        <f aca="false">IF(O215=1,1/(1+EXP(-(P215-Inputs!$B$12)/Inputs!$B$13)),0)</f>
        <v>0</v>
      </c>
      <c r="R215" s="24" t="n">
        <f aca="false">N215*O215</f>
        <v>0</v>
      </c>
      <c r="S215" s="12" t="n">
        <f aca="false">N215*Q215</f>
        <v>0</v>
      </c>
      <c r="T215" s="24" t="n">
        <f aca="false">N215^2</f>
        <v>0.123207318644274</v>
      </c>
    </row>
    <row r="216" customFormat="false" ht="15" hidden="false" customHeight="false" outlineLevel="0" collapsed="false">
      <c r="A216" s="5" t="s">
        <v>468</v>
      </c>
      <c r="B216" s="5" t="s">
        <v>159</v>
      </c>
      <c r="C216" s="5" t="s">
        <v>56</v>
      </c>
      <c r="D216" s="5" t="s">
        <v>62</v>
      </c>
      <c r="E216" s="5" t="s">
        <v>70</v>
      </c>
      <c r="F216" s="26" t="n">
        <v>33.29</v>
      </c>
      <c r="G216" s="26" t="n">
        <v>32.02</v>
      </c>
      <c r="H216" s="30" t="n">
        <v>2.644</v>
      </c>
      <c r="I216" s="28" t="n">
        <f aca="false">H216*G216/3.6</f>
        <v>23.5169111111111</v>
      </c>
      <c r="J216" s="30" t="n">
        <v>3.26</v>
      </c>
      <c r="K216" s="30" t="n">
        <v>1.357</v>
      </c>
      <c r="L216" s="30" t="n">
        <v>0.923</v>
      </c>
      <c r="M216" s="30" t="n">
        <v>6.17</v>
      </c>
      <c r="N216" s="25" t="n">
        <v>1.33191187122521</v>
      </c>
      <c r="O216" s="17" t="n">
        <v>0</v>
      </c>
      <c r="P216" s="26" t="n">
        <v>0</v>
      </c>
      <c r="Q216" s="24" t="n">
        <f aca="false">IF(O216=1,1/(1+EXP(-(P216-Inputs!$B$12)/Inputs!$B$13)),0)</f>
        <v>0</v>
      </c>
      <c r="R216" s="24" t="n">
        <f aca="false">N216*O216</f>
        <v>0</v>
      </c>
      <c r="S216" s="12" t="n">
        <f aca="false">N216*Q216</f>
        <v>0</v>
      </c>
      <c r="T216" s="24" t="n">
        <f aca="false">N216^2</f>
        <v>1.77398923271064</v>
      </c>
    </row>
    <row r="217" customFormat="false" ht="15" hidden="false" customHeight="false" outlineLevel="0" collapsed="false">
      <c r="A217" s="5" t="s">
        <v>469</v>
      </c>
      <c r="B217" s="5" t="s">
        <v>159</v>
      </c>
      <c r="C217" s="5" t="s">
        <v>56</v>
      </c>
      <c r="D217" s="5" t="s">
        <v>62</v>
      </c>
      <c r="E217" s="5" t="s">
        <v>70</v>
      </c>
      <c r="F217" s="26" t="n">
        <v>29.29</v>
      </c>
      <c r="G217" s="26" t="n">
        <v>30.89</v>
      </c>
      <c r="H217" s="30" t="n">
        <v>2.548</v>
      </c>
      <c r="I217" s="28" t="n">
        <f aca="false">H217*G217/3.6</f>
        <v>21.8632555555556</v>
      </c>
      <c r="J217" s="30" t="n">
        <v>5.19</v>
      </c>
      <c r="K217" s="30" t="n">
        <v>0.979</v>
      </c>
      <c r="L217" s="30" t="n">
        <v>1.177</v>
      </c>
      <c r="M217" s="30" t="n">
        <v>4.76</v>
      </c>
      <c r="N217" s="25" t="n">
        <v>1.8528706346086</v>
      </c>
      <c r="O217" s="17" t="n">
        <v>0</v>
      </c>
      <c r="P217" s="26" t="n">
        <v>0</v>
      </c>
      <c r="Q217" s="24" t="n">
        <f aca="false">IF(O217=1,1/(1+EXP(-(P217-Inputs!$B$12)/Inputs!$B$13)),0)</f>
        <v>0</v>
      </c>
      <c r="R217" s="24" t="n">
        <f aca="false">N217*O217</f>
        <v>0</v>
      </c>
      <c r="S217" s="12" t="n">
        <f aca="false">N217*Q217</f>
        <v>0</v>
      </c>
      <c r="T217" s="24" t="n">
        <f aca="false">N217^2</f>
        <v>3.43312958859487</v>
      </c>
    </row>
    <row r="218" customFormat="false" ht="15" hidden="false" customHeight="false" outlineLevel="0" collapsed="false">
      <c r="A218" s="5" t="s">
        <v>470</v>
      </c>
      <c r="B218" s="5" t="s">
        <v>159</v>
      </c>
      <c r="C218" s="5" t="s">
        <v>56</v>
      </c>
      <c r="D218" s="5" t="s">
        <v>62</v>
      </c>
      <c r="E218" s="5" t="s">
        <v>70</v>
      </c>
      <c r="F218" s="26" t="n">
        <v>25.87</v>
      </c>
      <c r="G218" s="26" t="n">
        <v>26.7</v>
      </c>
      <c r="H218" s="30" t="n">
        <v>2.134</v>
      </c>
      <c r="I218" s="28" t="n">
        <f aca="false">H218*G218/3.6</f>
        <v>15.8271666666667</v>
      </c>
      <c r="J218" s="30" t="n">
        <v>4.91</v>
      </c>
      <c r="K218" s="30" t="n">
        <v>1.376</v>
      </c>
      <c r="L218" s="30" t="n">
        <v>1.22</v>
      </c>
      <c r="M218" s="30" t="n">
        <v>7.38</v>
      </c>
      <c r="N218" s="25" t="n">
        <v>0.359757892212494</v>
      </c>
      <c r="O218" s="17" t="n">
        <v>0</v>
      </c>
      <c r="P218" s="26" t="n">
        <v>0</v>
      </c>
      <c r="Q218" s="24" t="n">
        <f aca="false">IF(O218=1,1/(1+EXP(-(P218-Inputs!$B$12)/Inputs!$B$13)),0)</f>
        <v>0</v>
      </c>
      <c r="R218" s="24" t="n">
        <f aca="false">N218*O218</f>
        <v>0</v>
      </c>
      <c r="S218" s="12" t="n">
        <f aca="false">N218*Q218</f>
        <v>0</v>
      </c>
      <c r="T218" s="24" t="n">
        <f aca="false">N218^2</f>
        <v>0.129425741009176</v>
      </c>
    </row>
    <row r="219" customFormat="false" ht="15" hidden="false" customHeight="false" outlineLevel="0" collapsed="false">
      <c r="A219" s="5" t="s">
        <v>471</v>
      </c>
      <c r="B219" s="5" t="s">
        <v>159</v>
      </c>
      <c r="C219" s="5" t="s">
        <v>56</v>
      </c>
      <c r="D219" s="5" t="s">
        <v>62</v>
      </c>
      <c r="E219" s="5" t="s">
        <v>70</v>
      </c>
      <c r="F219" s="26" t="n">
        <v>20.33</v>
      </c>
      <c r="G219" s="26" t="n">
        <v>21.65</v>
      </c>
      <c r="H219" s="30" t="n">
        <v>2.078</v>
      </c>
      <c r="I219" s="28" t="n">
        <f aca="false">H219*G219/3.6</f>
        <v>12.4968611111111</v>
      </c>
      <c r="J219" s="30" t="n">
        <v>2.65</v>
      </c>
      <c r="K219" s="30" t="n">
        <v>2.537</v>
      </c>
      <c r="L219" s="30" t="n">
        <v>1.163</v>
      </c>
      <c r="M219" s="30" t="n">
        <v>7.75</v>
      </c>
      <c r="N219" s="25" t="n">
        <v>0.110639811704617</v>
      </c>
      <c r="O219" s="17" t="n">
        <v>0</v>
      </c>
      <c r="P219" s="26" t="n">
        <v>0</v>
      </c>
      <c r="Q219" s="24" t="n">
        <f aca="false">IF(O219=1,1/(1+EXP(-(P219-Inputs!$B$12)/Inputs!$B$13)),0)</f>
        <v>0</v>
      </c>
      <c r="R219" s="24" t="n">
        <f aca="false">N219*O219</f>
        <v>0</v>
      </c>
      <c r="S219" s="12" t="n">
        <f aca="false">N219*Q219</f>
        <v>0</v>
      </c>
      <c r="T219" s="24" t="n">
        <f aca="false">N219^2</f>
        <v>0.0122411679340331</v>
      </c>
    </row>
    <row r="220" customFormat="false" ht="15" hidden="false" customHeight="false" outlineLevel="0" collapsed="false">
      <c r="A220" s="5" t="s">
        <v>472</v>
      </c>
      <c r="B220" s="5" t="s">
        <v>159</v>
      </c>
      <c r="C220" s="5" t="s">
        <v>56</v>
      </c>
      <c r="D220" s="5" t="s">
        <v>62</v>
      </c>
      <c r="E220" s="5" t="s">
        <v>70</v>
      </c>
      <c r="F220" s="26" t="n">
        <v>29.34</v>
      </c>
      <c r="G220" s="26" t="n">
        <v>30.41</v>
      </c>
      <c r="H220" s="30" t="n">
        <v>2.229</v>
      </c>
      <c r="I220" s="28" t="n">
        <f aca="false">H220*G220/3.6</f>
        <v>18.8288583333333</v>
      </c>
      <c r="J220" s="30" t="n">
        <v>3.38</v>
      </c>
      <c r="K220" s="30" t="n">
        <v>0.587</v>
      </c>
      <c r="L220" s="30" t="n">
        <v>1.614</v>
      </c>
      <c r="M220" s="30" t="n">
        <v>5.15</v>
      </c>
      <c r="N220" s="25" t="n">
        <v>1.24112138100603</v>
      </c>
      <c r="O220" s="17" t="n">
        <v>0</v>
      </c>
      <c r="P220" s="26" t="n">
        <v>0</v>
      </c>
      <c r="Q220" s="24" t="n">
        <f aca="false">IF(O220=1,1/(1+EXP(-(P220-Inputs!$B$12)/Inputs!$B$13)),0)</f>
        <v>0</v>
      </c>
      <c r="R220" s="24" t="n">
        <f aca="false">N220*O220</f>
        <v>0</v>
      </c>
      <c r="S220" s="12" t="n">
        <f aca="false">N220*Q220</f>
        <v>0</v>
      </c>
      <c r="T220" s="24" t="n">
        <f aca="false">N220^2</f>
        <v>1.54038228239031</v>
      </c>
    </row>
    <row r="221" customFormat="false" ht="15" hidden="false" customHeight="false" outlineLevel="0" collapsed="false">
      <c r="A221" s="5" t="s">
        <v>473</v>
      </c>
      <c r="B221" s="5" t="s">
        <v>159</v>
      </c>
      <c r="C221" s="5" t="s">
        <v>56</v>
      </c>
      <c r="D221" s="5" t="s">
        <v>62</v>
      </c>
      <c r="E221" s="5" t="s">
        <v>70</v>
      </c>
      <c r="F221" s="26" t="n">
        <v>22.46</v>
      </c>
      <c r="G221" s="26" t="n">
        <v>24.5</v>
      </c>
      <c r="H221" s="30" t="n">
        <v>2.666</v>
      </c>
      <c r="I221" s="28" t="n">
        <f aca="false">H221*G221/3.6</f>
        <v>18.1436111111111</v>
      </c>
      <c r="J221" s="30" t="n">
        <v>4.79</v>
      </c>
      <c r="K221" s="30" t="n">
        <v>1.34</v>
      </c>
      <c r="L221" s="30" t="n">
        <v>0.731</v>
      </c>
      <c r="M221" s="30" t="n">
        <v>7.68</v>
      </c>
      <c r="N221" s="25" t="n">
        <v>2.08336723536821</v>
      </c>
      <c r="O221" s="17" t="n">
        <v>0</v>
      </c>
      <c r="P221" s="26" t="n">
        <v>0</v>
      </c>
      <c r="Q221" s="24" t="n">
        <f aca="false">IF(O221=1,1/(1+EXP(-(P221-Inputs!$B$12)/Inputs!$B$13)),0)</f>
        <v>0</v>
      </c>
      <c r="R221" s="24" t="n">
        <f aca="false">N221*O221</f>
        <v>0</v>
      </c>
      <c r="S221" s="12" t="n">
        <f aca="false">N221*Q221</f>
        <v>0</v>
      </c>
      <c r="T221" s="24" t="n">
        <f aca="false">N221^2</f>
        <v>4.34041903740577</v>
      </c>
    </row>
    <row r="222" customFormat="false" ht="15" hidden="false" customHeight="false" outlineLevel="0" collapsed="false">
      <c r="A222" s="5" t="s">
        <v>474</v>
      </c>
      <c r="B222" s="5" t="s">
        <v>159</v>
      </c>
      <c r="C222" s="5" t="s">
        <v>56</v>
      </c>
      <c r="D222" s="5" t="s">
        <v>62</v>
      </c>
      <c r="E222" s="5" t="s">
        <v>70</v>
      </c>
      <c r="F222" s="26" t="n">
        <v>27.29</v>
      </c>
      <c r="G222" s="26" t="n">
        <v>26.68</v>
      </c>
      <c r="H222" s="30" t="n">
        <v>2.458</v>
      </c>
      <c r="I222" s="28" t="n">
        <f aca="false">H222*G222/3.6</f>
        <v>18.2165111111111</v>
      </c>
      <c r="J222" s="30" t="n">
        <v>5.5</v>
      </c>
      <c r="K222" s="30" t="n">
        <v>0.705</v>
      </c>
      <c r="L222" s="30" t="n">
        <v>1.344</v>
      </c>
      <c r="M222" s="30" t="n">
        <v>4.77</v>
      </c>
      <c r="N222" s="25" t="n">
        <v>2.1907174899388</v>
      </c>
      <c r="O222" s="17" t="n">
        <v>0</v>
      </c>
      <c r="P222" s="26" t="n">
        <v>0</v>
      </c>
      <c r="Q222" s="24" t="n">
        <f aca="false">IF(O222=1,1/(1+EXP(-(P222-Inputs!$B$12)/Inputs!$B$13)),0)</f>
        <v>0</v>
      </c>
      <c r="R222" s="24" t="n">
        <f aca="false">N222*O222</f>
        <v>0</v>
      </c>
      <c r="S222" s="12" t="n">
        <f aca="false">N222*Q222</f>
        <v>0</v>
      </c>
      <c r="T222" s="24" t="n">
        <f aca="false">N222^2</f>
        <v>4.79924312072375</v>
      </c>
    </row>
    <row r="223" customFormat="false" ht="15" hidden="false" customHeight="false" outlineLevel="0" collapsed="false">
      <c r="A223" s="5" t="s">
        <v>475</v>
      </c>
      <c r="B223" s="5" t="s">
        <v>159</v>
      </c>
      <c r="C223" s="5" t="s">
        <v>56</v>
      </c>
      <c r="D223" s="5" t="s">
        <v>62</v>
      </c>
      <c r="E223" s="5" t="s">
        <v>70</v>
      </c>
      <c r="F223" s="26" t="n">
        <v>25.95</v>
      </c>
      <c r="G223" s="26" t="n">
        <v>28.5</v>
      </c>
      <c r="H223" s="30" t="n">
        <v>2.365</v>
      </c>
      <c r="I223" s="28" t="n">
        <f aca="false">H223*G223/3.6</f>
        <v>18.7229166666667</v>
      </c>
      <c r="J223" s="30" t="n">
        <v>5.19</v>
      </c>
      <c r="K223" s="30" t="n">
        <v>1.067</v>
      </c>
      <c r="L223" s="30" t="n">
        <v>2.248</v>
      </c>
      <c r="M223" s="30" t="n">
        <v>4.45</v>
      </c>
      <c r="N223" s="25" t="n">
        <v>0.115516936943272</v>
      </c>
      <c r="O223" s="17" t="n">
        <v>0</v>
      </c>
      <c r="P223" s="26" t="n">
        <v>0</v>
      </c>
      <c r="Q223" s="24" t="n">
        <f aca="false">IF(O223=1,1/(1+EXP(-(P223-Inputs!$B$12)/Inputs!$B$13)),0)</f>
        <v>0</v>
      </c>
      <c r="R223" s="24" t="n">
        <f aca="false">N223*O223</f>
        <v>0</v>
      </c>
      <c r="S223" s="12" t="n">
        <f aca="false">N223*Q223</f>
        <v>0</v>
      </c>
      <c r="T223" s="24" t="n">
        <f aca="false">N223^2</f>
        <v>0.013344162720756</v>
      </c>
    </row>
    <row r="224" customFormat="false" ht="15" hidden="false" customHeight="false" outlineLevel="0" collapsed="false">
      <c r="A224" s="5" t="s">
        <v>476</v>
      </c>
      <c r="B224" s="5" t="s">
        <v>159</v>
      </c>
      <c r="C224" s="5" t="s">
        <v>56</v>
      </c>
      <c r="D224" s="5" t="s">
        <v>62</v>
      </c>
      <c r="E224" s="5" t="s">
        <v>70</v>
      </c>
      <c r="F224" s="26" t="n">
        <v>23.06</v>
      </c>
      <c r="G224" s="26" t="n">
        <v>22.73</v>
      </c>
      <c r="H224" s="30" t="n">
        <v>2.049</v>
      </c>
      <c r="I224" s="28" t="n">
        <f aca="false">H224*G224/3.6</f>
        <v>12.9371583333333</v>
      </c>
      <c r="J224" s="30" t="n">
        <v>3.38</v>
      </c>
      <c r="K224" s="30" t="n">
        <v>1.028</v>
      </c>
      <c r="L224" s="30" t="n">
        <v>1.125</v>
      </c>
      <c r="M224" s="30" t="n">
        <v>3.79</v>
      </c>
      <c r="N224" s="25" t="n">
        <v>2.73441000146562</v>
      </c>
      <c r="O224" s="17" t="n">
        <v>0</v>
      </c>
      <c r="P224" s="26" t="n">
        <v>0</v>
      </c>
      <c r="Q224" s="24" t="n">
        <f aca="false">IF(O224=1,1/(1+EXP(-(P224-Inputs!$B$12)/Inputs!$B$13)),0)</f>
        <v>0</v>
      </c>
      <c r="R224" s="24" t="n">
        <f aca="false">N224*O224</f>
        <v>0</v>
      </c>
      <c r="S224" s="12" t="n">
        <f aca="false">N224*Q224</f>
        <v>0</v>
      </c>
      <c r="T224" s="24" t="n">
        <f aca="false">N224^2</f>
        <v>7.47699805611522</v>
      </c>
    </row>
    <row r="225" customFormat="false" ht="15" hidden="false" customHeight="false" outlineLevel="0" collapsed="false">
      <c r="A225" s="5" t="s">
        <v>477</v>
      </c>
      <c r="B225" s="5" t="s">
        <v>159</v>
      </c>
      <c r="C225" s="5" t="s">
        <v>56</v>
      </c>
      <c r="D225" s="5" t="s">
        <v>62</v>
      </c>
      <c r="E225" s="5" t="s">
        <v>70</v>
      </c>
      <c r="F225" s="26" t="n">
        <v>25.94</v>
      </c>
      <c r="G225" s="26" t="n">
        <v>24.93</v>
      </c>
      <c r="H225" s="30" t="n">
        <v>2.309</v>
      </c>
      <c r="I225" s="28" t="n">
        <f aca="false">H225*G225/3.6</f>
        <v>15.989825</v>
      </c>
      <c r="J225" s="30" t="n">
        <v>4.5</v>
      </c>
      <c r="K225" s="30" t="n">
        <v>1.308</v>
      </c>
      <c r="L225" s="30" t="n">
        <v>1.267</v>
      </c>
      <c r="M225" s="30" t="n">
        <v>4.24</v>
      </c>
      <c r="N225" s="25" t="n">
        <v>0.855304349938329</v>
      </c>
      <c r="O225" s="17" t="n">
        <v>0</v>
      </c>
      <c r="P225" s="26" t="n">
        <v>0</v>
      </c>
      <c r="Q225" s="24" t="n">
        <f aca="false">IF(O225=1,1/(1+EXP(-(P225-Inputs!$B$12)/Inputs!$B$13)),0)</f>
        <v>0</v>
      </c>
      <c r="R225" s="24" t="n">
        <f aca="false">N225*O225</f>
        <v>0</v>
      </c>
      <c r="S225" s="12" t="n">
        <f aca="false">N225*Q225</f>
        <v>0</v>
      </c>
      <c r="T225" s="24" t="n">
        <f aca="false">N225^2</f>
        <v>0.731545531023427</v>
      </c>
    </row>
    <row r="226" customFormat="false" ht="15" hidden="false" customHeight="false" outlineLevel="0" collapsed="false">
      <c r="A226" s="5" t="s">
        <v>478</v>
      </c>
      <c r="B226" s="5" t="s">
        <v>160</v>
      </c>
      <c r="C226" s="5" t="s">
        <v>56</v>
      </c>
      <c r="D226" s="5" t="s">
        <v>62</v>
      </c>
      <c r="E226" s="5" t="s">
        <v>71</v>
      </c>
      <c r="F226" s="26" t="n">
        <v>24.63</v>
      </c>
      <c r="G226" s="26" t="n">
        <v>26.02</v>
      </c>
      <c r="H226" s="30" t="n">
        <v>1.567</v>
      </c>
      <c r="I226" s="28" t="n">
        <f aca="false">H226*G226/3.6</f>
        <v>11.3259277777778</v>
      </c>
      <c r="J226" s="30" t="n">
        <v>2.64</v>
      </c>
      <c r="K226" s="30" t="n">
        <v>0.984</v>
      </c>
      <c r="L226" s="30" t="n">
        <v>1.132</v>
      </c>
      <c r="M226" s="30" t="n">
        <v>5.88</v>
      </c>
      <c r="N226" s="25" t="n">
        <v>1.33456517130701</v>
      </c>
      <c r="O226" s="17" t="n">
        <v>0</v>
      </c>
      <c r="P226" s="26" t="n">
        <v>0</v>
      </c>
      <c r="Q226" s="24" t="n">
        <f aca="false">IF(O226=1,1/(1+EXP(-(P226-Inputs!$B$12)/Inputs!$B$13)),0)</f>
        <v>0</v>
      </c>
      <c r="R226" s="24" t="n">
        <f aca="false">N226*O226</f>
        <v>0</v>
      </c>
      <c r="S226" s="12" t="n">
        <f aca="false">N226*Q226</f>
        <v>0</v>
      </c>
      <c r="T226" s="24" t="n">
        <f aca="false">N226^2</f>
        <v>1.7810641964657</v>
      </c>
    </row>
    <row r="227" customFormat="false" ht="15" hidden="false" customHeight="false" outlineLevel="0" collapsed="false">
      <c r="A227" s="5" t="s">
        <v>479</v>
      </c>
      <c r="B227" s="5" t="s">
        <v>160</v>
      </c>
      <c r="C227" s="5" t="s">
        <v>56</v>
      </c>
      <c r="D227" s="5" t="s">
        <v>62</v>
      </c>
      <c r="E227" s="5" t="s">
        <v>71</v>
      </c>
      <c r="F227" s="26" t="n">
        <v>27.02</v>
      </c>
      <c r="G227" s="26" t="n">
        <v>23.93</v>
      </c>
      <c r="H227" s="30" t="n">
        <v>1.681</v>
      </c>
      <c r="I227" s="28" t="n">
        <f aca="false">H227*G227/3.6</f>
        <v>11.1739805555556</v>
      </c>
      <c r="J227" s="30" t="n">
        <v>5.28</v>
      </c>
      <c r="K227" s="30" t="n">
        <v>0.753</v>
      </c>
      <c r="L227" s="30" t="n">
        <v>1.919</v>
      </c>
      <c r="M227" s="30" t="n">
        <v>3.63</v>
      </c>
      <c r="N227" s="25" t="n">
        <v>0.86122422201928</v>
      </c>
      <c r="O227" s="17" t="n">
        <v>0</v>
      </c>
      <c r="P227" s="26" t="n">
        <v>0</v>
      </c>
      <c r="Q227" s="24" t="n">
        <f aca="false">IF(O227=1,1/(1+EXP(-(P227-Inputs!$B$12)/Inputs!$B$13)),0)</f>
        <v>0</v>
      </c>
      <c r="R227" s="24" t="n">
        <f aca="false">N227*O227</f>
        <v>0</v>
      </c>
      <c r="S227" s="12" t="n">
        <f aca="false">N227*Q227</f>
        <v>0</v>
      </c>
      <c r="T227" s="24" t="n">
        <f aca="false">N227^2</f>
        <v>0.741707160592714</v>
      </c>
    </row>
    <row r="228" customFormat="false" ht="15" hidden="false" customHeight="false" outlineLevel="0" collapsed="false">
      <c r="A228" s="5" t="s">
        <v>480</v>
      </c>
      <c r="B228" s="5" t="s">
        <v>160</v>
      </c>
      <c r="C228" s="5" t="s">
        <v>56</v>
      </c>
      <c r="D228" s="5" t="s">
        <v>62</v>
      </c>
      <c r="E228" s="5" t="s">
        <v>71</v>
      </c>
      <c r="F228" s="26" t="n">
        <v>29.15</v>
      </c>
      <c r="G228" s="26" t="n">
        <v>29.74</v>
      </c>
      <c r="H228" s="30" t="n">
        <v>1.696</v>
      </c>
      <c r="I228" s="28" t="n">
        <f aca="false">H228*G228/3.6</f>
        <v>14.0108444444444</v>
      </c>
      <c r="J228" s="30" t="n">
        <v>3.89</v>
      </c>
      <c r="K228" s="30" t="n">
        <v>1.598</v>
      </c>
      <c r="L228" s="30" t="n">
        <v>1.462</v>
      </c>
      <c r="M228" s="30" t="n">
        <v>7.29</v>
      </c>
      <c r="N228" s="25" t="n">
        <v>0.153324985484031</v>
      </c>
      <c r="O228" s="17" t="n">
        <v>0</v>
      </c>
      <c r="P228" s="26" t="n">
        <v>0</v>
      </c>
      <c r="Q228" s="24" t="n">
        <f aca="false">IF(O228=1,1/(1+EXP(-(P228-Inputs!$B$12)/Inputs!$B$13)),0)</f>
        <v>0</v>
      </c>
      <c r="R228" s="24" t="n">
        <f aca="false">N228*O228</f>
        <v>0</v>
      </c>
      <c r="S228" s="12" t="n">
        <f aca="false">N228*Q228</f>
        <v>0</v>
      </c>
      <c r="T228" s="24" t="n">
        <f aca="false">N228^2</f>
        <v>0.0235085511736782</v>
      </c>
    </row>
    <row r="229" customFormat="false" ht="15" hidden="false" customHeight="false" outlineLevel="0" collapsed="false">
      <c r="A229" s="5" t="s">
        <v>481</v>
      </c>
      <c r="B229" s="5" t="s">
        <v>160</v>
      </c>
      <c r="C229" s="5" t="s">
        <v>56</v>
      </c>
      <c r="D229" s="5" t="s">
        <v>62</v>
      </c>
      <c r="E229" s="5" t="s">
        <v>71</v>
      </c>
      <c r="F229" s="26" t="n">
        <v>33.42</v>
      </c>
      <c r="G229" s="26" t="n">
        <v>35.13</v>
      </c>
      <c r="H229" s="30" t="n">
        <v>1.904</v>
      </c>
      <c r="I229" s="28" t="n">
        <f aca="false">H229*G229/3.6</f>
        <v>18.5798666666667</v>
      </c>
      <c r="J229" s="30" t="n">
        <v>4.13</v>
      </c>
      <c r="K229" s="30" t="n">
        <v>0.784</v>
      </c>
      <c r="L229" s="30" t="n">
        <v>1.326</v>
      </c>
      <c r="M229" s="30" t="n">
        <v>3.76</v>
      </c>
      <c r="N229" s="25" t="n">
        <v>4.72356142641747</v>
      </c>
      <c r="O229" s="17" t="n">
        <v>0</v>
      </c>
      <c r="P229" s="26" t="n">
        <v>0</v>
      </c>
      <c r="Q229" s="24" t="n">
        <f aca="false">IF(O229=1,1/(1+EXP(-(P229-Inputs!$B$12)/Inputs!$B$13)),0)</f>
        <v>0</v>
      </c>
      <c r="R229" s="24" t="n">
        <f aca="false">N229*O229</f>
        <v>0</v>
      </c>
      <c r="S229" s="12" t="n">
        <f aca="false">N229*Q229</f>
        <v>0</v>
      </c>
      <c r="T229" s="24" t="n">
        <f aca="false">N229^2</f>
        <v>22.312032549139</v>
      </c>
    </row>
    <row r="230" customFormat="false" ht="15" hidden="false" customHeight="false" outlineLevel="0" collapsed="false">
      <c r="A230" s="5" t="s">
        <v>482</v>
      </c>
      <c r="B230" s="5" t="s">
        <v>160</v>
      </c>
      <c r="C230" s="5" t="s">
        <v>56</v>
      </c>
      <c r="D230" s="5" t="s">
        <v>62</v>
      </c>
      <c r="E230" s="5" t="s">
        <v>71</v>
      </c>
      <c r="F230" s="26" t="n">
        <v>31.61</v>
      </c>
      <c r="G230" s="26" t="n">
        <v>30.7</v>
      </c>
      <c r="H230" s="30" t="n">
        <v>1.568</v>
      </c>
      <c r="I230" s="28" t="n">
        <f aca="false">H230*G230/3.6</f>
        <v>13.3715555555556</v>
      </c>
      <c r="J230" s="30" t="n">
        <v>5.61</v>
      </c>
      <c r="K230" s="30" t="n">
        <v>0.868</v>
      </c>
      <c r="L230" s="30" t="n">
        <v>2.246</v>
      </c>
      <c r="M230" s="30" t="n">
        <v>3.63</v>
      </c>
      <c r="N230" s="25" t="n">
        <v>0.315362665400352</v>
      </c>
      <c r="O230" s="17" t="n">
        <v>0</v>
      </c>
      <c r="P230" s="26" t="n">
        <v>0</v>
      </c>
      <c r="Q230" s="24" t="n">
        <f aca="false">IF(O230=1,1/(1+EXP(-(P230-Inputs!$B$12)/Inputs!$B$13)),0)</f>
        <v>0</v>
      </c>
      <c r="R230" s="24" t="n">
        <f aca="false">N230*O230</f>
        <v>0</v>
      </c>
      <c r="S230" s="12" t="n">
        <f aca="false">N230*Q230</f>
        <v>0</v>
      </c>
      <c r="T230" s="24" t="n">
        <f aca="false">N230^2</f>
        <v>0.0994536107284142</v>
      </c>
    </row>
    <row r="231" customFormat="false" ht="15" hidden="false" customHeight="false" outlineLevel="0" collapsed="false">
      <c r="A231" s="5" t="s">
        <v>483</v>
      </c>
      <c r="B231" s="5" t="s">
        <v>160</v>
      </c>
      <c r="C231" s="5" t="s">
        <v>56</v>
      </c>
      <c r="D231" s="5" t="s">
        <v>62</v>
      </c>
      <c r="E231" s="5" t="s">
        <v>71</v>
      </c>
      <c r="F231" s="26" t="n">
        <v>32.49</v>
      </c>
      <c r="G231" s="26" t="n">
        <v>34.2</v>
      </c>
      <c r="H231" s="30" t="n">
        <v>1.562</v>
      </c>
      <c r="I231" s="28" t="n">
        <f aca="false">H231*G231/3.6</f>
        <v>14.839</v>
      </c>
      <c r="J231" s="30" t="n">
        <v>3.5</v>
      </c>
      <c r="K231" s="30" t="n">
        <v>0.756</v>
      </c>
      <c r="L231" s="30" t="n">
        <v>1.591</v>
      </c>
      <c r="M231" s="30" t="n">
        <v>6.69</v>
      </c>
      <c r="N231" s="25" t="n">
        <v>0.531190171543923</v>
      </c>
      <c r="O231" s="17" t="n">
        <v>0</v>
      </c>
      <c r="P231" s="26" t="n">
        <v>0</v>
      </c>
      <c r="Q231" s="24" t="n">
        <f aca="false">IF(O231=1,1/(1+EXP(-(P231-Inputs!$B$12)/Inputs!$B$13)),0)</f>
        <v>0</v>
      </c>
      <c r="R231" s="24" t="n">
        <f aca="false">N231*O231</f>
        <v>0</v>
      </c>
      <c r="S231" s="12" t="n">
        <f aca="false">N231*Q231</f>
        <v>0</v>
      </c>
      <c r="T231" s="24" t="n">
        <f aca="false">N231^2</f>
        <v>0.282162998344863</v>
      </c>
    </row>
    <row r="232" customFormat="false" ht="15" hidden="false" customHeight="false" outlineLevel="0" collapsed="false">
      <c r="A232" s="5" t="s">
        <v>484</v>
      </c>
      <c r="B232" s="5" t="s">
        <v>160</v>
      </c>
      <c r="C232" s="5" t="s">
        <v>56</v>
      </c>
      <c r="D232" s="5" t="s">
        <v>62</v>
      </c>
      <c r="E232" s="5" t="s">
        <v>71</v>
      </c>
      <c r="F232" s="26" t="n">
        <v>34.85</v>
      </c>
      <c r="G232" s="26" t="n">
        <v>35.72</v>
      </c>
      <c r="H232" s="30" t="n">
        <v>1.891</v>
      </c>
      <c r="I232" s="28" t="n">
        <f aca="false">H232*G232/3.6</f>
        <v>18.7629222222222</v>
      </c>
      <c r="J232" s="30" t="n">
        <v>5.99</v>
      </c>
      <c r="K232" s="30" t="n">
        <v>0.406</v>
      </c>
      <c r="L232" s="30" t="n">
        <v>1.91</v>
      </c>
      <c r="M232" s="30" t="n">
        <v>4.3</v>
      </c>
      <c r="N232" s="25" t="n">
        <v>2.76783225569582</v>
      </c>
      <c r="O232" s="17" t="n">
        <v>0</v>
      </c>
      <c r="P232" s="26" t="n">
        <v>0</v>
      </c>
      <c r="Q232" s="24" t="n">
        <f aca="false">IF(O232=1,1/(1+EXP(-(P232-Inputs!$B$12)/Inputs!$B$13)),0)</f>
        <v>0</v>
      </c>
      <c r="R232" s="24" t="n">
        <f aca="false">N232*O232</f>
        <v>0</v>
      </c>
      <c r="S232" s="12" t="n">
        <f aca="false">N232*Q232</f>
        <v>0</v>
      </c>
      <c r="T232" s="24" t="n">
        <f aca="false">N232^2</f>
        <v>7.66089539567022</v>
      </c>
    </row>
    <row r="233" customFormat="false" ht="15" hidden="false" customHeight="false" outlineLevel="0" collapsed="false">
      <c r="A233" s="5" t="s">
        <v>485</v>
      </c>
      <c r="B233" s="5" t="s">
        <v>160</v>
      </c>
      <c r="C233" s="5" t="s">
        <v>56</v>
      </c>
      <c r="D233" s="5" t="s">
        <v>62</v>
      </c>
      <c r="E233" s="5" t="s">
        <v>71</v>
      </c>
      <c r="F233" s="26" t="n">
        <v>27.4</v>
      </c>
      <c r="G233" s="26" t="n">
        <v>30.26</v>
      </c>
      <c r="H233" s="30" t="n">
        <v>1.507</v>
      </c>
      <c r="I233" s="28" t="n">
        <f aca="false">H233*G233/3.6</f>
        <v>12.6671722222222</v>
      </c>
      <c r="J233" s="30" t="n">
        <v>4.56</v>
      </c>
      <c r="K233" s="30" t="n">
        <v>1.762</v>
      </c>
      <c r="L233" s="30" t="n">
        <v>1.929</v>
      </c>
      <c r="M233" s="30" t="n">
        <v>7.27</v>
      </c>
      <c r="N233" s="25" t="n">
        <v>0.0446642533427046</v>
      </c>
      <c r="O233" s="17" t="n">
        <v>1</v>
      </c>
      <c r="P233" s="26" t="n">
        <v>19.78</v>
      </c>
      <c r="Q233" s="24" t="n">
        <f aca="false">IF(O233=1,1/(1+EXP(-(P233-Inputs!$B$12)/Inputs!$B$13)),0)</f>
        <v>0.0265231232754413</v>
      </c>
      <c r="R233" s="24" t="n">
        <f aca="false">N233*O233</f>
        <v>0.0446642533427046</v>
      </c>
      <c r="S233" s="12" t="n">
        <f aca="false">N233*Q233</f>
        <v>0.00118463549741409</v>
      </c>
      <c r="T233" s="24" t="n">
        <f aca="false">N233^2</f>
        <v>0.0019948955266613</v>
      </c>
    </row>
    <row r="234" customFormat="false" ht="15" hidden="false" customHeight="false" outlineLevel="0" collapsed="false">
      <c r="A234" s="5" t="s">
        <v>486</v>
      </c>
      <c r="B234" s="5" t="s">
        <v>160</v>
      </c>
      <c r="C234" s="5" t="s">
        <v>56</v>
      </c>
      <c r="D234" s="5" t="s">
        <v>62</v>
      </c>
      <c r="E234" s="5" t="s">
        <v>71</v>
      </c>
      <c r="F234" s="26" t="n">
        <v>25.08</v>
      </c>
      <c r="G234" s="26" t="n">
        <v>25.12</v>
      </c>
      <c r="H234" s="30" t="n">
        <v>1.774</v>
      </c>
      <c r="I234" s="28" t="n">
        <f aca="false">H234*G234/3.6</f>
        <v>12.3785777777778</v>
      </c>
      <c r="J234" s="30" t="n">
        <v>3.93</v>
      </c>
      <c r="K234" s="30" t="n">
        <v>1.327</v>
      </c>
      <c r="L234" s="30" t="n">
        <v>1.196</v>
      </c>
      <c r="M234" s="30" t="n">
        <v>6.86</v>
      </c>
      <c r="N234" s="25" t="n">
        <v>0.66762597432899</v>
      </c>
      <c r="O234" s="17" t="n">
        <v>0</v>
      </c>
      <c r="P234" s="26" t="n">
        <v>0</v>
      </c>
      <c r="Q234" s="24" t="n">
        <f aca="false">IF(O234=1,1/(1+EXP(-(P234-Inputs!$B$12)/Inputs!$B$13)),0)</f>
        <v>0</v>
      </c>
      <c r="R234" s="24" t="n">
        <f aca="false">N234*O234</f>
        <v>0</v>
      </c>
      <c r="S234" s="12" t="n">
        <f aca="false">N234*Q234</f>
        <v>0</v>
      </c>
      <c r="T234" s="24" t="n">
        <f aca="false">N234^2</f>
        <v>0.445724441598734</v>
      </c>
    </row>
    <row r="235" customFormat="false" ht="15" hidden="false" customHeight="false" outlineLevel="0" collapsed="false">
      <c r="A235" s="5" t="s">
        <v>487</v>
      </c>
      <c r="B235" s="5" t="s">
        <v>160</v>
      </c>
      <c r="C235" s="5" t="s">
        <v>56</v>
      </c>
      <c r="D235" s="5" t="s">
        <v>62</v>
      </c>
      <c r="E235" s="5" t="s">
        <v>71</v>
      </c>
      <c r="F235" s="26" t="n">
        <v>27.14</v>
      </c>
      <c r="G235" s="26" t="n">
        <v>27.93</v>
      </c>
      <c r="H235" s="30" t="n">
        <v>1.681</v>
      </c>
      <c r="I235" s="28" t="n">
        <f aca="false">H235*G235/3.6</f>
        <v>13.0417583333333</v>
      </c>
      <c r="J235" s="30" t="n">
        <v>5.47</v>
      </c>
      <c r="K235" s="30" t="n">
        <v>1.006</v>
      </c>
      <c r="L235" s="30" t="n">
        <v>2.151</v>
      </c>
      <c r="M235" s="30" t="n">
        <v>3.92</v>
      </c>
      <c r="N235" s="25" t="n">
        <v>0.213319883721298</v>
      </c>
      <c r="O235" s="17" t="n">
        <v>1</v>
      </c>
      <c r="P235" s="26" t="n">
        <v>8.97</v>
      </c>
      <c r="Q235" s="24" t="n">
        <f aca="false">IF(O235=1,1/(1+EXP(-(P235-Inputs!$B$12)/Inputs!$B$13)),0)</f>
        <v>0.00578236790719215</v>
      </c>
      <c r="R235" s="24" t="n">
        <f aca="false">N235*O235</f>
        <v>0.213319883721298</v>
      </c>
      <c r="S235" s="12" t="n">
        <f aca="false">N235*Q235</f>
        <v>0.001233494049596</v>
      </c>
      <c r="T235" s="24" t="n">
        <f aca="false">N235^2</f>
        <v>0.0455053727908681</v>
      </c>
    </row>
    <row r="236" customFormat="false" ht="15" hidden="false" customHeight="false" outlineLevel="0" collapsed="false">
      <c r="A236" s="5" t="s">
        <v>488</v>
      </c>
      <c r="B236" s="5" t="s">
        <v>161</v>
      </c>
      <c r="C236" s="5" t="s">
        <v>56</v>
      </c>
      <c r="D236" s="5" t="s">
        <v>62</v>
      </c>
      <c r="E236" s="5" t="s">
        <v>72</v>
      </c>
      <c r="F236" s="26" t="n">
        <v>28.9</v>
      </c>
      <c r="G236" s="26" t="n">
        <v>28.65</v>
      </c>
      <c r="H236" s="30" t="n">
        <v>1.188</v>
      </c>
      <c r="I236" s="28" t="n">
        <f aca="false">H236*G236/3.6</f>
        <v>9.4545</v>
      </c>
      <c r="J236" s="30" t="n">
        <v>4.53</v>
      </c>
      <c r="K236" s="30" t="n">
        <v>1.196</v>
      </c>
      <c r="L236" s="30" t="n">
        <v>1.646</v>
      </c>
      <c r="M236" s="30" t="n">
        <v>5.33</v>
      </c>
      <c r="N236" s="25" t="n">
        <v>0.291095157934699</v>
      </c>
      <c r="O236" s="17" t="n">
        <v>0</v>
      </c>
      <c r="P236" s="26" t="n">
        <v>0</v>
      </c>
      <c r="Q236" s="24" t="n">
        <f aca="false">IF(O236=1,1/(1+EXP(-(P236-Inputs!$B$12)/Inputs!$B$13)),0)</f>
        <v>0</v>
      </c>
      <c r="R236" s="24" t="n">
        <f aca="false">N236*O236</f>
        <v>0</v>
      </c>
      <c r="S236" s="12" t="n">
        <f aca="false">N236*Q236</f>
        <v>0</v>
      </c>
      <c r="T236" s="24" t="n">
        <f aca="false">N236^2</f>
        <v>0.0847363909730272</v>
      </c>
    </row>
    <row r="237" customFormat="false" ht="15" hidden="false" customHeight="false" outlineLevel="0" collapsed="false">
      <c r="A237" s="5" t="s">
        <v>489</v>
      </c>
      <c r="B237" s="5" t="s">
        <v>161</v>
      </c>
      <c r="C237" s="5" t="s">
        <v>56</v>
      </c>
      <c r="D237" s="5" t="s">
        <v>62</v>
      </c>
      <c r="E237" s="5" t="s">
        <v>72</v>
      </c>
      <c r="F237" s="26" t="n">
        <v>26.81</v>
      </c>
      <c r="G237" s="26" t="n">
        <v>27.4</v>
      </c>
      <c r="H237" s="30" t="n">
        <v>1.015</v>
      </c>
      <c r="I237" s="28" t="n">
        <f aca="false">H237*G237/3.6</f>
        <v>7.72527777777778</v>
      </c>
      <c r="J237" s="30" t="n">
        <v>3.36</v>
      </c>
      <c r="K237" s="30" t="n">
        <v>0.814</v>
      </c>
      <c r="L237" s="30" t="n">
        <v>1.69</v>
      </c>
      <c r="M237" s="30" t="n">
        <v>4.54</v>
      </c>
      <c r="N237" s="25" t="n">
        <v>0.848130753575327</v>
      </c>
      <c r="O237" s="17" t="n">
        <v>0</v>
      </c>
      <c r="P237" s="26" t="n">
        <v>0</v>
      </c>
      <c r="Q237" s="24" t="n">
        <f aca="false">IF(O237=1,1/(1+EXP(-(P237-Inputs!$B$12)/Inputs!$B$13)),0)</f>
        <v>0</v>
      </c>
      <c r="R237" s="24" t="n">
        <f aca="false">N237*O237</f>
        <v>0</v>
      </c>
      <c r="S237" s="12" t="n">
        <f aca="false">N237*Q237</f>
        <v>0</v>
      </c>
      <c r="T237" s="24" t="n">
        <f aca="false">N237^2</f>
        <v>0.719325775160252</v>
      </c>
    </row>
    <row r="238" customFormat="false" ht="15" hidden="false" customHeight="false" outlineLevel="0" collapsed="false">
      <c r="A238" s="5" t="s">
        <v>490</v>
      </c>
      <c r="B238" s="5" t="s">
        <v>161</v>
      </c>
      <c r="C238" s="5" t="s">
        <v>56</v>
      </c>
      <c r="D238" s="5" t="s">
        <v>62</v>
      </c>
      <c r="E238" s="5" t="s">
        <v>72</v>
      </c>
      <c r="F238" s="26" t="n">
        <v>25.77</v>
      </c>
      <c r="G238" s="26" t="n">
        <v>24.45</v>
      </c>
      <c r="H238" s="30" t="n">
        <v>1.243</v>
      </c>
      <c r="I238" s="28" t="n">
        <f aca="false">H238*G238/3.6</f>
        <v>8.44204166666667</v>
      </c>
      <c r="J238" s="30" t="n">
        <v>5.94</v>
      </c>
      <c r="K238" s="30" t="n">
        <v>0.604</v>
      </c>
      <c r="L238" s="30" t="n">
        <v>1.423</v>
      </c>
      <c r="M238" s="30" t="n">
        <v>4.33</v>
      </c>
      <c r="N238" s="25" t="n">
        <v>2.9742386344102</v>
      </c>
      <c r="O238" s="17" t="n">
        <v>0</v>
      </c>
      <c r="P238" s="26" t="n">
        <v>0</v>
      </c>
      <c r="Q238" s="24" t="n">
        <f aca="false">IF(O238=1,1/(1+EXP(-(P238-Inputs!$B$12)/Inputs!$B$13)),0)</f>
        <v>0</v>
      </c>
      <c r="R238" s="24" t="n">
        <f aca="false">N238*O238</f>
        <v>0</v>
      </c>
      <c r="S238" s="12" t="n">
        <f aca="false">N238*Q238</f>
        <v>0</v>
      </c>
      <c r="T238" s="24" t="n">
        <f aca="false">N238^2</f>
        <v>8.84609545441826</v>
      </c>
    </row>
    <row r="239" customFormat="false" ht="15" hidden="false" customHeight="false" outlineLevel="0" collapsed="false">
      <c r="A239" s="5" t="s">
        <v>491</v>
      </c>
      <c r="B239" s="5" t="s">
        <v>161</v>
      </c>
      <c r="C239" s="5" t="s">
        <v>56</v>
      </c>
      <c r="D239" s="5" t="s">
        <v>62</v>
      </c>
      <c r="E239" s="5" t="s">
        <v>72</v>
      </c>
      <c r="F239" s="26" t="n">
        <v>21.34</v>
      </c>
      <c r="G239" s="26" t="n">
        <v>21.04</v>
      </c>
      <c r="H239" s="30" t="n">
        <v>1.219</v>
      </c>
      <c r="I239" s="28" t="n">
        <f aca="false">H239*G239/3.6</f>
        <v>7.12437777777778</v>
      </c>
      <c r="J239" s="30" t="n">
        <v>4.9</v>
      </c>
      <c r="K239" s="30" t="n">
        <v>1.43</v>
      </c>
      <c r="L239" s="30" t="n">
        <v>0.764</v>
      </c>
      <c r="M239" s="30" t="n">
        <v>6.87</v>
      </c>
      <c r="N239" s="25" t="n">
        <v>1.48708896889624</v>
      </c>
      <c r="O239" s="17" t="n">
        <v>0</v>
      </c>
      <c r="P239" s="26" t="n">
        <v>0</v>
      </c>
      <c r="Q239" s="24" t="n">
        <f aca="false">IF(O239=1,1/(1+EXP(-(P239-Inputs!$B$12)/Inputs!$B$13)),0)</f>
        <v>0</v>
      </c>
      <c r="R239" s="24" t="n">
        <f aca="false">N239*O239</f>
        <v>0</v>
      </c>
      <c r="S239" s="12" t="n">
        <f aca="false">N239*Q239</f>
        <v>0</v>
      </c>
      <c r="T239" s="24" t="n">
        <f aca="false">N239^2</f>
        <v>2.21143360141289</v>
      </c>
    </row>
    <row r="240" customFormat="false" ht="15" hidden="false" customHeight="false" outlineLevel="0" collapsed="false">
      <c r="A240" s="5" t="s">
        <v>492</v>
      </c>
      <c r="B240" s="5" t="s">
        <v>161</v>
      </c>
      <c r="C240" s="5" t="s">
        <v>56</v>
      </c>
      <c r="D240" s="5" t="s">
        <v>62</v>
      </c>
      <c r="E240" s="5" t="s">
        <v>72</v>
      </c>
      <c r="F240" s="26" t="n">
        <v>26.81</v>
      </c>
      <c r="G240" s="26" t="n">
        <v>28.74</v>
      </c>
      <c r="H240" s="30" t="n">
        <v>1.351</v>
      </c>
      <c r="I240" s="28" t="n">
        <f aca="false">H240*G240/3.6</f>
        <v>10.7854833333333</v>
      </c>
      <c r="J240" s="30" t="n">
        <v>3.24</v>
      </c>
      <c r="K240" s="30" t="n">
        <v>2.351</v>
      </c>
      <c r="L240" s="30" t="n">
        <v>1.715</v>
      </c>
      <c r="M240" s="30" t="n">
        <v>3.6</v>
      </c>
      <c r="N240" s="25" t="n">
        <v>0.253924895690276</v>
      </c>
      <c r="O240" s="17" t="n">
        <v>1</v>
      </c>
      <c r="P240" s="26" t="n">
        <v>17.33</v>
      </c>
      <c r="Q240" s="24" t="n">
        <f aca="false">IF(O240=1,1/(1+EXP(-(P240-Inputs!$B$12)/Inputs!$B$13)),0)</f>
        <v>0.0188380801113849</v>
      </c>
      <c r="R240" s="24" t="n">
        <f aca="false">N240*O240</f>
        <v>0.253924895690276</v>
      </c>
      <c r="S240" s="12" t="n">
        <f aca="false">N240*Q240</f>
        <v>0.00478345752728848</v>
      </c>
      <c r="T240" s="24" t="n">
        <f aca="false">N240^2</f>
        <v>0.0644778526513177</v>
      </c>
    </row>
    <row r="241" customFormat="false" ht="15" hidden="false" customHeight="false" outlineLevel="0" collapsed="false">
      <c r="A241" s="5" t="s">
        <v>493</v>
      </c>
      <c r="B241" s="5" t="s">
        <v>161</v>
      </c>
      <c r="C241" s="5" t="s">
        <v>56</v>
      </c>
      <c r="D241" s="5" t="s">
        <v>62</v>
      </c>
      <c r="E241" s="5" t="s">
        <v>72</v>
      </c>
      <c r="F241" s="26" t="n">
        <v>21.94</v>
      </c>
      <c r="G241" s="26" t="n">
        <v>22.13</v>
      </c>
      <c r="H241" s="30" t="n">
        <v>1.269</v>
      </c>
      <c r="I241" s="28" t="n">
        <f aca="false">H241*G241/3.6</f>
        <v>7.800825</v>
      </c>
      <c r="J241" s="30" t="n">
        <v>4.98</v>
      </c>
      <c r="K241" s="30" t="n">
        <v>1.634</v>
      </c>
      <c r="L241" s="30" t="n">
        <v>1.655</v>
      </c>
      <c r="M241" s="30" t="n">
        <v>7.06</v>
      </c>
      <c r="N241" s="25" t="n">
        <v>0.130079145168354</v>
      </c>
      <c r="O241" s="17" t="n">
        <v>1</v>
      </c>
      <c r="P241" s="26" t="n">
        <v>15.77</v>
      </c>
      <c r="Q241" s="24" t="n">
        <f aca="false">IF(O241=1,1/(1+EXP(-(P241-Inputs!$B$12)/Inputs!$B$13)),0)</f>
        <v>0.0151317262272756</v>
      </c>
      <c r="R241" s="24" t="n">
        <f aca="false">N241*O241</f>
        <v>0.130079145168354</v>
      </c>
      <c r="S241" s="12" t="n">
        <f aca="false">N241*Q241</f>
        <v>0.00196832201256558</v>
      </c>
      <c r="T241" s="24" t="n">
        <f aca="false">N241^2</f>
        <v>0.0169205840077297</v>
      </c>
    </row>
    <row r="242" customFormat="false" ht="15" hidden="false" customHeight="false" outlineLevel="0" collapsed="false">
      <c r="A242" s="5" t="s">
        <v>494</v>
      </c>
      <c r="B242" s="5" t="s">
        <v>161</v>
      </c>
      <c r="C242" s="5" t="s">
        <v>56</v>
      </c>
      <c r="D242" s="5" t="s">
        <v>62</v>
      </c>
      <c r="E242" s="5" t="s">
        <v>72</v>
      </c>
      <c r="F242" s="26" t="n">
        <v>28.37</v>
      </c>
      <c r="G242" s="26" t="n">
        <v>27.59</v>
      </c>
      <c r="H242" s="30" t="n">
        <v>1.124</v>
      </c>
      <c r="I242" s="28" t="n">
        <f aca="false">H242*G242/3.6</f>
        <v>8.61421111111111</v>
      </c>
      <c r="J242" s="30" t="n">
        <v>3.82</v>
      </c>
      <c r="K242" s="30" t="n">
        <v>1.404</v>
      </c>
      <c r="L242" s="30" t="n">
        <v>2.574</v>
      </c>
      <c r="M242" s="30" t="n">
        <v>5.06</v>
      </c>
      <c r="N242" s="25" t="n">
        <v>0.0233414178264176</v>
      </c>
      <c r="O242" s="17" t="n">
        <v>1</v>
      </c>
      <c r="P242" s="26" t="n">
        <v>18.62</v>
      </c>
      <c r="Q242" s="24" t="n">
        <f aca="false">IF(O242=1,1/(1+EXP(-(P242-Inputs!$B$12)/Inputs!$B$13)),0)</f>
        <v>0.0225641250982095</v>
      </c>
      <c r="R242" s="24" t="n">
        <f aca="false">N242*O242</f>
        <v>0.0233414178264176</v>
      </c>
      <c r="S242" s="12" t="n">
        <f aca="false">N242*Q242</f>
        <v>0.000526678671804865</v>
      </c>
      <c r="T242" s="24" t="n">
        <f aca="false">N242^2</f>
        <v>0.000544821786147405</v>
      </c>
    </row>
    <row r="243" customFormat="false" ht="15" hidden="false" customHeight="false" outlineLevel="0" collapsed="false">
      <c r="A243" s="5" t="s">
        <v>495</v>
      </c>
      <c r="B243" s="5" t="s">
        <v>161</v>
      </c>
      <c r="C243" s="5" t="s">
        <v>56</v>
      </c>
      <c r="D243" s="5" t="s">
        <v>62</v>
      </c>
      <c r="E243" s="5" t="s">
        <v>72</v>
      </c>
      <c r="F243" s="26" t="n">
        <v>28.26</v>
      </c>
      <c r="G243" s="26" t="n">
        <v>26.88</v>
      </c>
      <c r="H243" s="30" t="n">
        <v>1.152</v>
      </c>
      <c r="I243" s="28" t="n">
        <f aca="false">H243*G243/3.6</f>
        <v>8.6016</v>
      </c>
      <c r="J243" s="30" t="n">
        <v>4.34</v>
      </c>
      <c r="K243" s="30" t="n">
        <v>1.076</v>
      </c>
      <c r="L243" s="30" t="n">
        <v>1.384</v>
      </c>
      <c r="M243" s="30" t="n">
        <v>6.61</v>
      </c>
      <c r="N243" s="25" t="n">
        <v>0.482165210239227</v>
      </c>
      <c r="O243" s="17" t="n">
        <v>0</v>
      </c>
      <c r="P243" s="26" t="n">
        <v>0</v>
      </c>
      <c r="Q243" s="24" t="n">
        <f aca="false">IF(O243=1,1/(1+EXP(-(P243-Inputs!$B$12)/Inputs!$B$13)),0)</f>
        <v>0</v>
      </c>
      <c r="R243" s="24" t="n">
        <f aca="false">N243*O243</f>
        <v>0</v>
      </c>
      <c r="S243" s="12" t="n">
        <f aca="false">N243*Q243</f>
        <v>0</v>
      </c>
      <c r="T243" s="24" t="n">
        <f aca="false">N243^2</f>
        <v>0.232483289965038</v>
      </c>
    </row>
    <row r="244" customFormat="false" ht="15" hidden="false" customHeight="false" outlineLevel="0" collapsed="false">
      <c r="A244" s="5" t="s">
        <v>496</v>
      </c>
      <c r="B244" s="5" t="s">
        <v>161</v>
      </c>
      <c r="C244" s="5" t="s">
        <v>56</v>
      </c>
      <c r="D244" s="5" t="s">
        <v>62</v>
      </c>
      <c r="E244" s="5" t="s">
        <v>72</v>
      </c>
      <c r="F244" s="26" t="n">
        <v>20.15</v>
      </c>
      <c r="G244" s="26" t="n">
        <v>16.65</v>
      </c>
      <c r="H244" s="30" t="n">
        <v>1.153</v>
      </c>
      <c r="I244" s="28" t="n">
        <f aca="false">H244*G244/3.6</f>
        <v>5.332625</v>
      </c>
      <c r="J244" s="30" t="n">
        <v>3.24</v>
      </c>
      <c r="K244" s="30" t="n">
        <v>2.084</v>
      </c>
      <c r="L244" s="30" t="n">
        <v>1.379</v>
      </c>
      <c r="M244" s="30" t="n">
        <v>6.4</v>
      </c>
      <c r="N244" s="25" t="n">
        <v>0.165957038746445</v>
      </c>
      <c r="O244" s="17" t="n">
        <v>0</v>
      </c>
      <c r="P244" s="26" t="n">
        <v>0</v>
      </c>
      <c r="Q244" s="24" t="n">
        <f aca="false">IF(O244=1,1/(1+EXP(-(P244-Inputs!$B$12)/Inputs!$B$13)),0)</f>
        <v>0</v>
      </c>
      <c r="R244" s="24" t="n">
        <f aca="false">N244*O244</f>
        <v>0</v>
      </c>
      <c r="S244" s="12" t="n">
        <f aca="false">N244*Q244</f>
        <v>0</v>
      </c>
      <c r="T244" s="24" t="n">
        <f aca="false">N244^2</f>
        <v>0.0275417387094891</v>
      </c>
    </row>
    <row r="245" customFormat="false" ht="15" hidden="false" customHeight="false" outlineLevel="0" collapsed="false">
      <c r="A245" s="5" t="s">
        <v>497</v>
      </c>
      <c r="B245" s="5" t="s">
        <v>161</v>
      </c>
      <c r="C245" s="5" t="s">
        <v>56</v>
      </c>
      <c r="D245" s="5" t="s">
        <v>62</v>
      </c>
      <c r="E245" s="5" t="s">
        <v>72</v>
      </c>
      <c r="F245" s="26" t="n">
        <v>20.67</v>
      </c>
      <c r="G245" s="26" t="n">
        <v>22.9</v>
      </c>
      <c r="H245" s="30" t="n">
        <v>1.175</v>
      </c>
      <c r="I245" s="28" t="n">
        <f aca="false">H245*G245/3.6</f>
        <v>7.47430555555556</v>
      </c>
      <c r="J245" s="30" t="n">
        <v>4.8</v>
      </c>
      <c r="K245" s="30" t="n">
        <v>0.607</v>
      </c>
      <c r="L245" s="30" t="n">
        <v>1.863</v>
      </c>
      <c r="M245" s="30" t="n">
        <v>5.07</v>
      </c>
      <c r="N245" s="25" t="n">
        <v>0.743019567412533</v>
      </c>
      <c r="O245" s="17" t="n">
        <v>0</v>
      </c>
      <c r="P245" s="26" t="n">
        <v>0</v>
      </c>
      <c r="Q245" s="24" t="n">
        <f aca="false">IF(O245=1,1/(1+EXP(-(P245-Inputs!$B$12)/Inputs!$B$13)),0)</f>
        <v>0</v>
      </c>
      <c r="R245" s="24" t="n">
        <f aca="false">N245*O245</f>
        <v>0</v>
      </c>
      <c r="S245" s="12" t="n">
        <f aca="false">N245*Q245</f>
        <v>0</v>
      </c>
      <c r="T245" s="24" t="n">
        <f aca="false">N245^2</f>
        <v>0.552078077557908</v>
      </c>
    </row>
    <row r="246" customFormat="false" ht="15" hidden="false" customHeight="false" outlineLevel="0" collapsed="false">
      <c r="A246" s="5" t="s">
        <v>498</v>
      </c>
      <c r="B246" s="5" t="s">
        <v>162</v>
      </c>
      <c r="C246" s="5" t="s">
        <v>56</v>
      </c>
      <c r="D246" s="5" t="s">
        <v>62</v>
      </c>
      <c r="E246" s="5" t="s">
        <v>73</v>
      </c>
      <c r="F246" s="26" t="n">
        <v>32.28</v>
      </c>
      <c r="G246" s="26" t="n">
        <v>36.84</v>
      </c>
      <c r="H246" s="30" t="n">
        <v>0.539</v>
      </c>
      <c r="I246" s="28" t="n">
        <f aca="false">H246*G246/3.6</f>
        <v>5.51576666666667</v>
      </c>
      <c r="J246" s="30" t="n">
        <v>5.43</v>
      </c>
      <c r="K246" s="30" t="n">
        <v>0.595</v>
      </c>
      <c r="L246" s="30" t="n">
        <v>2.188</v>
      </c>
      <c r="M246" s="30" t="n">
        <v>6.69</v>
      </c>
      <c r="N246" s="25" t="n">
        <v>0.192783639256062</v>
      </c>
      <c r="O246" s="17" t="n">
        <v>1</v>
      </c>
      <c r="P246" s="26" t="n">
        <v>16.28</v>
      </c>
      <c r="Q246" s="24" t="n">
        <f aca="false">IF(O246=1,1/(1+EXP(-(P246-Inputs!$B$12)/Inputs!$B$13)),0)</f>
        <v>0.0162567434144427</v>
      </c>
      <c r="R246" s="24" t="n">
        <f aca="false">N246*O246</f>
        <v>0.192783639256062</v>
      </c>
      <c r="S246" s="12" t="n">
        <f aca="false">N246*Q246</f>
        <v>0.00313403415788828</v>
      </c>
      <c r="T246" s="24" t="n">
        <f aca="false">N246^2</f>
        <v>0.0371655315648113</v>
      </c>
    </row>
    <row r="247" customFormat="false" ht="15" hidden="false" customHeight="false" outlineLevel="0" collapsed="false">
      <c r="A247" s="5" t="s">
        <v>499</v>
      </c>
      <c r="B247" s="5" t="s">
        <v>162</v>
      </c>
      <c r="C247" s="5" t="s">
        <v>56</v>
      </c>
      <c r="D247" s="5" t="s">
        <v>62</v>
      </c>
      <c r="E247" s="5" t="s">
        <v>73</v>
      </c>
      <c r="F247" s="26" t="n">
        <v>22.44</v>
      </c>
      <c r="G247" s="26" t="n">
        <v>19.45</v>
      </c>
      <c r="H247" s="30" t="n">
        <v>0.653</v>
      </c>
      <c r="I247" s="28" t="n">
        <f aca="false">H247*G247/3.6</f>
        <v>3.52801388888889</v>
      </c>
      <c r="J247" s="30" t="n">
        <v>5.76</v>
      </c>
      <c r="K247" s="30" t="n">
        <v>1.919</v>
      </c>
      <c r="L247" s="30" t="n">
        <v>1.871</v>
      </c>
      <c r="M247" s="30" t="n">
        <v>4.78</v>
      </c>
      <c r="N247" s="25" t="n">
        <v>0.0797072316776561</v>
      </c>
      <c r="O247" s="17" t="n">
        <v>1</v>
      </c>
      <c r="P247" s="26" t="n">
        <v>19.45</v>
      </c>
      <c r="Q247" s="24" t="n">
        <f aca="false">IF(O247=1,1/(1+EXP(-(P247-Inputs!$B$12)/Inputs!$B$13)),0)</f>
        <v>0.0253327032268717</v>
      </c>
      <c r="R247" s="24" t="n">
        <f aca="false">N247*O247</f>
        <v>0.0797072316776561</v>
      </c>
      <c r="S247" s="12" t="n">
        <f aca="false">N247*Q247</f>
        <v>0.00201919964512557</v>
      </c>
      <c r="T247" s="24" t="n">
        <f aca="false">N247^2</f>
        <v>0.00635324278171555</v>
      </c>
    </row>
    <row r="248" customFormat="false" ht="15" hidden="false" customHeight="false" outlineLevel="0" collapsed="false">
      <c r="A248" s="5" t="s">
        <v>500</v>
      </c>
      <c r="B248" s="5" t="s">
        <v>162</v>
      </c>
      <c r="C248" s="5" t="s">
        <v>56</v>
      </c>
      <c r="D248" s="5" t="s">
        <v>62</v>
      </c>
      <c r="E248" s="5" t="s">
        <v>73</v>
      </c>
      <c r="F248" s="26" t="n">
        <v>20.94</v>
      </c>
      <c r="G248" s="26" t="n">
        <v>21.75</v>
      </c>
      <c r="H248" s="30" t="n">
        <v>0.538</v>
      </c>
      <c r="I248" s="28" t="n">
        <f aca="false">H248*G248/3.6</f>
        <v>3.25041666666667</v>
      </c>
      <c r="J248" s="30" t="n">
        <v>5.22</v>
      </c>
      <c r="K248" s="30" t="n">
        <v>0.642</v>
      </c>
      <c r="L248" s="30" t="n">
        <v>2.849</v>
      </c>
      <c r="M248" s="30" t="n">
        <v>3.53</v>
      </c>
      <c r="N248" s="25" t="n">
        <v>0.24091896962813</v>
      </c>
      <c r="O248" s="17" t="n">
        <v>1</v>
      </c>
      <c r="P248" s="26" t="n">
        <v>13.02</v>
      </c>
      <c r="Q248" s="24" t="n">
        <f aca="false">IF(O248=1,1/(1+EXP(-(P248-Inputs!$B$12)/Inputs!$B$13)),0)</f>
        <v>0.010266277667233</v>
      </c>
      <c r="R248" s="24" t="n">
        <f aca="false">N248*O248</f>
        <v>0.24091896962813</v>
      </c>
      <c r="S248" s="12" t="n">
        <f aca="false">N248*Q248</f>
        <v>0.00247334103750606</v>
      </c>
      <c r="T248" s="24" t="n">
        <f aca="false">N248^2</f>
        <v>0.0580419499266797</v>
      </c>
    </row>
    <row r="249" customFormat="false" ht="15" hidden="false" customHeight="false" outlineLevel="0" collapsed="false">
      <c r="A249" s="5" t="s">
        <v>501</v>
      </c>
      <c r="B249" s="5" t="s">
        <v>162</v>
      </c>
      <c r="C249" s="5" t="s">
        <v>56</v>
      </c>
      <c r="D249" s="5" t="s">
        <v>62</v>
      </c>
      <c r="E249" s="5" t="s">
        <v>73</v>
      </c>
      <c r="F249" s="26" t="n">
        <v>25.48</v>
      </c>
      <c r="G249" s="26" t="n">
        <v>24.18</v>
      </c>
      <c r="H249" s="30" t="n">
        <v>0.62</v>
      </c>
      <c r="I249" s="28" t="n">
        <f aca="false">H249*G249/3.6</f>
        <v>4.16433333333333</v>
      </c>
      <c r="J249" s="30" t="n">
        <v>5.54</v>
      </c>
      <c r="K249" s="30" t="n">
        <v>0.901</v>
      </c>
      <c r="L249" s="30" t="n">
        <v>1.787</v>
      </c>
      <c r="M249" s="30" t="n">
        <v>5.1</v>
      </c>
      <c r="N249" s="25" t="n">
        <v>0.36429749892085</v>
      </c>
      <c r="O249" s="17" t="n">
        <v>1</v>
      </c>
      <c r="P249" s="26" t="n">
        <v>16.86</v>
      </c>
      <c r="Q249" s="24" t="n">
        <f aca="false">IF(O249=1,1/(1+EXP(-(P249-Inputs!$B$12)/Inputs!$B$13)),0)</f>
        <v>0.0176363403397227</v>
      </c>
      <c r="R249" s="24" t="n">
        <f aca="false">N249*O249</f>
        <v>0.36429749892085</v>
      </c>
      <c r="S249" s="12" t="n">
        <f aca="false">N249*Q249</f>
        <v>0.00642487467587787</v>
      </c>
      <c r="T249" s="24" t="n">
        <f aca="false">N249^2</f>
        <v>0.132712667719987</v>
      </c>
    </row>
    <row r="250" customFormat="false" ht="15" hidden="false" customHeight="false" outlineLevel="0" collapsed="false">
      <c r="A250" s="5" t="s">
        <v>502</v>
      </c>
      <c r="B250" s="5" t="s">
        <v>162</v>
      </c>
      <c r="C250" s="5" t="s">
        <v>56</v>
      </c>
      <c r="D250" s="5" t="s">
        <v>62</v>
      </c>
      <c r="E250" s="5" t="s">
        <v>73</v>
      </c>
      <c r="F250" s="26" t="n">
        <v>34.05</v>
      </c>
      <c r="G250" s="26" t="n">
        <v>31.54</v>
      </c>
      <c r="H250" s="30" t="n">
        <v>0.726</v>
      </c>
      <c r="I250" s="28" t="n">
        <f aca="false">H250*G250/3.6</f>
        <v>6.36056666666667</v>
      </c>
      <c r="J250" s="30" t="n">
        <v>4.43</v>
      </c>
      <c r="K250" s="30" t="n">
        <v>1.219</v>
      </c>
      <c r="L250" s="30" t="n">
        <v>3.082</v>
      </c>
      <c r="M250" s="30" t="n">
        <v>3.54</v>
      </c>
      <c r="N250" s="25" t="n">
        <v>0.0370132561872783</v>
      </c>
      <c r="O250" s="17" t="n">
        <v>1</v>
      </c>
      <c r="P250" s="26" t="n">
        <v>16.93</v>
      </c>
      <c r="Q250" s="24" t="n">
        <f aca="false">IF(O250=1,1/(1+EXP(-(P250-Inputs!$B$12)/Inputs!$B$13)),0)</f>
        <v>0.0178104316405254</v>
      </c>
      <c r="R250" s="24" t="n">
        <f aca="false">N250*O250</f>
        <v>0.0370132561872783</v>
      </c>
      <c r="S250" s="12" t="n">
        <f aca="false">N250*Q250</f>
        <v>0.000659222069116774</v>
      </c>
      <c r="T250" s="24" t="n">
        <f aca="false">N250^2</f>
        <v>0.0013699811335851</v>
      </c>
    </row>
    <row r="251" customFormat="false" ht="15" hidden="false" customHeight="false" outlineLevel="0" collapsed="false">
      <c r="A251" s="5" t="s">
        <v>503</v>
      </c>
      <c r="B251" s="5" t="s">
        <v>162</v>
      </c>
      <c r="C251" s="5" t="s">
        <v>56</v>
      </c>
      <c r="D251" s="5" t="s">
        <v>62</v>
      </c>
      <c r="E251" s="5" t="s">
        <v>73</v>
      </c>
      <c r="F251" s="26" t="n">
        <v>31.99</v>
      </c>
      <c r="G251" s="26" t="n">
        <v>27.45</v>
      </c>
      <c r="H251" s="30" t="n">
        <v>0.504</v>
      </c>
      <c r="I251" s="28" t="n">
        <f aca="false">H251*G251/3.6</f>
        <v>3.843</v>
      </c>
      <c r="J251" s="30" t="n">
        <v>3.67</v>
      </c>
      <c r="K251" s="30" t="n">
        <v>1.872</v>
      </c>
      <c r="L251" s="30" t="n">
        <v>2.423</v>
      </c>
      <c r="M251" s="30" t="n">
        <v>4.43</v>
      </c>
      <c r="N251" s="25" t="n">
        <v>0.041490429149095</v>
      </c>
      <c r="O251" s="17" t="n">
        <v>1</v>
      </c>
      <c r="P251" s="26" t="n">
        <v>19.65</v>
      </c>
      <c r="Q251" s="24" t="n">
        <f aca="false">IF(O251=1,1/(1+EXP(-(P251-Inputs!$B$12)/Inputs!$B$13)),0)</f>
        <v>0.0260478087112236</v>
      </c>
      <c r="R251" s="24" t="n">
        <f aca="false">N251*O251</f>
        <v>0.041490429149095</v>
      </c>
      <c r="S251" s="12" t="n">
        <f aca="false">N251*Q251</f>
        <v>0.0010807347618222</v>
      </c>
      <c r="T251" s="24" t="n">
        <f aca="false">N251^2</f>
        <v>0.00172145571097607</v>
      </c>
    </row>
    <row r="252" customFormat="false" ht="15" hidden="false" customHeight="false" outlineLevel="0" collapsed="false">
      <c r="A252" s="5" t="s">
        <v>504</v>
      </c>
      <c r="B252" s="5" t="s">
        <v>162</v>
      </c>
      <c r="C252" s="5" t="s">
        <v>56</v>
      </c>
      <c r="D252" s="5" t="s">
        <v>62</v>
      </c>
      <c r="E252" s="5" t="s">
        <v>73</v>
      </c>
      <c r="F252" s="26" t="n">
        <v>33.78</v>
      </c>
      <c r="G252" s="26" t="n">
        <v>37.41</v>
      </c>
      <c r="H252" s="30" t="n">
        <v>0.844</v>
      </c>
      <c r="I252" s="28" t="n">
        <f aca="false">H252*G252/3.6</f>
        <v>8.77056666666667</v>
      </c>
      <c r="J252" s="30" t="n">
        <v>4.64</v>
      </c>
      <c r="K252" s="30" t="n">
        <v>0.91</v>
      </c>
      <c r="L252" s="30" t="n">
        <v>1.089</v>
      </c>
      <c r="M252" s="30" t="n">
        <v>5.34</v>
      </c>
      <c r="N252" s="25" t="n">
        <v>2.51289598412689</v>
      </c>
      <c r="O252" s="17" t="n">
        <v>0</v>
      </c>
      <c r="P252" s="26" t="n">
        <v>0</v>
      </c>
      <c r="Q252" s="24" t="n">
        <f aca="false">IF(O252=1,1/(1+EXP(-(P252-Inputs!$B$12)/Inputs!$B$13)),0)</f>
        <v>0</v>
      </c>
      <c r="R252" s="24" t="n">
        <f aca="false">N252*O252</f>
        <v>0</v>
      </c>
      <c r="S252" s="12" t="n">
        <f aca="false">N252*Q252</f>
        <v>0</v>
      </c>
      <c r="T252" s="24" t="n">
        <f aca="false">N252^2</f>
        <v>6.31464622704103</v>
      </c>
    </row>
    <row r="253" customFormat="false" ht="15" hidden="false" customHeight="false" outlineLevel="0" collapsed="false">
      <c r="A253" s="5" t="s">
        <v>505</v>
      </c>
      <c r="B253" s="5" t="s">
        <v>162</v>
      </c>
      <c r="C253" s="5" t="s">
        <v>56</v>
      </c>
      <c r="D253" s="5" t="s">
        <v>62</v>
      </c>
      <c r="E253" s="5" t="s">
        <v>73</v>
      </c>
      <c r="F253" s="26" t="n">
        <v>25.25</v>
      </c>
      <c r="G253" s="26" t="n">
        <v>24.32</v>
      </c>
      <c r="H253" s="30" t="n">
        <v>0.607</v>
      </c>
      <c r="I253" s="28" t="n">
        <f aca="false">H253*G253/3.6</f>
        <v>4.10062222222222</v>
      </c>
      <c r="J253" s="30" t="n">
        <v>4.76</v>
      </c>
      <c r="K253" s="30" t="n">
        <v>1.815</v>
      </c>
      <c r="L253" s="30" t="n">
        <v>1.047</v>
      </c>
      <c r="M253" s="30" t="n">
        <v>7.21</v>
      </c>
      <c r="N253" s="25" t="n">
        <v>0.353459350120607</v>
      </c>
      <c r="O253" s="17" t="n">
        <v>1</v>
      </c>
      <c r="P253" s="26" t="n">
        <v>13.45</v>
      </c>
      <c r="Q253" s="24" t="n">
        <f aca="false">IF(O253=1,1/(1+EXP(-(P253-Inputs!$B$12)/Inputs!$B$13)),0)</f>
        <v>0.0109095971966205</v>
      </c>
      <c r="R253" s="24" t="n">
        <f aca="false">N253*O253</f>
        <v>0.353459350120607</v>
      </c>
      <c r="S253" s="12" t="n">
        <f aca="false">N253*Q253</f>
        <v>0.00385609913519508</v>
      </c>
      <c r="T253" s="24" t="n">
        <f aca="false">N253^2</f>
        <v>0.124933512187682</v>
      </c>
    </row>
    <row r="254" customFormat="false" ht="15" hidden="false" customHeight="false" outlineLevel="0" collapsed="false">
      <c r="A254" s="5" t="s">
        <v>506</v>
      </c>
      <c r="B254" s="5" t="s">
        <v>162</v>
      </c>
      <c r="C254" s="5" t="s">
        <v>56</v>
      </c>
      <c r="D254" s="5" t="s">
        <v>62</v>
      </c>
      <c r="E254" s="5" t="s">
        <v>73</v>
      </c>
      <c r="F254" s="26" t="n">
        <v>24.84</v>
      </c>
      <c r="G254" s="26" t="n">
        <v>26.73</v>
      </c>
      <c r="H254" s="30" t="n">
        <v>0.576</v>
      </c>
      <c r="I254" s="28" t="n">
        <f aca="false">H254*G254/3.6</f>
        <v>4.2768</v>
      </c>
      <c r="J254" s="30" t="n">
        <v>4.33</v>
      </c>
      <c r="K254" s="30" t="n">
        <v>0.957</v>
      </c>
      <c r="L254" s="30" t="n">
        <v>1.37</v>
      </c>
      <c r="M254" s="30" t="n">
        <v>7.62</v>
      </c>
      <c r="N254" s="25" t="n">
        <v>0.421776369457805</v>
      </c>
      <c r="O254" s="17" t="n">
        <v>1</v>
      </c>
      <c r="P254" s="26" t="n">
        <v>16.85</v>
      </c>
      <c r="Q254" s="24" t="n">
        <f aca="false">IF(O254=1,1/(1+EXP(-(P254-Inputs!$B$12)/Inputs!$B$13)),0)</f>
        <v>0.0176116069591359</v>
      </c>
      <c r="R254" s="24" t="n">
        <f aca="false">N254*O254</f>
        <v>0.421776369457805</v>
      </c>
      <c r="S254" s="12" t="n">
        <f aca="false">N254*Q254</f>
        <v>0.00742815964354216</v>
      </c>
      <c r="T254" s="24" t="n">
        <f aca="false">N254^2</f>
        <v>0.177895305833007</v>
      </c>
    </row>
    <row r="255" customFormat="false" ht="15" hidden="false" customHeight="false" outlineLevel="0" collapsed="false">
      <c r="A255" s="5" t="s">
        <v>507</v>
      </c>
      <c r="B255" s="5" t="s">
        <v>162</v>
      </c>
      <c r="C255" s="5" t="s">
        <v>56</v>
      </c>
      <c r="D255" s="5" t="s">
        <v>62</v>
      </c>
      <c r="E255" s="5" t="s">
        <v>73</v>
      </c>
      <c r="F255" s="26" t="n">
        <v>31.99</v>
      </c>
      <c r="G255" s="26" t="n">
        <v>32.14</v>
      </c>
      <c r="H255" s="30" t="n">
        <v>0.885</v>
      </c>
      <c r="I255" s="28" t="n">
        <f aca="false">H255*G255/3.6</f>
        <v>7.90108333333333</v>
      </c>
      <c r="J255" s="30" t="n">
        <v>3.12</v>
      </c>
      <c r="K255" s="30" t="n">
        <v>0.665</v>
      </c>
      <c r="L255" s="30" t="n">
        <v>0.817</v>
      </c>
      <c r="M255" s="30" t="n">
        <v>4.24</v>
      </c>
      <c r="N255" s="25" t="n">
        <v>12.583323951289</v>
      </c>
      <c r="O255" s="17" t="n">
        <v>0</v>
      </c>
      <c r="P255" s="26" t="n">
        <v>0</v>
      </c>
      <c r="Q255" s="24" t="n">
        <f aca="false">IF(O255=1,1/(1+EXP(-(P255-Inputs!$B$12)/Inputs!$B$13)),0)</f>
        <v>0</v>
      </c>
      <c r="R255" s="24" t="n">
        <f aca="false">N255*O255</f>
        <v>0</v>
      </c>
      <c r="S255" s="12" t="n">
        <f aca="false">N255*Q255</f>
        <v>0</v>
      </c>
      <c r="T255" s="24" t="n">
        <f aca="false">N255^2</f>
        <v>158.340041663084</v>
      </c>
    </row>
    <row r="256" customFormat="false" ht="15" hidden="false" customHeight="false" outlineLevel="0" collapsed="false">
      <c r="A256" s="5" t="s">
        <v>508</v>
      </c>
      <c r="B256" s="5" t="s">
        <v>163</v>
      </c>
      <c r="C256" s="5" t="s">
        <v>56</v>
      </c>
      <c r="D256" s="5" t="s">
        <v>64</v>
      </c>
      <c r="E256" s="5" t="s">
        <v>68</v>
      </c>
      <c r="F256" s="26" t="n">
        <v>38.61</v>
      </c>
      <c r="G256" s="26" t="n">
        <v>40.07</v>
      </c>
      <c r="H256" s="30" t="n">
        <v>3.548</v>
      </c>
      <c r="I256" s="28" t="n">
        <f aca="false">H256*G256/3.6</f>
        <v>39.4912111111111</v>
      </c>
      <c r="J256" s="30" t="n">
        <v>4.34</v>
      </c>
      <c r="K256" s="30" t="n">
        <v>2.088</v>
      </c>
      <c r="L256" s="30" t="n">
        <v>1.184</v>
      </c>
      <c r="M256" s="30" t="n">
        <v>7.56</v>
      </c>
      <c r="N256" s="25" t="n">
        <v>0.164737469486284</v>
      </c>
      <c r="O256" s="17" t="n">
        <v>0</v>
      </c>
      <c r="P256" s="26" t="n">
        <v>0</v>
      </c>
      <c r="Q256" s="24" t="n">
        <f aca="false">IF(O256=1,1/(1+EXP(-(P256-Inputs!$B$12)/Inputs!$B$13)),0)</f>
        <v>0</v>
      </c>
      <c r="R256" s="24" t="n">
        <f aca="false">N256*O256</f>
        <v>0</v>
      </c>
      <c r="S256" s="12" t="n">
        <f aca="false">N256*Q256</f>
        <v>0</v>
      </c>
      <c r="T256" s="24" t="n">
        <f aca="false">N256^2</f>
        <v>0.0271384338527444</v>
      </c>
    </row>
    <row r="257" customFormat="false" ht="15" hidden="false" customHeight="false" outlineLevel="0" collapsed="false">
      <c r="A257" s="5" t="s">
        <v>509</v>
      </c>
      <c r="B257" s="5" t="s">
        <v>163</v>
      </c>
      <c r="C257" s="5" t="s">
        <v>56</v>
      </c>
      <c r="D257" s="5" t="s">
        <v>64</v>
      </c>
      <c r="E257" s="5" t="s">
        <v>68</v>
      </c>
      <c r="F257" s="26" t="n">
        <v>38.01</v>
      </c>
      <c r="G257" s="26" t="n">
        <v>35.57</v>
      </c>
      <c r="H257" s="30" t="n">
        <v>3.686</v>
      </c>
      <c r="I257" s="28" t="n">
        <f aca="false">H257*G257/3.6</f>
        <v>36.4197277777778</v>
      </c>
      <c r="J257" s="30" t="n">
        <v>3.06</v>
      </c>
      <c r="K257" s="30" t="n">
        <v>0.998</v>
      </c>
      <c r="L257" s="30" t="n">
        <v>0.963</v>
      </c>
      <c r="M257" s="30" t="n">
        <v>7.58</v>
      </c>
      <c r="N257" s="25" t="n">
        <v>1.27642337976953</v>
      </c>
      <c r="O257" s="17" t="n">
        <v>0</v>
      </c>
      <c r="P257" s="26" t="n">
        <v>0</v>
      </c>
      <c r="Q257" s="24" t="n">
        <f aca="false">IF(O257=1,1/(1+EXP(-(P257-Inputs!$B$12)/Inputs!$B$13)),0)</f>
        <v>0</v>
      </c>
      <c r="R257" s="24" t="n">
        <f aca="false">N257*O257</f>
        <v>0</v>
      </c>
      <c r="S257" s="12" t="n">
        <f aca="false">N257*Q257</f>
        <v>0</v>
      </c>
      <c r="T257" s="24" t="n">
        <f aca="false">N257^2</f>
        <v>1.62925664442227</v>
      </c>
    </row>
    <row r="258" customFormat="false" ht="15" hidden="false" customHeight="false" outlineLevel="0" collapsed="false">
      <c r="A258" s="5" t="s">
        <v>510</v>
      </c>
      <c r="B258" s="5" t="s">
        <v>163</v>
      </c>
      <c r="C258" s="5" t="s">
        <v>56</v>
      </c>
      <c r="D258" s="5" t="s">
        <v>64</v>
      </c>
      <c r="E258" s="5" t="s">
        <v>68</v>
      </c>
      <c r="F258" s="26" t="n">
        <v>47.78</v>
      </c>
      <c r="G258" s="26" t="n">
        <v>48.36</v>
      </c>
      <c r="H258" s="30" t="n">
        <v>3.463</v>
      </c>
      <c r="I258" s="28" t="n">
        <f aca="false">H258*G258/3.6</f>
        <v>46.5196333333333</v>
      </c>
      <c r="J258" s="30" t="n">
        <v>2.52</v>
      </c>
      <c r="K258" s="30" t="n">
        <v>1.478</v>
      </c>
      <c r="L258" s="30" t="n">
        <v>1.48</v>
      </c>
      <c r="M258" s="30" t="n">
        <v>4.9</v>
      </c>
      <c r="N258" s="25" t="n">
        <v>0.315721964220436</v>
      </c>
      <c r="O258" s="17" t="n">
        <v>0</v>
      </c>
      <c r="P258" s="26" t="n">
        <v>0</v>
      </c>
      <c r="Q258" s="24" t="n">
        <f aca="false">IF(O258=1,1/(1+EXP(-(P258-Inputs!$B$12)/Inputs!$B$13)),0)</f>
        <v>0</v>
      </c>
      <c r="R258" s="24" t="n">
        <f aca="false">N258*O258</f>
        <v>0</v>
      </c>
      <c r="S258" s="12" t="n">
        <f aca="false">N258*Q258</f>
        <v>0</v>
      </c>
      <c r="T258" s="24" t="n">
        <f aca="false">N258^2</f>
        <v>0.0996803586912104</v>
      </c>
    </row>
    <row r="259" customFormat="false" ht="15" hidden="false" customHeight="false" outlineLevel="0" collapsed="false">
      <c r="A259" s="5" t="s">
        <v>511</v>
      </c>
      <c r="B259" s="5" t="s">
        <v>163</v>
      </c>
      <c r="C259" s="5" t="s">
        <v>56</v>
      </c>
      <c r="D259" s="5" t="s">
        <v>64</v>
      </c>
      <c r="E259" s="5" t="s">
        <v>68</v>
      </c>
      <c r="F259" s="26" t="n">
        <v>49.8</v>
      </c>
      <c r="G259" s="26" t="n">
        <v>50.95</v>
      </c>
      <c r="H259" s="30" t="n">
        <v>3.263</v>
      </c>
      <c r="I259" s="28" t="n">
        <f aca="false">H259*G259/3.6</f>
        <v>46.1805138888889</v>
      </c>
      <c r="J259" s="30" t="n">
        <v>3.54</v>
      </c>
      <c r="K259" s="30" t="n">
        <v>1.901</v>
      </c>
      <c r="L259" s="30" t="n">
        <v>1.426</v>
      </c>
      <c r="M259" s="30" t="n">
        <v>6.65</v>
      </c>
      <c r="N259" s="25" t="n">
        <v>0.144830965290364</v>
      </c>
      <c r="O259" s="17" t="n">
        <v>0</v>
      </c>
      <c r="P259" s="26" t="n">
        <v>0</v>
      </c>
      <c r="Q259" s="24" t="n">
        <f aca="false">IF(O259=1,1/(1+EXP(-(P259-Inputs!$B$12)/Inputs!$B$13)),0)</f>
        <v>0</v>
      </c>
      <c r="R259" s="24" t="n">
        <f aca="false">N259*O259</f>
        <v>0</v>
      </c>
      <c r="S259" s="12" t="n">
        <f aca="false">N259*Q259</f>
        <v>0</v>
      </c>
      <c r="T259" s="24" t="n">
        <f aca="false">N259^2</f>
        <v>0.0209760085069385</v>
      </c>
    </row>
    <row r="260" customFormat="false" ht="15" hidden="false" customHeight="false" outlineLevel="0" collapsed="false">
      <c r="A260" s="5" t="s">
        <v>512</v>
      </c>
      <c r="B260" s="5" t="s">
        <v>163</v>
      </c>
      <c r="C260" s="5" t="s">
        <v>56</v>
      </c>
      <c r="D260" s="5" t="s">
        <v>64</v>
      </c>
      <c r="E260" s="5" t="s">
        <v>68</v>
      </c>
      <c r="F260" s="26" t="n">
        <v>53.75</v>
      </c>
      <c r="G260" s="26" t="n">
        <v>53.55</v>
      </c>
      <c r="H260" s="30" t="n">
        <v>4.081</v>
      </c>
      <c r="I260" s="28" t="n">
        <f aca="false">H260*G260/3.6</f>
        <v>60.704875</v>
      </c>
      <c r="J260" s="30" t="n">
        <v>5.41</v>
      </c>
      <c r="K260" s="30" t="n">
        <v>1.725</v>
      </c>
      <c r="L260" s="30" t="n">
        <v>1.156</v>
      </c>
      <c r="M260" s="30" t="n">
        <v>4.98</v>
      </c>
      <c r="N260" s="25" t="n">
        <v>0.46603368475495</v>
      </c>
      <c r="O260" s="17" t="n">
        <v>0</v>
      </c>
      <c r="P260" s="26" t="n">
        <v>0</v>
      </c>
      <c r="Q260" s="24" t="n">
        <f aca="false">IF(O260=1,1/(1+EXP(-(P260-Inputs!$B$12)/Inputs!$B$13)),0)</f>
        <v>0</v>
      </c>
      <c r="R260" s="24" t="n">
        <f aca="false">N260*O260</f>
        <v>0</v>
      </c>
      <c r="S260" s="12" t="n">
        <f aca="false">N260*Q260</f>
        <v>0</v>
      </c>
      <c r="T260" s="24" t="n">
        <f aca="false">N260^2</f>
        <v>0.217187395326276</v>
      </c>
    </row>
    <row r="261" customFormat="false" ht="15" hidden="false" customHeight="false" outlineLevel="0" collapsed="false">
      <c r="A261" s="5" t="s">
        <v>513</v>
      </c>
      <c r="B261" s="5" t="s">
        <v>163</v>
      </c>
      <c r="C261" s="5" t="s">
        <v>56</v>
      </c>
      <c r="D261" s="5" t="s">
        <v>64</v>
      </c>
      <c r="E261" s="5" t="s">
        <v>68</v>
      </c>
      <c r="F261" s="26" t="n">
        <v>52.68</v>
      </c>
      <c r="G261" s="26" t="n">
        <v>51.3</v>
      </c>
      <c r="H261" s="30" t="n">
        <v>3.907</v>
      </c>
      <c r="I261" s="28" t="n">
        <f aca="false">H261*G261/3.6</f>
        <v>55.67475</v>
      </c>
      <c r="J261" s="30" t="n">
        <v>3.4</v>
      </c>
      <c r="K261" s="30" t="n">
        <v>0.95</v>
      </c>
      <c r="L261" s="30" t="n">
        <v>2.082</v>
      </c>
      <c r="M261" s="30" t="n">
        <v>5.73</v>
      </c>
      <c r="N261" s="25" t="n">
        <v>0.125911438709527</v>
      </c>
      <c r="O261" s="17" t="n">
        <v>0</v>
      </c>
      <c r="P261" s="26" t="n">
        <v>0</v>
      </c>
      <c r="Q261" s="24" t="n">
        <f aca="false">IF(O261=1,1/(1+EXP(-(P261-Inputs!$B$12)/Inputs!$B$13)),0)</f>
        <v>0</v>
      </c>
      <c r="R261" s="24" t="n">
        <f aca="false">N261*O261</f>
        <v>0</v>
      </c>
      <c r="S261" s="12" t="n">
        <f aca="false">N261*Q261</f>
        <v>0</v>
      </c>
      <c r="T261" s="24" t="n">
        <f aca="false">N261^2</f>
        <v>0.0158536903979029</v>
      </c>
    </row>
    <row r="262" customFormat="false" ht="15" hidden="false" customHeight="false" outlineLevel="0" collapsed="false">
      <c r="A262" s="5" t="s">
        <v>514</v>
      </c>
      <c r="B262" s="5" t="s">
        <v>163</v>
      </c>
      <c r="C262" s="5" t="s">
        <v>56</v>
      </c>
      <c r="D262" s="5" t="s">
        <v>64</v>
      </c>
      <c r="E262" s="5" t="s">
        <v>68</v>
      </c>
      <c r="F262" s="26" t="n">
        <v>47.04</v>
      </c>
      <c r="G262" s="26" t="n">
        <v>46.89</v>
      </c>
      <c r="H262" s="30" t="n">
        <v>4.788</v>
      </c>
      <c r="I262" s="28" t="n">
        <f aca="false">H262*G262/3.6</f>
        <v>62.3637</v>
      </c>
      <c r="J262" s="30" t="n">
        <v>3.37</v>
      </c>
      <c r="K262" s="30" t="n">
        <v>0.936</v>
      </c>
      <c r="L262" s="30" t="n">
        <v>1.222</v>
      </c>
      <c r="M262" s="30" t="n">
        <v>7.81</v>
      </c>
      <c r="N262" s="25" t="n">
        <v>0.823711186739273</v>
      </c>
      <c r="O262" s="17" t="n">
        <v>0</v>
      </c>
      <c r="P262" s="26" t="n">
        <v>0</v>
      </c>
      <c r="Q262" s="24" t="n">
        <f aca="false">IF(O262=1,1/(1+EXP(-(P262-Inputs!$B$12)/Inputs!$B$13)),0)</f>
        <v>0</v>
      </c>
      <c r="R262" s="24" t="n">
        <f aca="false">N262*O262</f>
        <v>0</v>
      </c>
      <c r="S262" s="12" t="n">
        <f aca="false">N262*Q262</f>
        <v>0</v>
      </c>
      <c r="T262" s="24" t="n">
        <f aca="false">N262^2</f>
        <v>0.678500119159422</v>
      </c>
    </row>
    <row r="263" customFormat="false" ht="15" hidden="false" customHeight="false" outlineLevel="0" collapsed="false">
      <c r="A263" s="5" t="s">
        <v>515</v>
      </c>
      <c r="B263" s="5" t="s">
        <v>163</v>
      </c>
      <c r="C263" s="5" t="s">
        <v>56</v>
      </c>
      <c r="D263" s="5" t="s">
        <v>64</v>
      </c>
      <c r="E263" s="5" t="s">
        <v>68</v>
      </c>
      <c r="F263" s="26" t="n">
        <v>48.62</v>
      </c>
      <c r="G263" s="26" t="n">
        <v>46.51</v>
      </c>
      <c r="H263" s="30" t="n">
        <v>5.103</v>
      </c>
      <c r="I263" s="28" t="n">
        <f aca="false">H263*G263/3.6</f>
        <v>65.927925</v>
      </c>
      <c r="J263" s="30" t="n">
        <v>3.59</v>
      </c>
      <c r="K263" s="30" t="n">
        <v>1.292</v>
      </c>
      <c r="L263" s="30" t="n">
        <v>0.875</v>
      </c>
      <c r="M263" s="30" t="n">
        <v>7.03</v>
      </c>
      <c r="N263" s="25" t="n">
        <v>1.74421892528741</v>
      </c>
      <c r="O263" s="17" t="n">
        <v>0</v>
      </c>
      <c r="P263" s="26" t="n">
        <v>0</v>
      </c>
      <c r="Q263" s="24" t="n">
        <f aca="false">IF(O263=1,1/(1+EXP(-(P263-Inputs!$B$12)/Inputs!$B$13)),0)</f>
        <v>0</v>
      </c>
      <c r="R263" s="24" t="n">
        <f aca="false">N263*O263</f>
        <v>0</v>
      </c>
      <c r="S263" s="12" t="n">
        <f aca="false">N263*Q263</f>
        <v>0</v>
      </c>
      <c r="T263" s="24" t="n">
        <f aca="false">N263^2</f>
        <v>3.04229965933077</v>
      </c>
    </row>
    <row r="264" customFormat="false" ht="15" hidden="false" customHeight="false" outlineLevel="0" collapsed="false">
      <c r="A264" s="5" t="s">
        <v>516</v>
      </c>
      <c r="B264" s="5" t="s">
        <v>163</v>
      </c>
      <c r="C264" s="5" t="s">
        <v>56</v>
      </c>
      <c r="D264" s="5" t="s">
        <v>64</v>
      </c>
      <c r="E264" s="5" t="s">
        <v>68</v>
      </c>
      <c r="F264" s="26" t="n">
        <v>38.72</v>
      </c>
      <c r="G264" s="26" t="n">
        <v>40.16</v>
      </c>
      <c r="H264" s="30" t="n">
        <v>5.442</v>
      </c>
      <c r="I264" s="28" t="n">
        <f aca="false">H264*G264/3.6</f>
        <v>60.7085333333333</v>
      </c>
      <c r="J264" s="30" t="n">
        <v>5.47</v>
      </c>
      <c r="K264" s="30" t="n">
        <v>1.563</v>
      </c>
      <c r="L264" s="30" t="n">
        <v>1.059</v>
      </c>
      <c r="M264" s="30" t="n">
        <v>5.51</v>
      </c>
      <c r="N264" s="25" t="n">
        <v>2.01737864119333</v>
      </c>
      <c r="O264" s="17" t="n">
        <v>0</v>
      </c>
      <c r="P264" s="26" t="n">
        <v>0</v>
      </c>
      <c r="Q264" s="24" t="n">
        <f aca="false">IF(O264=1,1/(1+EXP(-(P264-Inputs!$B$12)/Inputs!$B$13)),0)</f>
        <v>0</v>
      </c>
      <c r="R264" s="24" t="n">
        <f aca="false">N264*O264</f>
        <v>0</v>
      </c>
      <c r="S264" s="12" t="n">
        <f aca="false">N264*Q264</f>
        <v>0</v>
      </c>
      <c r="T264" s="24" t="n">
        <f aca="false">N264^2</f>
        <v>4.06981658194306</v>
      </c>
    </row>
    <row r="265" customFormat="false" ht="15" hidden="false" customHeight="false" outlineLevel="0" collapsed="false">
      <c r="A265" s="5" t="s">
        <v>517</v>
      </c>
      <c r="B265" s="5" t="s">
        <v>163</v>
      </c>
      <c r="C265" s="5" t="s">
        <v>56</v>
      </c>
      <c r="D265" s="5" t="s">
        <v>64</v>
      </c>
      <c r="E265" s="5" t="s">
        <v>68</v>
      </c>
      <c r="F265" s="26" t="n">
        <v>38.22</v>
      </c>
      <c r="G265" s="26" t="n">
        <v>38.13</v>
      </c>
      <c r="H265" s="30" t="n">
        <v>3.12</v>
      </c>
      <c r="I265" s="28" t="n">
        <f aca="false">H265*G265/3.6</f>
        <v>33.046</v>
      </c>
      <c r="J265" s="30" t="n">
        <v>5.42</v>
      </c>
      <c r="K265" s="30" t="n">
        <v>4.899</v>
      </c>
      <c r="L265" s="30" t="n">
        <v>2.198</v>
      </c>
      <c r="M265" s="30" t="n">
        <v>4.08</v>
      </c>
      <c r="N265" s="25" t="n">
        <v>0.0089914517708664</v>
      </c>
      <c r="O265" s="17" t="n">
        <v>0</v>
      </c>
      <c r="P265" s="26" t="n">
        <v>0</v>
      </c>
      <c r="Q265" s="24" t="n">
        <f aca="false">IF(O265=1,1/(1+EXP(-(P265-Inputs!$B$12)/Inputs!$B$13)),0)</f>
        <v>0</v>
      </c>
      <c r="R265" s="24" t="n">
        <f aca="false">N265*O265</f>
        <v>0</v>
      </c>
      <c r="S265" s="12" t="n">
        <f aca="false">N265*Q265</f>
        <v>0</v>
      </c>
      <c r="T265" s="24" t="n">
        <f aca="false">N265^2</f>
        <v>8.08462049478165E-005</v>
      </c>
    </row>
    <row r="266" customFormat="false" ht="15" hidden="false" customHeight="false" outlineLevel="0" collapsed="false">
      <c r="A266" s="5" t="s">
        <v>518</v>
      </c>
      <c r="B266" s="5" t="s">
        <v>164</v>
      </c>
      <c r="C266" s="5" t="s">
        <v>56</v>
      </c>
      <c r="D266" s="5" t="s">
        <v>64</v>
      </c>
      <c r="E266" s="5" t="s">
        <v>70</v>
      </c>
      <c r="F266" s="26" t="n">
        <v>42.8</v>
      </c>
      <c r="G266" s="26" t="n">
        <v>43.69</v>
      </c>
      <c r="H266" s="30" t="n">
        <v>2.729</v>
      </c>
      <c r="I266" s="28" t="n">
        <f aca="false">H266*G266/3.6</f>
        <v>33.1194472222222</v>
      </c>
      <c r="J266" s="30" t="n">
        <v>3.5</v>
      </c>
      <c r="K266" s="30" t="n">
        <v>1.246</v>
      </c>
      <c r="L266" s="30" t="n">
        <v>1.247</v>
      </c>
      <c r="M266" s="30" t="n">
        <v>7.71</v>
      </c>
      <c r="N266" s="25" t="n">
        <v>0.719232047183782</v>
      </c>
      <c r="O266" s="17" t="n">
        <v>0</v>
      </c>
      <c r="P266" s="26" t="n">
        <v>0</v>
      </c>
      <c r="Q266" s="24" t="n">
        <f aca="false">IF(O266=1,1/(1+EXP(-(P266-Inputs!$B$12)/Inputs!$B$13)),0)</f>
        <v>0</v>
      </c>
      <c r="R266" s="24" t="n">
        <f aca="false">N266*O266</f>
        <v>0</v>
      </c>
      <c r="S266" s="12" t="n">
        <f aca="false">N266*Q266</f>
        <v>0</v>
      </c>
      <c r="T266" s="24" t="n">
        <f aca="false">N266^2</f>
        <v>0.517294737696174</v>
      </c>
    </row>
    <row r="267" customFormat="false" ht="15" hidden="false" customHeight="false" outlineLevel="0" collapsed="false">
      <c r="A267" s="5" t="s">
        <v>519</v>
      </c>
      <c r="B267" s="5" t="s">
        <v>164</v>
      </c>
      <c r="C267" s="5" t="s">
        <v>56</v>
      </c>
      <c r="D267" s="5" t="s">
        <v>64</v>
      </c>
      <c r="E267" s="5" t="s">
        <v>70</v>
      </c>
      <c r="F267" s="26" t="n">
        <v>54.44</v>
      </c>
      <c r="G267" s="26" t="n">
        <v>56.14</v>
      </c>
      <c r="H267" s="30" t="n">
        <v>2.295</v>
      </c>
      <c r="I267" s="28" t="n">
        <f aca="false">H267*G267/3.6</f>
        <v>35.78925</v>
      </c>
      <c r="J267" s="30" t="n">
        <v>4.9</v>
      </c>
      <c r="K267" s="30" t="n">
        <v>1.367</v>
      </c>
      <c r="L267" s="30" t="n">
        <v>1.574</v>
      </c>
      <c r="M267" s="30" t="n">
        <v>5.54</v>
      </c>
      <c r="N267" s="25" t="n">
        <v>0.222997052334563</v>
      </c>
      <c r="O267" s="17" t="n">
        <v>0</v>
      </c>
      <c r="P267" s="26" t="n">
        <v>0</v>
      </c>
      <c r="Q267" s="24" t="n">
        <f aca="false">IF(O267=1,1/(1+EXP(-(P267-Inputs!$B$12)/Inputs!$B$13)),0)</f>
        <v>0</v>
      </c>
      <c r="R267" s="24" t="n">
        <f aca="false">N267*O267</f>
        <v>0</v>
      </c>
      <c r="S267" s="12" t="n">
        <f aca="false">N267*Q267</f>
        <v>0</v>
      </c>
      <c r="T267" s="24" t="n">
        <f aca="false">N267^2</f>
        <v>0.0497276853499037</v>
      </c>
    </row>
    <row r="268" customFormat="false" ht="15" hidden="false" customHeight="false" outlineLevel="0" collapsed="false">
      <c r="A268" s="5" t="s">
        <v>520</v>
      </c>
      <c r="B268" s="5" t="s">
        <v>164</v>
      </c>
      <c r="C268" s="5" t="s">
        <v>56</v>
      </c>
      <c r="D268" s="5" t="s">
        <v>64</v>
      </c>
      <c r="E268" s="5" t="s">
        <v>70</v>
      </c>
      <c r="F268" s="26" t="n">
        <v>41.9</v>
      </c>
      <c r="G268" s="26" t="n">
        <v>41.02</v>
      </c>
      <c r="H268" s="30" t="n">
        <v>2.712</v>
      </c>
      <c r="I268" s="28" t="n">
        <f aca="false">H268*G268/3.6</f>
        <v>30.9017333333333</v>
      </c>
      <c r="J268" s="30" t="n">
        <v>4.74</v>
      </c>
      <c r="K268" s="30" t="n">
        <v>0.806</v>
      </c>
      <c r="L268" s="30" t="n">
        <v>0.904</v>
      </c>
      <c r="M268" s="30" t="n">
        <v>7.4</v>
      </c>
      <c r="N268" s="25" t="n">
        <v>4.43934904610412</v>
      </c>
      <c r="O268" s="17" t="n">
        <v>0</v>
      </c>
      <c r="P268" s="26" t="n">
        <v>0</v>
      </c>
      <c r="Q268" s="24" t="n">
        <f aca="false">IF(O268=1,1/(1+EXP(-(P268-Inputs!$B$12)/Inputs!$B$13)),0)</f>
        <v>0</v>
      </c>
      <c r="R268" s="24" t="n">
        <f aca="false">N268*O268</f>
        <v>0</v>
      </c>
      <c r="S268" s="12" t="n">
        <f aca="false">N268*Q268</f>
        <v>0</v>
      </c>
      <c r="T268" s="24" t="n">
        <f aca="false">N268^2</f>
        <v>19.7078199531455</v>
      </c>
    </row>
    <row r="269" customFormat="false" ht="15" hidden="false" customHeight="false" outlineLevel="0" collapsed="false">
      <c r="A269" s="5" t="s">
        <v>521</v>
      </c>
      <c r="B269" s="5" t="s">
        <v>164</v>
      </c>
      <c r="C269" s="5" t="s">
        <v>56</v>
      </c>
      <c r="D269" s="5" t="s">
        <v>64</v>
      </c>
      <c r="E269" s="5" t="s">
        <v>70</v>
      </c>
      <c r="F269" s="26" t="n">
        <v>54.17</v>
      </c>
      <c r="G269" s="26" t="n">
        <v>54.93</v>
      </c>
      <c r="H269" s="30" t="n">
        <v>2.454</v>
      </c>
      <c r="I269" s="28" t="n">
        <f aca="false">H269*G269/3.6</f>
        <v>37.44395</v>
      </c>
      <c r="J269" s="30" t="n">
        <v>4.46</v>
      </c>
      <c r="K269" s="30" t="n">
        <v>2.653</v>
      </c>
      <c r="L269" s="30" t="n">
        <v>0.867</v>
      </c>
      <c r="M269" s="30" t="n">
        <v>6.11</v>
      </c>
      <c r="N269" s="25" t="n">
        <v>0.304930801092788</v>
      </c>
      <c r="O269" s="17" t="n">
        <v>0</v>
      </c>
      <c r="P269" s="26" t="n">
        <v>0</v>
      </c>
      <c r="Q269" s="24" t="n">
        <f aca="false">IF(O269=1,1/(1+EXP(-(P269-Inputs!$B$12)/Inputs!$B$13)),0)</f>
        <v>0</v>
      </c>
      <c r="R269" s="24" t="n">
        <f aca="false">N269*O269</f>
        <v>0</v>
      </c>
      <c r="S269" s="12" t="n">
        <f aca="false">N269*Q269</f>
        <v>0</v>
      </c>
      <c r="T269" s="24" t="n">
        <f aca="false">N269^2</f>
        <v>0.0929827934550894</v>
      </c>
    </row>
    <row r="270" customFormat="false" ht="15" hidden="false" customHeight="false" outlineLevel="0" collapsed="false">
      <c r="A270" s="5" t="s">
        <v>522</v>
      </c>
      <c r="B270" s="5" t="s">
        <v>164</v>
      </c>
      <c r="C270" s="5" t="s">
        <v>56</v>
      </c>
      <c r="D270" s="5" t="s">
        <v>64</v>
      </c>
      <c r="E270" s="5" t="s">
        <v>70</v>
      </c>
      <c r="F270" s="26" t="n">
        <v>40.24</v>
      </c>
      <c r="G270" s="26" t="n">
        <v>41.18</v>
      </c>
      <c r="H270" s="30" t="n">
        <v>2.151</v>
      </c>
      <c r="I270" s="28" t="n">
        <f aca="false">H270*G270/3.6</f>
        <v>24.60505</v>
      </c>
      <c r="J270" s="30" t="n">
        <v>5.55</v>
      </c>
      <c r="K270" s="30" t="n">
        <v>0.865</v>
      </c>
      <c r="L270" s="30" t="n">
        <v>1.434</v>
      </c>
      <c r="M270" s="30" t="n">
        <v>5.93</v>
      </c>
      <c r="N270" s="25" t="n">
        <v>0.777598799102602</v>
      </c>
      <c r="O270" s="17" t="n">
        <v>0</v>
      </c>
      <c r="P270" s="26" t="n">
        <v>0</v>
      </c>
      <c r="Q270" s="24" t="n">
        <f aca="false">IF(O270=1,1/(1+EXP(-(P270-Inputs!$B$12)/Inputs!$B$13)),0)</f>
        <v>0</v>
      </c>
      <c r="R270" s="24" t="n">
        <f aca="false">N270*O270</f>
        <v>0</v>
      </c>
      <c r="S270" s="12" t="n">
        <f aca="false">N270*Q270</f>
        <v>0</v>
      </c>
      <c r="T270" s="24" t="n">
        <f aca="false">N270^2</f>
        <v>0.604659892365808</v>
      </c>
    </row>
    <row r="271" customFormat="false" ht="15" hidden="false" customHeight="false" outlineLevel="0" collapsed="false">
      <c r="A271" s="5" t="s">
        <v>523</v>
      </c>
      <c r="B271" s="5" t="s">
        <v>164</v>
      </c>
      <c r="C271" s="5" t="s">
        <v>56</v>
      </c>
      <c r="D271" s="5" t="s">
        <v>64</v>
      </c>
      <c r="E271" s="5" t="s">
        <v>70</v>
      </c>
      <c r="F271" s="26" t="n">
        <v>36.31</v>
      </c>
      <c r="G271" s="26" t="n">
        <v>36.48</v>
      </c>
      <c r="H271" s="30" t="n">
        <v>2.236</v>
      </c>
      <c r="I271" s="28" t="n">
        <f aca="false">H271*G271/3.6</f>
        <v>22.6581333333333</v>
      </c>
      <c r="J271" s="30" t="n">
        <v>4.92</v>
      </c>
      <c r="K271" s="30" t="n">
        <v>0.759</v>
      </c>
      <c r="L271" s="30" t="n">
        <v>0.949</v>
      </c>
      <c r="M271" s="30" t="n">
        <v>7.67</v>
      </c>
      <c r="N271" s="25" t="n">
        <v>2.21490796573406</v>
      </c>
      <c r="O271" s="17" t="n">
        <v>0</v>
      </c>
      <c r="P271" s="26" t="n">
        <v>0</v>
      </c>
      <c r="Q271" s="24" t="n">
        <f aca="false">IF(O271=1,1/(1+EXP(-(P271-Inputs!$B$12)/Inputs!$B$13)),0)</f>
        <v>0</v>
      </c>
      <c r="R271" s="24" t="n">
        <f aca="false">N271*O271</f>
        <v>0</v>
      </c>
      <c r="S271" s="12" t="n">
        <f aca="false">N271*Q271</f>
        <v>0</v>
      </c>
      <c r="T271" s="24" t="n">
        <f aca="false">N271^2</f>
        <v>4.90581729667218</v>
      </c>
    </row>
    <row r="272" customFormat="false" ht="15" hidden="false" customHeight="false" outlineLevel="0" collapsed="false">
      <c r="A272" s="5" t="s">
        <v>524</v>
      </c>
      <c r="B272" s="5" t="s">
        <v>164</v>
      </c>
      <c r="C272" s="5" t="s">
        <v>56</v>
      </c>
      <c r="D272" s="5" t="s">
        <v>64</v>
      </c>
      <c r="E272" s="5" t="s">
        <v>70</v>
      </c>
      <c r="F272" s="26" t="n">
        <v>40.99</v>
      </c>
      <c r="G272" s="26" t="n">
        <v>41.34</v>
      </c>
      <c r="H272" s="30" t="n">
        <v>2.513</v>
      </c>
      <c r="I272" s="28" t="n">
        <f aca="false">H272*G272/3.6</f>
        <v>28.8576166666667</v>
      </c>
      <c r="J272" s="30" t="n">
        <v>4.62</v>
      </c>
      <c r="K272" s="30" t="n">
        <v>1.153</v>
      </c>
      <c r="L272" s="30" t="n">
        <v>1.295</v>
      </c>
      <c r="M272" s="30" t="n">
        <v>3.52</v>
      </c>
      <c r="N272" s="25" t="n">
        <v>2.35969269884719</v>
      </c>
      <c r="O272" s="17" t="n">
        <v>0</v>
      </c>
      <c r="P272" s="26" t="n">
        <v>0</v>
      </c>
      <c r="Q272" s="24" t="n">
        <f aca="false">IF(O272=1,1/(1+EXP(-(P272-Inputs!$B$12)/Inputs!$B$13)),0)</f>
        <v>0</v>
      </c>
      <c r="R272" s="24" t="n">
        <f aca="false">N272*O272</f>
        <v>0</v>
      </c>
      <c r="S272" s="12" t="n">
        <f aca="false">N272*Q272</f>
        <v>0</v>
      </c>
      <c r="T272" s="24" t="n">
        <f aca="false">N272^2</f>
        <v>5.56814963299275</v>
      </c>
    </row>
    <row r="273" customFormat="false" ht="15" hidden="false" customHeight="false" outlineLevel="0" collapsed="false">
      <c r="A273" s="5" t="s">
        <v>525</v>
      </c>
      <c r="B273" s="5" t="s">
        <v>164</v>
      </c>
      <c r="C273" s="5" t="s">
        <v>56</v>
      </c>
      <c r="D273" s="5" t="s">
        <v>64</v>
      </c>
      <c r="E273" s="5" t="s">
        <v>70</v>
      </c>
      <c r="F273" s="26" t="n">
        <v>39.43</v>
      </c>
      <c r="G273" s="26" t="n">
        <v>41.81</v>
      </c>
      <c r="H273" s="30" t="n">
        <v>2.364</v>
      </c>
      <c r="I273" s="28" t="n">
        <f aca="false">H273*G273/3.6</f>
        <v>27.4552333333333</v>
      </c>
      <c r="J273" s="30" t="n">
        <v>3.5</v>
      </c>
      <c r="K273" s="30" t="n">
        <v>1.518</v>
      </c>
      <c r="L273" s="30" t="n">
        <v>1.487</v>
      </c>
      <c r="M273" s="30" t="n">
        <v>3.59</v>
      </c>
      <c r="N273" s="25" t="n">
        <v>0.653904560143508</v>
      </c>
      <c r="O273" s="17" t="n">
        <v>0</v>
      </c>
      <c r="P273" s="26" t="n">
        <v>0</v>
      </c>
      <c r="Q273" s="24" t="n">
        <f aca="false">IF(O273=1,1/(1+EXP(-(P273-Inputs!$B$12)/Inputs!$B$13)),0)</f>
        <v>0</v>
      </c>
      <c r="R273" s="24" t="n">
        <f aca="false">N273*O273</f>
        <v>0</v>
      </c>
      <c r="S273" s="12" t="n">
        <f aca="false">N273*Q273</f>
        <v>0</v>
      </c>
      <c r="T273" s="24" t="n">
        <f aca="false">N273^2</f>
        <v>0.427591173776475</v>
      </c>
    </row>
    <row r="274" customFormat="false" ht="15" hidden="false" customHeight="false" outlineLevel="0" collapsed="false">
      <c r="A274" s="5" t="s">
        <v>526</v>
      </c>
      <c r="B274" s="5" t="s">
        <v>164</v>
      </c>
      <c r="C274" s="5" t="s">
        <v>56</v>
      </c>
      <c r="D274" s="5" t="s">
        <v>64</v>
      </c>
      <c r="E274" s="5" t="s">
        <v>70</v>
      </c>
      <c r="F274" s="26" t="n">
        <v>44.59</v>
      </c>
      <c r="G274" s="26" t="n">
        <v>45.27</v>
      </c>
      <c r="H274" s="30" t="n">
        <v>2.318</v>
      </c>
      <c r="I274" s="28" t="n">
        <f aca="false">H274*G274/3.6</f>
        <v>29.14885</v>
      </c>
      <c r="J274" s="30" t="n">
        <v>5.04</v>
      </c>
      <c r="K274" s="30" t="n">
        <v>1.253</v>
      </c>
      <c r="L274" s="30" t="n">
        <v>2.613</v>
      </c>
      <c r="M274" s="30" t="n">
        <v>5.07</v>
      </c>
      <c r="N274" s="25" t="n">
        <v>0.0274586072579749</v>
      </c>
      <c r="O274" s="17" t="n">
        <v>0</v>
      </c>
      <c r="P274" s="26" t="n">
        <v>0</v>
      </c>
      <c r="Q274" s="24" t="n">
        <f aca="false">IF(O274=1,1/(1+EXP(-(P274-Inputs!$B$12)/Inputs!$B$13)),0)</f>
        <v>0</v>
      </c>
      <c r="R274" s="24" t="n">
        <f aca="false">N274*O274</f>
        <v>0</v>
      </c>
      <c r="S274" s="12" t="n">
        <f aca="false">N274*Q274</f>
        <v>0</v>
      </c>
      <c r="T274" s="24" t="n">
        <f aca="false">N274^2</f>
        <v>0.000753975112547709</v>
      </c>
    </row>
    <row r="275" customFormat="false" ht="15" hidden="false" customHeight="false" outlineLevel="0" collapsed="false">
      <c r="A275" s="5" t="s">
        <v>527</v>
      </c>
      <c r="B275" s="5" t="s">
        <v>164</v>
      </c>
      <c r="C275" s="5" t="s">
        <v>56</v>
      </c>
      <c r="D275" s="5" t="s">
        <v>64</v>
      </c>
      <c r="E275" s="5" t="s">
        <v>70</v>
      </c>
      <c r="F275" s="26" t="n">
        <v>44.81</v>
      </c>
      <c r="G275" s="26" t="n">
        <v>44.41</v>
      </c>
      <c r="H275" s="30" t="n">
        <v>2.181</v>
      </c>
      <c r="I275" s="28" t="n">
        <f aca="false">H275*G275/3.6</f>
        <v>26.9050583333333</v>
      </c>
      <c r="J275" s="30" t="n">
        <v>3.06</v>
      </c>
      <c r="K275" s="30" t="n">
        <v>0.545</v>
      </c>
      <c r="L275" s="30" t="n">
        <v>1.1</v>
      </c>
      <c r="M275" s="30" t="n">
        <v>7.09</v>
      </c>
      <c r="N275" s="25" t="n">
        <v>3.25729710388213</v>
      </c>
      <c r="O275" s="17" t="n">
        <v>0</v>
      </c>
      <c r="P275" s="26" t="n">
        <v>0</v>
      </c>
      <c r="Q275" s="24" t="n">
        <f aca="false">IF(O275=1,1/(1+EXP(-(P275-Inputs!$B$12)/Inputs!$B$13)),0)</f>
        <v>0</v>
      </c>
      <c r="R275" s="24" t="n">
        <f aca="false">N275*O275</f>
        <v>0</v>
      </c>
      <c r="S275" s="12" t="n">
        <f aca="false">N275*Q275</f>
        <v>0</v>
      </c>
      <c r="T275" s="24" t="n">
        <f aca="false">N275^2</f>
        <v>10.6099844229589</v>
      </c>
    </row>
    <row r="276" customFormat="false" ht="15" hidden="false" customHeight="false" outlineLevel="0" collapsed="false">
      <c r="A276" s="5" t="s">
        <v>528</v>
      </c>
      <c r="B276" s="5" t="s">
        <v>165</v>
      </c>
      <c r="C276" s="5" t="s">
        <v>56</v>
      </c>
      <c r="D276" s="5" t="s">
        <v>64</v>
      </c>
      <c r="E276" s="5" t="s">
        <v>71</v>
      </c>
      <c r="F276" s="26" t="n">
        <v>47.87</v>
      </c>
      <c r="G276" s="26" t="n">
        <v>48.71</v>
      </c>
      <c r="H276" s="30" t="n">
        <v>1.659</v>
      </c>
      <c r="I276" s="28" t="n">
        <f aca="false">H276*G276/3.6</f>
        <v>22.4471916666667</v>
      </c>
      <c r="J276" s="30" t="n">
        <v>5.98</v>
      </c>
      <c r="K276" s="30" t="n">
        <v>1.566</v>
      </c>
      <c r="L276" s="30" t="n">
        <v>1.807</v>
      </c>
      <c r="M276" s="30" t="n">
        <v>7.25</v>
      </c>
      <c r="N276" s="25" t="n">
        <v>0.0600632927161222</v>
      </c>
      <c r="O276" s="17" t="n">
        <v>0</v>
      </c>
      <c r="P276" s="26" t="n">
        <v>0</v>
      </c>
      <c r="Q276" s="24" t="n">
        <f aca="false">IF(O276=1,1/(1+EXP(-(P276-Inputs!$B$12)/Inputs!$B$13)),0)</f>
        <v>0</v>
      </c>
      <c r="R276" s="24" t="n">
        <f aca="false">N276*O276</f>
        <v>0</v>
      </c>
      <c r="S276" s="12" t="n">
        <f aca="false">N276*Q276</f>
        <v>0</v>
      </c>
      <c r="T276" s="24" t="n">
        <f aca="false">N276^2</f>
        <v>0.00360759913190258</v>
      </c>
    </row>
    <row r="277" customFormat="false" ht="15" hidden="false" customHeight="false" outlineLevel="0" collapsed="false">
      <c r="A277" s="5" t="s">
        <v>529</v>
      </c>
      <c r="B277" s="5" t="s">
        <v>165</v>
      </c>
      <c r="C277" s="5" t="s">
        <v>56</v>
      </c>
      <c r="D277" s="5" t="s">
        <v>64</v>
      </c>
      <c r="E277" s="5" t="s">
        <v>71</v>
      </c>
      <c r="F277" s="26" t="n">
        <v>39.76</v>
      </c>
      <c r="G277" s="26" t="n">
        <v>39.16</v>
      </c>
      <c r="H277" s="30" t="n">
        <v>1.555</v>
      </c>
      <c r="I277" s="28" t="n">
        <f aca="false">H277*G277/3.6</f>
        <v>16.9149444444444</v>
      </c>
      <c r="J277" s="30" t="n">
        <v>4.2</v>
      </c>
      <c r="K277" s="30" t="n">
        <v>1.675</v>
      </c>
      <c r="L277" s="30" t="n">
        <v>1.302</v>
      </c>
      <c r="M277" s="30" t="n">
        <v>4</v>
      </c>
      <c r="N277" s="25" t="n">
        <v>0.563152877322893</v>
      </c>
      <c r="O277" s="17" t="n">
        <v>0</v>
      </c>
      <c r="P277" s="26" t="n">
        <v>0</v>
      </c>
      <c r="Q277" s="24" t="n">
        <f aca="false">IF(O277=1,1/(1+EXP(-(P277-Inputs!$B$12)/Inputs!$B$13)),0)</f>
        <v>0</v>
      </c>
      <c r="R277" s="24" t="n">
        <f aca="false">N277*O277</f>
        <v>0</v>
      </c>
      <c r="S277" s="12" t="n">
        <f aca="false">N277*Q277</f>
        <v>0</v>
      </c>
      <c r="T277" s="24" t="n">
        <f aca="false">N277^2</f>
        <v>0.317141163237053</v>
      </c>
    </row>
    <row r="278" customFormat="false" ht="15" hidden="false" customHeight="false" outlineLevel="0" collapsed="false">
      <c r="A278" s="5" t="s">
        <v>530</v>
      </c>
      <c r="B278" s="5" t="s">
        <v>165</v>
      </c>
      <c r="C278" s="5" t="s">
        <v>56</v>
      </c>
      <c r="D278" s="5" t="s">
        <v>64</v>
      </c>
      <c r="E278" s="5" t="s">
        <v>71</v>
      </c>
      <c r="F278" s="26" t="n">
        <v>51.83</v>
      </c>
      <c r="G278" s="26" t="n">
        <v>52.54</v>
      </c>
      <c r="H278" s="30" t="n">
        <v>1.65</v>
      </c>
      <c r="I278" s="28" t="n">
        <f aca="false">H278*G278/3.6</f>
        <v>24.0808333333333</v>
      </c>
      <c r="J278" s="30" t="n">
        <v>3.07</v>
      </c>
      <c r="K278" s="30" t="n">
        <v>1.76</v>
      </c>
      <c r="L278" s="30" t="n">
        <v>1.451</v>
      </c>
      <c r="M278" s="30" t="n">
        <v>4.32</v>
      </c>
      <c r="N278" s="25" t="n">
        <v>0.279638636450717</v>
      </c>
      <c r="O278" s="17" t="n">
        <v>0</v>
      </c>
      <c r="P278" s="26" t="n">
        <v>0</v>
      </c>
      <c r="Q278" s="24" t="n">
        <f aca="false">IF(O278=1,1/(1+EXP(-(P278-Inputs!$B$12)/Inputs!$B$13)),0)</f>
        <v>0</v>
      </c>
      <c r="R278" s="24" t="n">
        <f aca="false">N278*O278</f>
        <v>0</v>
      </c>
      <c r="S278" s="12" t="n">
        <f aca="false">N278*Q278</f>
        <v>0</v>
      </c>
      <c r="T278" s="24" t="n">
        <f aca="false">N278^2</f>
        <v>0.078197766996016</v>
      </c>
    </row>
    <row r="279" customFormat="false" ht="15" hidden="false" customHeight="false" outlineLevel="0" collapsed="false">
      <c r="A279" s="5" t="s">
        <v>531</v>
      </c>
      <c r="B279" s="5" t="s">
        <v>165</v>
      </c>
      <c r="C279" s="5" t="s">
        <v>56</v>
      </c>
      <c r="D279" s="5" t="s">
        <v>64</v>
      </c>
      <c r="E279" s="5" t="s">
        <v>71</v>
      </c>
      <c r="F279" s="26" t="n">
        <v>50.68</v>
      </c>
      <c r="G279" s="26" t="n">
        <v>51.25</v>
      </c>
      <c r="H279" s="30" t="n">
        <v>1.639</v>
      </c>
      <c r="I279" s="28" t="n">
        <f aca="false">H279*G279/3.6</f>
        <v>23.3329861111111</v>
      </c>
      <c r="J279" s="30" t="n">
        <v>3.86</v>
      </c>
      <c r="K279" s="30" t="n">
        <v>1.411</v>
      </c>
      <c r="L279" s="30" t="n">
        <v>1.616</v>
      </c>
      <c r="M279" s="30" t="n">
        <v>4.7</v>
      </c>
      <c r="N279" s="25" t="n">
        <v>0.253706181405537</v>
      </c>
      <c r="O279" s="17" t="n">
        <v>0</v>
      </c>
      <c r="P279" s="26" t="n">
        <v>0</v>
      </c>
      <c r="Q279" s="24" t="n">
        <f aca="false">IF(O279=1,1/(1+EXP(-(P279-Inputs!$B$12)/Inputs!$B$13)),0)</f>
        <v>0</v>
      </c>
      <c r="R279" s="24" t="n">
        <f aca="false">N279*O279</f>
        <v>0</v>
      </c>
      <c r="S279" s="12" t="n">
        <f aca="false">N279*Q279</f>
        <v>0</v>
      </c>
      <c r="T279" s="24" t="n">
        <f aca="false">N279^2</f>
        <v>0.0643668264833791</v>
      </c>
    </row>
    <row r="280" customFormat="false" ht="15" hidden="false" customHeight="false" outlineLevel="0" collapsed="false">
      <c r="A280" s="5" t="s">
        <v>532</v>
      </c>
      <c r="B280" s="5" t="s">
        <v>165</v>
      </c>
      <c r="C280" s="5" t="s">
        <v>56</v>
      </c>
      <c r="D280" s="5" t="s">
        <v>64</v>
      </c>
      <c r="E280" s="5" t="s">
        <v>71</v>
      </c>
      <c r="F280" s="26" t="n">
        <v>45.56</v>
      </c>
      <c r="G280" s="26" t="n">
        <v>45.9</v>
      </c>
      <c r="H280" s="30" t="n">
        <v>1.642</v>
      </c>
      <c r="I280" s="28" t="n">
        <f aca="false">H280*G280/3.6</f>
        <v>20.9355</v>
      </c>
      <c r="J280" s="30" t="n">
        <v>3.43</v>
      </c>
      <c r="K280" s="30" t="n">
        <v>1.155</v>
      </c>
      <c r="L280" s="30" t="n">
        <v>1.075</v>
      </c>
      <c r="M280" s="30" t="n">
        <v>6.14</v>
      </c>
      <c r="N280" s="25" t="n">
        <v>1.03152236378907</v>
      </c>
      <c r="O280" s="17" t="n">
        <v>0</v>
      </c>
      <c r="P280" s="26" t="n">
        <v>0</v>
      </c>
      <c r="Q280" s="24" t="n">
        <f aca="false">IF(O280=1,1/(1+EXP(-(P280-Inputs!$B$12)/Inputs!$B$13)),0)</f>
        <v>0</v>
      </c>
      <c r="R280" s="24" t="n">
        <f aca="false">N280*O280</f>
        <v>0</v>
      </c>
      <c r="S280" s="12" t="n">
        <f aca="false">N280*Q280</f>
        <v>0</v>
      </c>
      <c r="T280" s="24" t="n">
        <f aca="false">N280^2</f>
        <v>1.06403838699699</v>
      </c>
    </row>
    <row r="281" customFormat="false" ht="15" hidden="false" customHeight="false" outlineLevel="0" collapsed="false">
      <c r="A281" s="5" t="s">
        <v>533</v>
      </c>
      <c r="B281" s="5" t="s">
        <v>165</v>
      </c>
      <c r="C281" s="5" t="s">
        <v>56</v>
      </c>
      <c r="D281" s="5" t="s">
        <v>64</v>
      </c>
      <c r="E281" s="5" t="s">
        <v>71</v>
      </c>
      <c r="F281" s="26" t="n">
        <v>46.82</v>
      </c>
      <c r="G281" s="26" t="n">
        <v>44</v>
      </c>
      <c r="H281" s="30" t="n">
        <v>1.802</v>
      </c>
      <c r="I281" s="28" t="n">
        <f aca="false">H281*G281/3.6</f>
        <v>22.0244444444444</v>
      </c>
      <c r="J281" s="30" t="n">
        <v>5.19</v>
      </c>
      <c r="K281" s="30" t="n">
        <v>1.507</v>
      </c>
      <c r="L281" s="30" t="n">
        <v>0.788</v>
      </c>
      <c r="M281" s="30" t="n">
        <v>7.31</v>
      </c>
      <c r="N281" s="25" t="n">
        <v>1.21673602985712</v>
      </c>
      <c r="O281" s="17" t="n">
        <v>0</v>
      </c>
      <c r="P281" s="26" t="n">
        <v>0</v>
      </c>
      <c r="Q281" s="24" t="n">
        <f aca="false">IF(O281=1,1/(1+EXP(-(P281-Inputs!$B$12)/Inputs!$B$13)),0)</f>
        <v>0</v>
      </c>
      <c r="R281" s="24" t="n">
        <f aca="false">N281*O281</f>
        <v>0</v>
      </c>
      <c r="S281" s="12" t="n">
        <f aca="false">N281*Q281</f>
        <v>0</v>
      </c>
      <c r="T281" s="24" t="n">
        <f aca="false">N281^2</f>
        <v>1.48044656635246</v>
      </c>
    </row>
    <row r="282" customFormat="false" ht="15" hidden="false" customHeight="false" outlineLevel="0" collapsed="false">
      <c r="A282" s="5" t="s">
        <v>534</v>
      </c>
      <c r="B282" s="5" t="s">
        <v>165</v>
      </c>
      <c r="C282" s="5" t="s">
        <v>56</v>
      </c>
      <c r="D282" s="5" t="s">
        <v>64</v>
      </c>
      <c r="E282" s="5" t="s">
        <v>71</v>
      </c>
      <c r="F282" s="26" t="n">
        <v>50.67</v>
      </c>
      <c r="G282" s="26" t="n">
        <v>50.34</v>
      </c>
      <c r="H282" s="30" t="n">
        <v>1.859</v>
      </c>
      <c r="I282" s="28" t="n">
        <f aca="false">H282*G282/3.6</f>
        <v>25.9950166666667</v>
      </c>
      <c r="J282" s="30" t="n">
        <v>4.55</v>
      </c>
      <c r="K282" s="30" t="n">
        <v>1.91</v>
      </c>
      <c r="L282" s="30" t="n">
        <v>2.136</v>
      </c>
      <c r="M282" s="30" t="n">
        <v>4.51</v>
      </c>
      <c r="N282" s="25" t="n">
        <v>0.0760217081356293</v>
      </c>
      <c r="O282" s="17" t="n">
        <v>0</v>
      </c>
      <c r="P282" s="26" t="n">
        <v>0</v>
      </c>
      <c r="Q282" s="24" t="n">
        <f aca="false">IF(O282=1,1/(1+EXP(-(P282-Inputs!$B$12)/Inputs!$B$13)),0)</f>
        <v>0</v>
      </c>
      <c r="R282" s="24" t="n">
        <f aca="false">N282*O282</f>
        <v>0</v>
      </c>
      <c r="S282" s="12" t="n">
        <f aca="false">N282*Q282</f>
        <v>0</v>
      </c>
      <c r="T282" s="24" t="n">
        <f aca="false">N282^2</f>
        <v>0.00577930010785881</v>
      </c>
    </row>
    <row r="283" customFormat="false" ht="15" hidden="false" customHeight="false" outlineLevel="0" collapsed="false">
      <c r="A283" s="5" t="s">
        <v>535</v>
      </c>
      <c r="B283" s="5" t="s">
        <v>165</v>
      </c>
      <c r="C283" s="5" t="s">
        <v>56</v>
      </c>
      <c r="D283" s="5" t="s">
        <v>64</v>
      </c>
      <c r="E283" s="5" t="s">
        <v>71</v>
      </c>
      <c r="F283" s="26" t="n">
        <v>43.02</v>
      </c>
      <c r="G283" s="26" t="n">
        <v>40.83</v>
      </c>
      <c r="H283" s="30" t="n">
        <v>1.54</v>
      </c>
      <c r="I283" s="28" t="n">
        <f aca="false">H283*G283/3.6</f>
        <v>17.4661666666667</v>
      </c>
      <c r="J283" s="30" t="n">
        <v>4.02</v>
      </c>
      <c r="K283" s="30" t="n">
        <v>0.884</v>
      </c>
      <c r="L283" s="30" t="n">
        <v>2.193</v>
      </c>
      <c r="M283" s="30" t="n">
        <v>6.6</v>
      </c>
      <c r="N283" s="25" t="n">
        <v>0.0891794527637519</v>
      </c>
      <c r="O283" s="17" t="n">
        <v>0</v>
      </c>
      <c r="P283" s="26" t="n">
        <v>0</v>
      </c>
      <c r="Q283" s="24" t="n">
        <f aca="false">IF(O283=1,1/(1+EXP(-(P283-Inputs!$B$12)/Inputs!$B$13)),0)</f>
        <v>0</v>
      </c>
      <c r="R283" s="24" t="n">
        <f aca="false">N283*O283</f>
        <v>0</v>
      </c>
      <c r="S283" s="12" t="n">
        <f aca="false">N283*Q283</f>
        <v>0</v>
      </c>
      <c r="T283" s="24" t="n">
        <f aca="false">N283^2</f>
        <v>0.00795297479524225</v>
      </c>
    </row>
    <row r="284" customFormat="false" ht="15" hidden="false" customHeight="false" outlineLevel="0" collapsed="false">
      <c r="A284" s="5" t="s">
        <v>536</v>
      </c>
      <c r="B284" s="5" t="s">
        <v>165</v>
      </c>
      <c r="C284" s="5" t="s">
        <v>56</v>
      </c>
      <c r="D284" s="5" t="s">
        <v>64</v>
      </c>
      <c r="E284" s="5" t="s">
        <v>71</v>
      </c>
      <c r="F284" s="26" t="n">
        <v>51.01</v>
      </c>
      <c r="G284" s="26" t="n">
        <v>50.6</v>
      </c>
      <c r="H284" s="30" t="n">
        <v>1.805</v>
      </c>
      <c r="I284" s="28" t="n">
        <f aca="false">H284*G284/3.6</f>
        <v>25.3702777777778</v>
      </c>
      <c r="J284" s="30" t="n">
        <v>4.88</v>
      </c>
      <c r="K284" s="30" t="n">
        <v>2.662</v>
      </c>
      <c r="L284" s="30" t="n">
        <v>1.248</v>
      </c>
      <c r="M284" s="30" t="n">
        <v>5.96</v>
      </c>
      <c r="N284" s="25" t="n">
        <v>0.177846476050425</v>
      </c>
      <c r="O284" s="17" t="n">
        <v>0</v>
      </c>
      <c r="P284" s="26" t="n">
        <v>0</v>
      </c>
      <c r="Q284" s="24" t="n">
        <f aca="false">IF(O284=1,1/(1+EXP(-(P284-Inputs!$B$12)/Inputs!$B$13)),0)</f>
        <v>0</v>
      </c>
      <c r="R284" s="24" t="n">
        <f aca="false">N284*O284</f>
        <v>0</v>
      </c>
      <c r="S284" s="12" t="n">
        <f aca="false">N284*Q284</f>
        <v>0</v>
      </c>
      <c r="T284" s="24" t="n">
        <f aca="false">N284^2</f>
        <v>0.0316293690435543</v>
      </c>
    </row>
    <row r="285" customFormat="false" ht="15" hidden="false" customHeight="false" outlineLevel="0" collapsed="false">
      <c r="A285" s="5" t="s">
        <v>537</v>
      </c>
      <c r="B285" s="5" t="s">
        <v>165</v>
      </c>
      <c r="C285" s="5" t="s">
        <v>56</v>
      </c>
      <c r="D285" s="5" t="s">
        <v>64</v>
      </c>
      <c r="E285" s="5" t="s">
        <v>71</v>
      </c>
      <c r="F285" s="26" t="n">
        <v>50.37</v>
      </c>
      <c r="G285" s="26" t="n">
        <v>51.03</v>
      </c>
      <c r="H285" s="30" t="n">
        <v>1.583</v>
      </c>
      <c r="I285" s="28" t="n">
        <f aca="false">H285*G285/3.6</f>
        <v>22.439025</v>
      </c>
      <c r="J285" s="30" t="n">
        <v>5.79</v>
      </c>
      <c r="K285" s="30" t="n">
        <v>2.7</v>
      </c>
      <c r="L285" s="30" t="n">
        <v>2.362</v>
      </c>
      <c r="M285" s="30" t="n">
        <v>5.34</v>
      </c>
      <c r="N285" s="25" t="n">
        <v>0.0096986317164935</v>
      </c>
      <c r="O285" s="17" t="n">
        <v>1</v>
      </c>
      <c r="P285" s="26" t="n">
        <v>42.58</v>
      </c>
      <c r="Q285" s="24" t="n">
        <f aca="false">IF(O285=1,1/(1+EXP(-(P285-Inputs!$B$12)/Inputs!$B$13)),0)</f>
        <v>0.414422079981752</v>
      </c>
      <c r="R285" s="24" t="n">
        <f aca="false">N285*O285</f>
        <v>0.0096986317164935</v>
      </c>
      <c r="S285" s="12" t="n">
        <f aca="false">N285*Q285</f>
        <v>0.00401932712892623</v>
      </c>
      <c r="T285" s="24" t="n">
        <f aca="false">N285^2</f>
        <v>9.40634571721737E-005</v>
      </c>
    </row>
    <row r="286" customFormat="false" ht="15" hidden="false" customHeight="false" outlineLevel="0" collapsed="false">
      <c r="A286" s="5" t="s">
        <v>538</v>
      </c>
      <c r="B286" s="5" t="s">
        <v>166</v>
      </c>
      <c r="C286" s="5" t="s">
        <v>56</v>
      </c>
      <c r="D286" s="5" t="s">
        <v>64</v>
      </c>
      <c r="E286" s="5" t="s">
        <v>72</v>
      </c>
      <c r="F286" s="26" t="n">
        <v>45.67</v>
      </c>
      <c r="G286" s="26" t="n">
        <v>47.48</v>
      </c>
      <c r="H286" s="30" t="n">
        <v>1.402</v>
      </c>
      <c r="I286" s="28" t="n">
        <f aca="false">H286*G286/3.6</f>
        <v>18.4908222222222</v>
      </c>
      <c r="J286" s="30" t="n">
        <v>4.87</v>
      </c>
      <c r="K286" s="30" t="n">
        <v>0.953</v>
      </c>
      <c r="L286" s="30" t="n">
        <v>1.519</v>
      </c>
      <c r="M286" s="30" t="n">
        <v>6.68</v>
      </c>
      <c r="N286" s="25" t="n">
        <v>1.09575746549481</v>
      </c>
      <c r="O286" s="17" t="n">
        <v>0</v>
      </c>
      <c r="P286" s="26" t="n">
        <v>0</v>
      </c>
      <c r="Q286" s="24" t="n">
        <f aca="false">IF(O286=1,1/(1+EXP(-(P286-Inputs!$B$12)/Inputs!$B$13)),0)</f>
        <v>0</v>
      </c>
      <c r="R286" s="24" t="n">
        <f aca="false">N286*O286</f>
        <v>0</v>
      </c>
      <c r="S286" s="12" t="n">
        <f aca="false">N286*Q286</f>
        <v>0</v>
      </c>
      <c r="T286" s="24" t="n">
        <f aca="false">N286^2</f>
        <v>1.2006844231876</v>
      </c>
    </row>
    <row r="287" customFormat="false" ht="15" hidden="false" customHeight="false" outlineLevel="0" collapsed="false">
      <c r="A287" s="5" t="s">
        <v>539</v>
      </c>
      <c r="B287" s="5" t="s">
        <v>166</v>
      </c>
      <c r="C287" s="5" t="s">
        <v>56</v>
      </c>
      <c r="D287" s="5" t="s">
        <v>64</v>
      </c>
      <c r="E287" s="5" t="s">
        <v>72</v>
      </c>
      <c r="F287" s="26" t="n">
        <v>42.88</v>
      </c>
      <c r="G287" s="26" t="n">
        <v>46.17</v>
      </c>
      <c r="H287" s="30" t="n">
        <v>1.107</v>
      </c>
      <c r="I287" s="28" t="n">
        <f aca="false">H287*G287/3.6</f>
        <v>14.197275</v>
      </c>
      <c r="J287" s="30" t="n">
        <v>3.29</v>
      </c>
      <c r="K287" s="30" t="n">
        <v>1.693</v>
      </c>
      <c r="L287" s="30" t="n">
        <v>1.076</v>
      </c>
      <c r="M287" s="30" t="n">
        <v>7.76</v>
      </c>
      <c r="N287" s="25" t="n">
        <v>0.287222239287583</v>
      </c>
      <c r="O287" s="17" t="n">
        <v>0</v>
      </c>
      <c r="P287" s="26" t="n">
        <v>0</v>
      </c>
      <c r="Q287" s="24" t="n">
        <f aca="false">IF(O287=1,1/(1+EXP(-(P287-Inputs!$B$12)/Inputs!$B$13)),0)</f>
        <v>0</v>
      </c>
      <c r="R287" s="24" t="n">
        <f aca="false">N287*O287</f>
        <v>0</v>
      </c>
      <c r="S287" s="12" t="n">
        <f aca="false">N287*Q287</f>
        <v>0</v>
      </c>
      <c r="T287" s="24" t="n">
        <f aca="false">N287^2</f>
        <v>0.0824966147413735</v>
      </c>
    </row>
    <row r="288" customFormat="false" ht="15" hidden="false" customHeight="false" outlineLevel="0" collapsed="false">
      <c r="A288" s="5" t="s">
        <v>540</v>
      </c>
      <c r="B288" s="5" t="s">
        <v>166</v>
      </c>
      <c r="C288" s="5" t="s">
        <v>56</v>
      </c>
      <c r="D288" s="5" t="s">
        <v>64</v>
      </c>
      <c r="E288" s="5" t="s">
        <v>72</v>
      </c>
      <c r="F288" s="26" t="n">
        <v>47.16</v>
      </c>
      <c r="G288" s="26" t="n">
        <v>43.37</v>
      </c>
      <c r="H288" s="30" t="n">
        <v>1.164</v>
      </c>
      <c r="I288" s="28" t="n">
        <f aca="false">H288*G288/3.6</f>
        <v>14.0229666666667</v>
      </c>
      <c r="J288" s="30" t="n">
        <v>3.35</v>
      </c>
      <c r="K288" s="30" t="n">
        <v>1.185</v>
      </c>
      <c r="L288" s="30" t="n">
        <v>1.37</v>
      </c>
      <c r="M288" s="30" t="n">
        <v>6.37</v>
      </c>
      <c r="N288" s="25" t="n">
        <v>0.445035401635177</v>
      </c>
      <c r="O288" s="17" t="n">
        <v>0</v>
      </c>
      <c r="P288" s="26" t="n">
        <v>0</v>
      </c>
      <c r="Q288" s="24" t="n">
        <f aca="false">IF(O288=1,1/(1+EXP(-(P288-Inputs!$B$12)/Inputs!$B$13)),0)</f>
        <v>0</v>
      </c>
      <c r="R288" s="24" t="n">
        <f aca="false">N288*O288</f>
        <v>0</v>
      </c>
      <c r="S288" s="12" t="n">
        <f aca="false">N288*Q288</f>
        <v>0</v>
      </c>
      <c r="T288" s="24" t="n">
        <f aca="false">N288^2</f>
        <v>0.198056508708583</v>
      </c>
    </row>
    <row r="289" customFormat="false" ht="15" hidden="false" customHeight="false" outlineLevel="0" collapsed="false">
      <c r="A289" s="5" t="s">
        <v>541</v>
      </c>
      <c r="B289" s="5" t="s">
        <v>166</v>
      </c>
      <c r="C289" s="5" t="s">
        <v>56</v>
      </c>
      <c r="D289" s="5" t="s">
        <v>64</v>
      </c>
      <c r="E289" s="5" t="s">
        <v>72</v>
      </c>
      <c r="F289" s="26" t="n">
        <v>40.99</v>
      </c>
      <c r="G289" s="26" t="n">
        <v>37.79</v>
      </c>
      <c r="H289" s="30" t="n">
        <v>1.057</v>
      </c>
      <c r="I289" s="28" t="n">
        <f aca="false">H289*G289/3.6</f>
        <v>11.0955638888889</v>
      </c>
      <c r="J289" s="30" t="n">
        <v>5.34</v>
      </c>
      <c r="K289" s="30" t="n">
        <v>1.537</v>
      </c>
      <c r="L289" s="30" t="n">
        <v>1.711</v>
      </c>
      <c r="M289" s="30" t="n">
        <v>3.72</v>
      </c>
      <c r="N289" s="25" t="n">
        <v>0.312154707431026</v>
      </c>
      <c r="O289" s="17" t="n">
        <v>1</v>
      </c>
      <c r="P289" s="26" t="n">
        <v>15.29</v>
      </c>
      <c r="Q289" s="24" t="n">
        <f aca="false">IF(O289=1,1/(1+EXP(-(P289-Inputs!$B$12)/Inputs!$B$13)),0)</f>
        <v>0.0141430808323232</v>
      </c>
      <c r="R289" s="24" t="n">
        <f aca="false">N289*O289</f>
        <v>0.312154707431026</v>
      </c>
      <c r="S289" s="12" t="n">
        <f aca="false">N289*Q289</f>
        <v>0.00441482925938719</v>
      </c>
      <c r="T289" s="24" t="n">
        <f aca="false">N289^2</f>
        <v>0.0974405613713495</v>
      </c>
    </row>
    <row r="290" customFormat="false" ht="15" hidden="false" customHeight="false" outlineLevel="0" collapsed="false">
      <c r="A290" s="5" t="s">
        <v>542</v>
      </c>
      <c r="B290" s="5" t="s">
        <v>166</v>
      </c>
      <c r="C290" s="5" t="s">
        <v>56</v>
      </c>
      <c r="D290" s="5" t="s">
        <v>64</v>
      </c>
      <c r="E290" s="5" t="s">
        <v>72</v>
      </c>
      <c r="F290" s="26" t="n">
        <v>50.47</v>
      </c>
      <c r="G290" s="26" t="n">
        <v>49.9</v>
      </c>
      <c r="H290" s="30" t="n">
        <v>1.428</v>
      </c>
      <c r="I290" s="28" t="n">
        <f aca="false">H290*G290/3.6</f>
        <v>19.7936666666667</v>
      </c>
      <c r="J290" s="30" t="n">
        <v>4.89</v>
      </c>
      <c r="K290" s="30" t="n">
        <v>0.972</v>
      </c>
      <c r="L290" s="30" t="n">
        <v>1.295</v>
      </c>
      <c r="M290" s="30" t="n">
        <v>5.83</v>
      </c>
      <c r="N290" s="25" t="n">
        <v>2.56863725336769</v>
      </c>
      <c r="O290" s="17" t="n">
        <v>0</v>
      </c>
      <c r="P290" s="26" t="n">
        <v>0</v>
      </c>
      <c r="Q290" s="24" t="n">
        <f aca="false">IF(O290=1,1/(1+EXP(-(P290-Inputs!$B$12)/Inputs!$B$13)),0)</f>
        <v>0</v>
      </c>
      <c r="R290" s="24" t="n">
        <f aca="false">N290*O290</f>
        <v>0</v>
      </c>
      <c r="S290" s="12" t="n">
        <f aca="false">N290*Q290</f>
        <v>0</v>
      </c>
      <c r="T290" s="24" t="n">
        <f aca="false">N290^2</f>
        <v>6.5978973393883</v>
      </c>
    </row>
    <row r="291" customFormat="false" ht="15" hidden="false" customHeight="false" outlineLevel="0" collapsed="false">
      <c r="A291" s="5" t="s">
        <v>543</v>
      </c>
      <c r="B291" s="5" t="s">
        <v>166</v>
      </c>
      <c r="C291" s="5" t="s">
        <v>56</v>
      </c>
      <c r="D291" s="5" t="s">
        <v>64</v>
      </c>
      <c r="E291" s="5" t="s">
        <v>72</v>
      </c>
      <c r="F291" s="26" t="n">
        <v>48.22</v>
      </c>
      <c r="G291" s="26" t="n">
        <v>48.85</v>
      </c>
      <c r="H291" s="30" t="n">
        <v>1.039</v>
      </c>
      <c r="I291" s="28" t="n">
        <f aca="false">H291*G291/3.6</f>
        <v>14.0986527777778</v>
      </c>
      <c r="J291" s="30" t="n">
        <v>3.29</v>
      </c>
      <c r="K291" s="30" t="n">
        <v>1.423</v>
      </c>
      <c r="L291" s="30" t="n">
        <v>1.472</v>
      </c>
      <c r="M291" s="30" t="n">
        <v>5.1</v>
      </c>
      <c r="N291" s="25" t="n">
        <v>0.353262154695482</v>
      </c>
      <c r="O291" s="17" t="n">
        <v>0</v>
      </c>
      <c r="P291" s="26" t="n">
        <v>0</v>
      </c>
      <c r="Q291" s="24" t="n">
        <f aca="false">IF(O291=1,1/(1+EXP(-(P291-Inputs!$B$12)/Inputs!$B$13)),0)</f>
        <v>0</v>
      </c>
      <c r="R291" s="24" t="n">
        <f aca="false">N291*O291</f>
        <v>0</v>
      </c>
      <c r="S291" s="12" t="n">
        <f aca="false">N291*Q291</f>
        <v>0</v>
      </c>
      <c r="T291" s="24" t="n">
        <f aca="false">N291^2</f>
        <v>0.124794149940095</v>
      </c>
    </row>
    <row r="292" customFormat="false" ht="15" hidden="false" customHeight="false" outlineLevel="0" collapsed="false">
      <c r="A292" s="5" t="s">
        <v>544</v>
      </c>
      <c r="B292" s="5" t="s">
        <v>166</v>
      </c>
      <c r="C292" s="5" t="s">
        <v>56</v>
      </c>
      <c r="D292" s="5" t="s">
        <v>64</v>
      </c>
      <c r="E292" s="5" t="s">
        <v>72</v>
      </c>
      <c r="F292" s="26" t="n">
        <v>46.61</v>
      </c>
      <c r="G292" s="26" t="n">
        <v>48</v>
      </c>
      <c r="H292" s="30" t="n">
        <v>1.347</v>
      </c>
      <c r="I292" s="28" t="n">
        <f aca="false">H292*G292/3.6</f>
        <v>17.96</v>
      </c>
      <c r="J292" s="30" t="n">
        <v>2.71</v>
      </c>
      <c r="K292" s="30" t="n">
        <v>1.16</v>
      </c>
      <c r="L292" s="30" t="n">
        <v>1.423</v>
      </c>
      <c r="M292" s="30" t="n">
        <v>5.73</v>
      </c>
      <c r="N292" s="25" t="n">
        <v>0.792879463622764</v>
      </c>
      <c r="O292" s="17" t="n">
        <v>0</v>
      </c>
      <c r="P292" s="26" t="n">
        <v>0</v>
      </c>
      <c r="Q292" s="24" t="n">
        <f aca="false">IF(O292=1,1/(1+EXP(-(P292-Inputs!$B$12)/Inputs!$B$13)),0)</f>
        <v>0</v>
      </c>
      <c r="R292" s="24" t="n">
        <f aca="false">N292*O292</f>
        <v>0</v>
      </c>
      <c r="S292" s="12" t="n">
        <f aca="false">N292*Q292</f>
        <v>0</v>
      </c>
      <c r="T292" s="24" t="n">
        <f aca="false">N292^2</f>
        <v>0.628657843834722</v>
      </c>
    </row>
    <row r="293" customFormat="false" ht="15" hidden="false" customHeight="false" outlineLevel="0" collapsed="false">
      <c r="A293" s="5" t="s">
        <v>545</v>
      </c>
      <c r="B293" s="5" t="s">
        <v>166</v>
      </c>
      <c r="C293" s="5" t="s">
        <v>56</v>
      </c>
      <c r="D293" s="5" t="s">
        <v>64</v>
      </c>
      <c r="E293" s="5" t="s">
        <v>72</v>
      </c>
      <c r="F293" s="26" t="n">
        <v>46.81</v>
      </c>
      <c r="G293" s="26" t="n">
        <v>48.06</v>
      </c>
      <c r="H293" s="30" t="n">
        <v>1.016</v>
      </c>
      <c r="I293" s="28" t="n">
        <f aca="false">H293*G293/3.6</f>
        <v>13.5636</v>
      </c>
      <c r="J293" s="30" t="n">
        <v>3.15</v>
      </c>
      <c r="K293" s="30" t="n">
        <v>1.144</v>
      </c>
      <c r="L293" s="30" t="n">
        <v>1.706</v>
      </c>
      <c r="M293" s="30" t="n">
        <v>5.2</v>
      </c>
      <c r="N293" s="25" t="n">
        <v>0.336490282742894</v>
      </c>
      <c r="O293" s="17" t="n">
        <v>0</v>
      </c>
      <c r="P293" s="26" t="n">
        <v>0</v>
      </c>
      <c r="Q293" s="24" t="n">
        <f aca="false">IF(O293=1,1/(1+EXP(-(P293-Inputs!$B$12)/Inputs!$B$13)),0)</f>
        <v>0</v>
      </c>
      <c r="R293" s="24" t="n">
        <f aca="false">N293*O293</f>
        <v>0</v>
      </c>
      <c r="S293" s="12" t="n">
        <f aca="false">N293*Q293</f>
        <v>0</v>
      </c>
      <c r="T293" s="24" t="n">
        <f aca="false">N293^2</f>
        <v>0.113225710380393</v>
      </c>
    </row>
    <row r="294" customFormat="false" ht="15" hidden="false" customHeight="false" outlineLevel="0" collapsed="false">
      <c r="A294" s="5" t="s">
        <v>546</v>
      </c>
      <c r="B294" s="5" t="s">
        <v>166</v>
      </c>
      <c r="C294" s="5" t="s">
        <v>56</v>
      </c>
      <c r="D294" s="5" t="s">
        <v>64</v>
      </c>
      <c r="E294" s="5" t="s">
        <v>72</v>
      </c>
      <c r="F294" s="26" t="n">
        <v>44.81</v>
      </c>
      <c r="G294" s="26" t="n">
        <v>44.59</v>
      </c>
      <c r="H294" s="30" t="n">
        <v>1.189</v>
      </c>
      <c r="I294" s="28" t="n">
        <f aca="false">H294*G294/3.6</f>
        <v>14.7270861111111</v>
      </c>
      <c r="J294" s="30" t="n">
        <v>3.96</v>
      </c>
      <c r="K294" s="30" t="n">
        <v>2.517</v>
      </c>
      <c r="L294" s="30" t="n">
        <v>1.135</v>
      </c>
      <c r="M294" s="30" t="n">
        <v>7.1</v>
      </c>
      <c r="N294" s="25" t="n">
        <v>0.165010601174985</v>
      </c>
      <c r="O294" s="17" t="n">
        <v>0</v>
      </c>
      <c r="P294" s="26" t="n">
        <v>0</v>
      </c>
      <c r="Q294" s="24" t="n">
        <f aca="false">IF(O294=1,1/(1+EXP(-(P294-Inputs!$B$12)/Inputs!$B$13)),0)</f>
        <v>0</v>
      </c>
      <c r="R294" s="24" t="n">
        <f aca="false">N294*O294</f>
        <v>0</v>
      </c>
      <c r="S294" s="12" t="n">
        <f aca="false">N294*Q294</f>
        <v>0</v>
      </c>
      <c r="T294" s="24" t="n">
        <f aca="false">N294^2</f>
        <v>0.02722849850013</v>
      </c>
    </row>
    <row r="295" customFormat="false" ht="15" hidden="false" customHeight="false" outlineLevel="0" collapsed="false">
      <c r="A295" s="5" t="s">
        <v>547</v>
      </c>
      <c r="B295" s="5" t="s">
        <v>166</v>
      </c>
      <c r="C295" s="5" t="s">
        <v>56</v>
      </c>
      <c r="D295" s="5" t="s">
        <v>64</v>
      </c>
      <c r="E295" s="5" t="s">
        <v>72</v>
      </c>
      <c r="F295" s="26" t="n">
        <v>36.28</v>
      </c>
      <c r="G295" s="26" t="n">
        <v>36.32</v>
      </c>
      <c r="H295" s="30" t="n">
        <v>1.014</v>
      </c>
      <c r="I295" s="28" t="n">
        <f aca="false">H295*G295/3.6</f>
        <v>10.2301333333333</v>
      </c>
      <c r="J295" s="30" t="n">
        <v>4.84</v>
      </c>
      <c r="K295" s="30" t="n">
        <v>0.876</v>
      </c>
      <c r="L295" s="30" t="n">
        <v>2.072</v>
      </c>
      <c r="M295" s="30" t="n">
        <v>3.86</v>
      </c>
      <c r="N295" s="25" t="n">
        <v>0.416296652712071</v>
      </c>
      <c r="O295" s="17" t="n">
        <v>0</v>
      </c>
      <c r="P295" s="26" t="n">
        <v>0</v>
      </c>
      <c r="Q295" s="24" t="n">
        <f aca="false">IF(O295=1,1/(1+EXP(-(P295-Inputs!$B$12)/Inputs!$B$13)),0)</f>
        <v>0</v>
      </c>
      <c r="R295" s="24" t="n">
        <f aca="false">N295*O295</f>
        <v>0</v>
      </c>
      <c r="S295" s="12" t="n">
        <f aca="false">N295*Q295</f>
        <v>0</v>
      </c>
      <c r="T295" s="24" t="n">
        <f aca="false">N295^2</f>
        <v>0.173302903059275</v>
      </c>
    </row>
    <row r="296" customFormat="false" ht="15" hidden="false" customHeight="false" outlineLevel="0" collapsed="false">
      <c r="A296" s="5" t="s">
        <v>548</v>
      </c>
      <c r="B296" s="5" t="s">
        <v>167</v>
      </c>
      <c r="C296" s="5" t="s">
        <v>56</v>
      </c>
      <c r="D296" s="5" t="s">
        <v>64</v>
      </c>
      <c r="E296" s="5" t="s">
        <v>73</v>
      </c>
      <c r="F296" s="26" t="n">
        <v>45.34</v>
      </c>
      <c r="G296" s="26" t="n">
        <v>46.86</v>
      </c>
      <c r="H296" s="30" t="n">
        <v>0.668</v>
      </c>
      <c r="I296" s="28" t="n">
        <f aca="false">H296*G296/3.6</f>
        <v>8.69513333333333</v>
      </c>
      <c r="J296" s="30" t="n">
        <v>4.36</v>
      </c>
      <c r="K296" s="30" t="n">
        <v>1.593</v>
      </c>
      <c r="L296" s="30" t="n">
        <v>2.141</v>
      </c>
      <c r="M296" s="30" t="n">
        <v>4.91</v>
      </c>
      <c r="N296" s="25" t="n">
        <v>0.0552964799124269</v>
      </c>
      <c r="O296" s="17" t="n">
        <v>1</v>
      </c>
      <c r="P296" s="26" t="n">
        <v>26.63</v>
      </c>
      <c r="Q296" s="24" t="n">
        <f aca="false">IF(O296=1,1/(1+EXP(-(P296-Inputs!$B$12)/Inputs!$B$13)),0)</f>
        <v>0.0675916937071192</v>
      </c>
      <c r="R296" s="24" t="n">
        <f aca="false">N296*O296</f>
        <v>0.0552964799124269</v>
      </c>
      <c r="S296" s="12" t="n">
        <f aca="false">N296*Q296</f>
        <v>0.00373758273332263</v>
      </c>
      <c r="T296" s="24" t="n">
        <f aca="false">N296^2</f>
        <v>0.00305770069070543</v>
      </c>
    </row>
    <row r="297" customFormat="false" ht="15" hidden="false" customHeight="false" outlineLevel="0" collapsed="false">
      <c r="A297" s="5" t="s">
        <v>549</v>
      </c>
      <c r="B297" s="5" t="s">
        <v>167</v>
      </c>
      <c r="C297" s="5" t="s">
        <v>56</v>
      </c>
      <c r="D297" s="5" t="s">
        <v>64</v>
      </c>
      <c r="E297" s="5" t="s">
        <v>73</v>
      </c>
      <c r="F297" s="26" t="n">
        <v>43.63</v>
      </c>
      <c r="G297" s="26" t="n">
        <v>43.56</v>
      </c>
      <c r="H297" s="30" t="n">
        <v>0.728</v>
      </c>
      <c r="I297" s="28" t="n">
        <f aca="false">H297*G297/3.6</f>
        <v>8.8088</v>
      </c>
      <c r="J297" s="30" t="n">
        <v>5.68</v>
      </c>
      <c r="K297" s="30" t="n">
        <v>1.098</v>
      </c>
      <c r="L297" s="30" t="n">
        <v>0.81</v>
      </c>
      <c r="M297" s="30" t="n">
        <v>7.37</v>
      </c>
      <c r="N297" s="25" t="n">
        <v>1.81320178801206</v>
      </c>
      <c r="O297" s="17" t="n">
        <v>0</v>
      </c>
      <c r="P297" s="26" t="n">
        <v>0</v>
      </c>
      <c r="Q297" s="24" t="n">
        <f aca="false">IF(O297=1,1/(1+EXP(-(P297-Inputs!$B$12)/Inputs!$B$13)),0)</f>
        <v>0</v>
      </c>
      <c r="R297" s="24" t="n">
        <f aca="false">N297*O297</f>
        <v>0</v>
      </c>
      <c r="S297" s="12" t="n">
        <f aca="false">N297*Q297</f>
        <v>0</v>
      </c>
      <c r="T297" s="24" t="n">
        <f aca="false">N297^2</f>
        <v>3.28770072405015</v>
      </c>
    </row>
    <row r="298" customFormat="false" ht="15" hidden="false" customHeight="false" outlineLevel="0" collapsed="false">
      <c r="A298" s="5" t="s">
        <v>550</v>
      </c>
      <c r="B298" s="5" t="s">
        <v>167</v>
      </c>
      <c r="C298" s="5" t="s">
        <v>56</v>
      </c>
      <c r="D298" s="5" t="s">
        <v>64</v>
      </c>
      <c r="E298" s="5" t="s">
        <v>73</v>
      </c>
      <c r="F298" s="26" t="n">
        <v>54.16</v>
      </c>
      <c r="G298" s="26" t="n">
        <v>53.97</v>
      </c>
      <c r="H298" s="30" t="n">
        <v>0.606</v>
      </c>
      <c r="I298" s="28" t="n">
        <f aca="false">H298*G298/3.6</f>
        <v>9.08495</v>
      </c>
      <c r="J298" s="30" t="n">
        <v>2.64</v>
      </c>
      <c r="K298" s="30" t="n">
        <v>1.796</v>
      </c>
      <c r="L298" s="30" t="n">
        <v>1.732</v>
      </c>
      <c r="M298" s="30" t="n">
        <v>4.89</v>
      </c>
      <c r="N298" s="25" t="n">
        <v>0.109220076828865</v>
      </c>
      <c r="O298" s="17" t="n">
        <v>0</v>
      </c>
      <c r="P298" s="26" t="n">
        <v>0</v>
      </c>
      <c r="Q298" s="24" t="n">
        <f aca="false">IF(O298=1,1/(1+EXP(-(P298-Inputs!$B$12)/Inputs!$B$13)),0)</f>
        <v>0</v>
      </c>
      <c r="R298" s="24" t="n">
        <f aca="false">N298*O298</f>
        <v>0</v>
      </c>
      <c r="S298" s="12" t="n">
        <f aca="false">N298*Q298</f>
        <v>0</v>
      </c>
      <c r="T298" s="24" t="n">
        <f aca="false">N298^2</f>
        <v>0.0119290251825032</v>
      </c>
    </row>
    <row r="299" customFormat="false" ht="15" hidden="false" customHeight="false" outlineLevel="0" collapsed="false">
      <c r="A299" s="5" t="s">
        <v>551</v>
      </c>
      <c r="B299" s="5" t="s">
        <v>167</v>
      </c>
      <c r="C299" s="5" t="s">
        <v>56</v>
      </c>
      <c r="D299" s="5" t="s">
        <v>64</v>
      </c>
      <c r="E299" s="5" t="s">
        <v>73</v>
      </c>
      <c r="F299" s="26" t="n">
        <v>50.12</v>
      </c>
      <c r="G299" s="26" t="n">
        <v>50.26</v>
      </c>
      <c r="H299" s="30" t="n">
        <v>0.682</v>
      </c>
      <c r="I299" s="28" t="n">
        <f aca="false">H299*G299/3.6</f>
        <v>9.52147777777778</v>
      </c>
      <c r="J299" s="30" t="n">
        <v>5.13</v>
      </c>
      <c r="K299" s="30" t="n">
        <v>0.381</v>
      </c>
      <c r="L299" s="30" t="n">
        <v>0.666</v>
      </c>
      <c r="M299" s="30" t="n">
        <v>7.55</v>
      </c>
      <c r="N299" s="25" t="n">
        <v>14.48379208311</v>
      </c>
      <c r="O299" s="17" t="n">
        <v>0</v>
      </c>
      <c r="P299" s="26" t="n">
        <v>0</v>
      </c>
      <c r="Q299" s="24" t="n">
        <f aca="false">IF(O299=1,1/(1+EXP(-(P299-Inputs!$B$12)/Inputs!$B$13)),0)</f>
        <v>0</v>
      </c>
      <c r="R299" s="24" t="n">
        <f aca="false">N299*O299</f>
        <v>0</v>
      </c>
      <c r="S299" s="12" t="n">
        <f aca="false">N299*Q299</f>
        <v>0</v>
      </c>
      <c r="T299" s="24" t="n">
        <f aca="false">N299^2</f>
        <v>209.78023310676</v>
      </c>
    </row>
    <row r="300" customFormat="false" ht="15" hidden="false" customHeight="false" outlineLevel="0" collapsed="false">
      <c r="A300" s="5" t="s">
        <v>552</v>
      </c>
      <c r="B300" s="5" t="s">
        <v>167</v>
      </c>
      <c r="C300" s="5" t="s">
        <v>56</v>
      </c>
      <c r="D300" s="5" t="s">
        <v>64</v>
      </c>
      <c r="E300" s="5" t="s">
        <v>73</v>
      </c>
      <c r="F300" s="26" t="n">
        <v>40.54</v>
      </c>
      <c r="G300" s="26" t="n">
        <v>43.42</v>
      </c>
      <c r="H300" s="30" t="n">
        <v>0.758</v>
      </c>
      <c r="I300" s="28" t="n">
        <f aca="false">H300*G300/3.6</f>
        <v>9.14232222222222</v>
      </c>
      <c r="J300" s="30" t="n">
        <v>5.35</v>
      </c>
      <c r="K300" s="30" t="n">
        <v>2.61</v>
      </c>
      <c r="L300" s="30" t="n">
        <v>1.067</v>
      </c>
      <c r="M300" s="30" t="n">
        <v>4.83</v>
      </c>
      <c r="N300" s="25" t="n">
        <v>0.367496364179022</v>
      </c>
      <c r="O300" s="17" t="n">
        <v>1</v>
      </c>
      <c r="P300" s="26" t="n">
        <v>24.96</v>
      </c>
      <c r="Q300" s="24" t="n">
        <f aca="false">IF(O300=1,1/(1+EXP(-(P300-Inputs!$B$12)/Inputs!$B$13)),0)</f>
        <v>0.0540205077479681</v>
      </c>
      <c r="R300" s="24" t="n">
        <f aca="false">N300*O300</f>
        <v>0.367496364179022</v>
      </c>
      <c r="S300" s="12" t="n">
        <f aca="false">N300*Q300</f>
        <v>0.019852340188483</v>
      </c>
      <c r="T300" s="24" t="n">
        <f aca="false">N300^2</f>
        <v>0.135053577684801</v>
      </c>
    </row>
    <row r="301" customFormat="false" ht="15" hidden="false" customHeight="false" outlineLevel="0" collapsed="false">
      <c r="A301" s="5" t="s">
        <v>553</v>
      </c>
      <c r="B301" s="5" t="s">
        <v>167</v>
      </c>
      <c r="C301" s="5" t="s">
        <v>56</v>
      </c>
      <c r="D301" s="5" t="s">
        <v>64</v>
      </c>
      <c r="E301" s="5" t="s">
        <v>73</v>
      </c>
      <c r="F301" s="26" t="n">
        <v>54.5</v>
      </c>
      <c r="G301" s="26" t="n">
        <v>55.45</v>
      </c>
      <c r="H301" s="30" t="n">
        <v>0.909</v>
      </c>
      <c r="I301" s="28" t="n">
        <f aca="false">H301*G301/3.6</f>
        <v>14.001125</v>
      </c>
      <c r="J301" s="30" t="n">
        <v>4.83</v>
      </c>
      <c r="K301" s="30" t="n">
        <v>0.499</v>
      </c>
      <c r="L301" s="30" t="n">
        <v>1.433</v>
      </c>
      <c r="M301" s="30" t="n">
        <v>7.19</v>
      </c>
      <c r="N301" s="25" t="n">
        <v>3.20992627554698</v>
      </c>
      <c r="O301" s="17" t="n">
        <v>0</v>
      </c>
      <c r="P301" s="26" t="n">
        <v>0</v>
      </c>
      <c r="Q301" s="24" t="n">
        <f aca="false">IF(O301=1,1/(1+EXP(-(P301-Inputs!$B$12)/Inputs!$B$13)),0)</f>
        <v>0</v>
      </c>
      <c r="R301" s="24" t="n">
        <f aca="false">N301*O301</f>
        <v>0</v>
      </c>
      <c r="S301" s="12" t="n">
        <f aca="false">N301*Q301</f>
        <v>0</v>
      </c>
      <c r="T301" s="24" t="n">
        <f aca="false">N301^2</f>
        <v>10.3036266944469</v>
      </c>
    </row>
    <row r="302" customFormat="false" ht="15" hidden="false" customHeight="false" outlineLevel="0" collapsed="false">
      <c r="A302" s="5" t="s">
        <v>554</v>
      </c>
      <c r="B302" s="5" t="s">
        <v>167</v>
      </c>
      <c r="C302" s="5" t="s">
        <v>56</v>
      </c>
      <c r="D302" s="5" t="s">
        <v>64</v>
      </c>
      <c r="E302" s="5" t="s">
        <v>73</v>
      </c>
      <c r="F302" s="26" t="n">
        <v>48.63</v>
      </c>
      <c r="G302" s="26" t="n">
        <v>44.83</v>
      </c>
      <c r="H302" s="30" t="n">
        <v>0.523</v>
      </c>
      <c r="I302" s="28" t="n">
        <f aca="false">H302*G302/3.6</f>
        <v>6.51280277777778</v>
      </c>
      <c r="J302" s="30" t="n">
        <v>3.8</v>
      </c>
      <c r="K302" s="30" t="n">
        <v>1.639</v>
      </c>
      <c r="L302" s="30" t="n">
        <v>1.329</v>
      </c>
      <c r="M302" s="30" t="n">
        <v>6.36</v>
      </c>
      <c r="N302" s="25" t="n">
        <v>0.299819576762914</v>
      </c>
      <c r="O302" s="17" t="n">
        <v>0</v>
      </c>
      <c r="P302" s="26" t="n">
        <v>0</v>
      </c>
      <c r="Q302" s="24" t="n">
        <f aca="false">IF(O302=1,1/(1+EXP(-(P302-Inputs!$B$12)/Inputs!$B$13)),0)</f>
        <v>0</v>
      </c>
      <c r="R302" s="24" t="n">
        <f aca="false">N302*O302</f>
        <v>0</v>
      </c>
      <c r="S302" s="12" t="n">
        <f aca="false">N302*Q302</f>
        <v>0</v>
      </c>
      <c r="T302" s="24" t="n">
        <f aca="false">N302^2</f>
        <v>0.0898917786102927</v>
      </c>
    </row>
    <row r="303" customFormat="false" ht="15" hidden="false" customHeight="false" outlineLevel="0" collapsed="false">
      <c r="A303" s="5" t="s">
        <v>555</v>
      </c>
      <c r="B303" s="5" t="s">
        <v>167</v>
      </c>
      <c r="C303" s="5" t="s">
        <v>56</v>
      </c>
      <c r="D303" s="5" t="s">
        <v>64</v>
      </c>
      <c r="E303" s="5" t="s">
        <v>73</v>
      </c>
      <c r="F303" s="26" t="n">
        <v>52.16</v>
      </c>
      <c r="G303" s="26" t="n">
        <v>55.03</v>
      </c>
      <c r="H303" s="30" t="n">
        <v>0.775</v>
      </c>
      <c r="I303" s="28" t="n">
        <f aca="false">H303*G303/3.6</f>
        <v>11.8467361111111</v>
      </c>
      <c r="J303" s="30" t="n">
        <v>3</v>
      </c>
      <c r="K303" s="30" t="n">
        <v>2.659</v>
      </c>
      <c r="L303" s="30" t="n">
        <v>1.243</v>
      </c>
      <c r="M303" s="30" t="n">
        <v>4.23</v>
      </c>
      <c r="N303" s="25" t="n">
        <v>0.24629462420028</v>
      </c>
      <c r="O303" s="17" t="n">
        <v>0</v>
      </c>
      <c r="P303" s="26" t="n">
        <v>0</v>
      </c>
      <c r="Q303" s="24" t="n">
        <f aca="false">IF(O303=1,1/(1+EXP(-(P303-Inputs!$B$12)/Inputs!$B$13)),0)</f>
        <v>0</v>
      </c>
      <c r="R303" s="24" t="n">
        <f aca="false">N303*O303</f>
        <v>0</v>
      </c>
      <c r="S303" s="12" t="n">
        <f aca="false">N303*Q303</f>
        <v>0</v>
      </c>
      <c r="T303" s="24" t="n">
        <f aca="false">N303^2</f>
        <v>0.0606610419099573</v>
      </c>
    </row>
    <row r="304" customFormat="false" ht="15" hidden="false" customHeight="false" outlineLevel="0" collapsed="false">
      <c r="A304" s="5" t="s">
        <v>556</v>
      </c>
      <c r="B304" s="5" t="s">
        <v>167</v>
      </c>
      <c r="C304" s="5" t="s">
        <v>56</v>
      </c>
      <c r="D304" s="5" t="s">
        <v>64</v>
      </c>
      <c r="E304" s="5" t="s">
        <v>73</v>
      </c>
      <c r="F304" s="26" t="n">
        <v>42.44</v>
      </c>
      <c r="G304" s="26" t="n">
        <v>42.86</v>
      </c>
      <c r="H304" s="30" t="n">
        <v>0.634</v>
      </c>
      <c r="I304" s="28" t="n">
        <f aca="false">H304*G304/3.6</f>
        <v>7.54812222222222</v>
      </c>
      <c r="J304" s="30" t="n">
        <v>3.58</v>
      </c>
      <c r="K304" s="30" t="n">
        <v>1.345</v>
      </c>
      <c r="L304" s="30" t="n">
        <v>1.516</v>
      </c>
      <c r="M304" s="30" t="n">
        <v>7.34</v>
      </c>
      <c r="N304" s="25" t="n">
        <v>0.171361702789642</v>
      </c>
      <c r="O304" s="17" t="n">
        <v>0</v>
      </c>
      <c r="P304" s="26" t="n">
        <v>0</v>
      </c>
      <c r="Q304" s="24" t="n">
        <f aca="false">IF(O304=1,1/(1+EXP(-(P304-Inputs!$B$12)/Inputs!$B$13)),0)</f>
        <v>0</v>
      </c>
      <c r="R304" s="24" t="n">
        <f aca="false">N304*O304</f>
        <v>0</v>
      </c>
      <c r="S304" s="12" t="n">
        <f aca="false">N304*Q304</f>
        <v>0</v>
      </c>
      <c r="T304" s="24" t="n">
        <f aca="false">N304^2</f>
        <v>0.0293648331829656</v>
      </c>
    </row>
    <row r="305" customFormat="false" ht="15" hidden="false" customHeight="false" outlineLevel="0" collapsed="false">
      <c r="A305" s="5" t="s">
        <v>557</v>
      </c>
      <c r="B305" s="5" t="s">
        <v>167</v>
      </c>
      <c r="C305" s="5" t="s">
        <v>56</v>
      </c>
      <c r="D305" s="5" t="s">
        <v>64</v>
      </c>
      <c r="E305" s="5" t="s">
        <v>73</v>
      </c>
      <c r="F305" s="26" t="n">
        <v>45.27</v>
      </c>
      <c r="G305" s="26" t="n">
        <v>45.5</v>
      </c>
      <c r="H305" s="30" t="n">
        <v>0.735</v>
      </c>
      <c r="I305" s="28" t="n">
        <f aca="false">H305*G305/3.6</f>
        <v>9.28958333333334</v>
      </c>
      <c r="J305" s="30" t="n">
        <v>5.63</v>
      </c>
      <c r="K305" s="30" t="n">
        <v>2.202</v>
      </c>
      <c r="L305" s="30" t="n">
        <v>2.096</v>
      </c>
      <c r="M305" s="30" t="n">
        <v>4.17</v>
      </c>
      <c r="N305" s="25" t="n">
        <v>0.04981016796512</v>
      </c>
      <c r="O305" s="17" t="n">
        <v>1</v>
      </c>
      <c r="P305" s="26" t="n">
        <v>36.9</v>
      </c>
      <c r="Q305" s="24" t="n">
        <f aca="false">IF(O305=1,1/(1+EXP(-(P305-Inputs!$B$12)/Inputs!$B$13)),0)</f>
        <v>0.239186830478921</v>
      </c>
      <c r="R305" s="24" t="n">
        <f aca="false">N305*O305</f>
        <v>0.04981016796512</v>
      </c>
      <c r="S305" s="12" t="n">
        <f aca="false">N305*Q305</f>
        <v>0.0119139362011997</v>
      </c>
      <c r="T305" s="24" t="n">
        <f aca="false">N305^2</f>
        <v>0.00248105283271346</v>
      </c>
    </row>
    <row r="306" customFormat="false" ht="15" hidden="false" customHeight="false" outlineLevel="0" collapsed="false">
      <c r="A306" s="5" t="s">
        <v>558</v>
      </c>
      <c r="B306" s="5" t="s">
        <v>168</v>
      </c>
      <c r="C306" s="5" t="s">
        <v>56</v>
      </c>
      <c r="D306" s="5" t="s">
        <v>65</v>
      </c>
      <c r="E306" s="5" t="s">
        <v>68</v>
      </c>
      <c r="F306" s="26" t="n">
        <v>71.78</v>
      </c>
      <c r="G306" s="26" t="n">
        <v>73.53</v>
      </c>
      <c r="H306" s="30" t="n">
        <v>5.743</v>
      </c>
      <c r="I306" s="28" t="n">
        <f aca="false">H306*G306/3.6</f>
        <v>117.300775</v>
      </c>
      <c r="J306" s="30" t="n">
        <v>3.81</v>
      </c>
      <c r="K306" s="30" t="n">
        <v>3.275</v>
      </c>
      <c r="L306" s="30" t="n">
        <v>0.833</v>
      </c>
      <c r="M306" s="30" t="n">
        <v>7.24</v>
      </c>
      <c r="N306" s="25" t="n">
        <v>0.757357273484823</v>
      </c>
      <c r="O306" s="17" t="n">
        <v>0</v>
      </c>
      <c r="P306" s="26" t="n">
        <v>0</v>
      </c>
      <c r="Q306" s="24" t="n">
        <f aca="false">IF(O306=1,1/(1+EXP(-(P306-Inputs!$B$12)/Inputs!$B$13)),0)</f>
        <v>0</v>
      </c>
      <c r="R306" s="24" t="n">
        <f aca="false">N306*O306</f>
        <v>0</v>
      </c>
      <c r="S306" s="12" t="n">
        <f aca="false">N306*Q306</f>
        <v>0</v>
      </c>
      <c r="T306" s="24" t="n">
        <f aca="false">N306^2</f>
        <v>0.573590039700366</v>
      </c>
    </row>
    <row r="307" customFormat="false" ht="15" hidden="false" customHeight="false" outlineLevel="0" collapsed="false">
      <c r="A307" s="5" t="s">
        <v>559</v>
      </c>
      <c r="B307" s="5" t="s">
        <v>168</v>
      </c>
      <c r="C307" s="5" t="s">
        <v>56</v>
      </c>
      <c r="D307" s="5" t="s">
        <v>65</v>
      </c>
      <c r="E307" s="5" t="s">
        <v>68</v>
      </c>
      <c r="F307" s="26" t="n">
        <v>58.42</v>
      </c>
      <c r="G307" s="26" t="n">
        <v>59.23</v>
      </c>
      <c r="H307" s="30" t="n">
        <v>3.092</v>
      </c>
      <c r="I307" s="28" t="n">
        <f aca="false">H307*G307/3.6</f>
        <v>50.8719888888889</v>
      </c>
      <c r="J307" s="30" t="n">
        <v>5.1</v>
      </c>
      <c r="K307" s="30" t="n">
        <v>2.4</v>
      </c>
      <c r="L307" s="30" t="n">
        <v>2.191</v>
      </c>
      <c r="M307" s="30" t="n">
        <v>4.16</v>
      </c>
      <c r="N307" s="25" t="n">
        <v>0.0361877067328592</v>
      </c>
      <c r="O307" s="17" t="n">
        <v>0</v>
      </c>
      <c r="P307" s="26" t="n">
        <v>0</v>
      </c>
      <c r="Q307" s="24" t="n">
        <f aca="false">IF(O307=1,1/(1+EXP(-(P307-Inputs!$B$12)/Inputs!$B$13)),0)</f>
        <v>0</v>
      </c>
      <c r="R307" s="24" t="n">
        <f aca="false">N307*O307</f>
        <v>0</v>
      </c>
      <c r="S307" s="12" t="n">
        <f aca="false">N307*Q307</f>
        <v>0</v>
      </c>
      <c r="T307" s="24" t="n">
        <f aca="false">N307^2</f>
        <v>0.00130955011858343</v>
      </c>
    </row>
    <row r="308" customFormat="false" ht="15" hidden="false" customHeight="false" outlineLevel="0" collapsed="false">
      <c r="A308" s="5" t="s">
        <v>560</v>
      </c>
      <c r="B308" s="5" t="s">
        <v>168</v>
      </c>
      <c r="C308" s="5" t="s">
        <v>56</v>
      </c>
      <c r="D308" s="5" t="s">
        <v>65</v>
      </c>
      <c r="E308" s="5" t="s">
        <v>68</v>
      </c>
      <c r="F308" s="26" t="n">
        <v>65.47</v>
      </c>
      <c r="G308" s="26" t="n">
        <v>65.37</v>
      </c>
      <c r="H308" s="30" t="n">
        <v>4.165</v>
      </c>
      <c r="I308" s="28" t="n">
        <f aca="false">H308*G308/3.6</f>
        <v>75.6294583333333</v>
      </c>
      <c r="J308" s="30" t="n">
        <v>3.33</v>
      </c>
      <c r="K308" s="30" t="n">
        <v>0.657</v>
      </c>
      <c r="L308" s="30" t="n">
        <v>2.192</v>
      </c>
      <c r="M308" s="30" t="n">
        <v>4.54</v>
      </c>
      <c r="N308" s="25" t="n">
        <v>0.325378530525821</v>
      </c>
      <c r="O308" s="17" t="n">
        <v>0</v>
      </c>
      <c r="P308" s="26" t="n">
        <v>0</v>
      </c>
      <c r="Q308" s="24" t="n">
        <f aca="false">IF(O308=1,1/(1+EXP(-(P308-Inputs!$B$12)/Inputs!$B$13)),0)</f>
        <v>0</v>
      </c>
      <c r="R308" s="24" t="n">
        <f aca="false">N308*O308</f>
        <v>0</v>
      </c>
      <c r="S308" s="12" t="n">
        <f aca="false">N308*Q308</f>
        <v>0</v>
      </c>
      <c r="T308" s="24" t="n">
        <f aca="false">N308^2</f>
        <v>0.105871188127143</v>
      </c>
    </row>
    <row r="309" customFormat="false" ht="15" hidden="false" customHeight="false" outlineLevel="0" collapsed="false">
      <c r="A309" s="5" t="s">
        <v>561</v>
      </c>
      <c r="B309" s="5" t="s">
        <v>168</v>
      </c>
      <c r="C309" s="5" t="s">
        <v>56</v>
      </c>
      <c r="D309" s="5" t="s">
        <v>65</v>
      </c>
      <c r="E309" s="5" t="s">
        <v>68</v>
      </c>
      <c r="F309" s="26" t="n">
        <v>74.15</v>
      </c>
      <c r="G309" s="26" t="n">
        <v>74.64</v>
      </c>
      <c r="H309" s="30" t="n">
        <v>5.847</v>
      </c>
      <c r="I309" s="28" t="n">
        <f aca="false">H309*G309/3.6</f>
        <v>121.2278</v>
      </c>
      <c r="J309" s="30" t="n">
        <v>4.77</v>
      </c>
      <c r="K309" s="30" t="n">
        <v>1.99</v>
      </c>
      <c r="L309" s="30" t="n">
        <v>1.399</v>
      </c>
      <c r="M309" s="30" t="n">
        <v>4.47</v>
      </c>
      <c r="N309" s="25" t="n">
        <v>1.35699709295073</v>
      </c>
      <c r="O309" s="17" t="n">
        <v>0</v>
      </c>
      <c r="P309" s="26" t="n">
        <v>0</v>
      </c>
      <c r="Q309" s="24" t="n">
        <f aca="false">IF(O309=1,1/(1+EXP(-(P309-Inputs!$B$12)/Inputs!$B$13)),0)</f>
        <v>0</v>
      </c>
      <c r="R309" s="24" t="n">
        <f aca="false">N309*O309</f>
        <v>0</v>
      </c>
      <c r="S309" s="12" t="n">
        <f aca="false">N309*Q309</f>
        <v>0</v>
      </c>
      <c r="T309" s="24" t="n">
        <f aca="false">N309^2</f>
        <v>1.84144111027673</v>
      </c>
    </row>
    <row r="310" customFormat="false" ht="15" hidden="false" customHeight="false" outlineLevel="0" collapsed="false">
      <c r="A310" s="5" t="s">
        <v>562</v>
      </c>
      <c r="B310" s="5" t="s">
        <v>168</v>
      </c>
      <c r="C310" s="5" t="s">
        <v>56</v>
      </c>
      <c r="D310" s="5" t="s">
        <v>65</v>
      </c>
      <c r="E310" s="5" t="s">
        <v>68</v>
      </c>
      <c r="F310" s="26" t="n">
        <v>58.42</v>
      </c>
      <c r="G310" s="26" t="n">
        <v>62.81</v>
      </c>
      <c r="H310" s="30" t="n">
        <v>3.186</v>
      </c>
      <c r="I310" s="28" t="n">
        <f aca="false">H310*G310/3.6</f>
        <v>55.58685</v>
      </c>
      <c r="J310" s="30" t="n">
        <v>5.13</v>
      </c>
      <c r="K310" s="30" t="n">
        <v>1.74</v>
      </c>
      <c r="L310" s="30" t="n">
        <v>1.648</v>
      </c>
      <c r="M310" s="30" t="n">
        <v>6.26</v>
      </c>
      <c r="N310" s="25" t="n">
        <v>0.112463513930833</v>
      </c>
      <c r="O310" s="17" t="n">
        <v>0</v>
      </c>
      <c r="P310" s="26" t="n">
        <v>0</v>
      </c>
      <c r="Q310" s="24" t="n">
        <f aca="false">IF(O310=1,1/(1+EXP(-(P310-Inputs!$B$12)/Inputs!$B$13)),0)</f>
        <v>0</v>
      </c>
      <c r="R310" s="24" t="n">
        <f aca="false">N310*O310</f>
        <v>0</v>
      </c>
      <c r="S310" s="12" t="n">
        <f aca="false">N310*Q310</f>
        <v>0</v>
      </c>
      <c r="T310" s="24" t="n">
        <f aca="false">N310^2</f>
        <v>0.0126480419656707</v>
      </c>
    </row>
    <row r="311" customFormat="false" ht="15" hidden="false" customHeight="false" outlineLevel="0" collapsed="false">
      <c r="A311" s="5" t="s">
        <v>563</v>
      </c>
      <c r="B311" s="5" t="s">
        <v>168</v>
      </c>
      <c r="C311" s="5" t="s">
        <v>56</v>
      </c>
      <c r="D311" s="5" t="s">
        <v>65</v>
      </c>
      <c r="E311" s="5" t="s">
        <v>68</v>
      </c>
      <c r="F311" s="26" t="n">
        <v>59.29</v>
      </c>
      <c r="G311" s="26" t="n">
        <v>56.73</v>
      </c>
      <c r="H311" s="30" t="n">
        <v>3.142</v>
      </c>
      <c r="I311" s="28" t="n">
        <f aca="false">H311*G311/3.6</f>
        <v>49.5126833333333</v>
      </c>
      <c r="J311" s="30" t="n">
        <v>3.22</v>
      </c>
      <c r="K311" s="30" t="n">
        <v>0.982</v>
      </c>
      <c r="L311" s="30" t="n">
        <v>1.427</v>
      </c>
      <c r="M311" s="30" t="n">
        <v>7.37</v>
      </c>
      <c r="N311" s="25" t="n">
        <v>0.432882828591803</v>
      </c>
      <c r="O311" s="17" t="n">
        <v>0</v>
      </c>
      <c r="P311" s="26" t="n">
        <v>0</v>
      </c>
      <c r="Q311" s="24" t="n">
        <f aca="false">IF(O311=1,1/(1+EXP(-(P311-Inputs!$B$12)/Inputs!$B$13)),0)</f>
        <v>0</v>
      </c>
      <c r="R311" s="24" t="n">
        <f aca="false">N311*O311</f>
        <v>0</v>
      </c>
      <c r="S311" s="12" t="n">
        <f aca="false">N311*Q311</f>
        <v>0</v>
      </c>
      <c r="T311" s="24" t="n">
        <f aca="false">N311^2</f>
        <v>0.18738754328964</v>
      </c>
    </row>
    <row r="312" customFormat="false" ht="15" hidden="false" customHeight="false" outlineLevel="0" collapsed="false">
      <c r="A312" s="5" t="s">
        <v>564</v>
      </c>
      <c r="B312" s="5" t="s">
        <v>168</v>
      </c>
      <c r="C312" s="5" t="s">
        <v>56</v>
      </c>
      <c r="D312" s="5" t="s">
        <v>65</v>
      </c>
      <c r="E312" s="5" t="s">
        <v>68</v>
      </c>
      <c r="F312" s="26" t="n">
        <v>68.33</v>
      </c>
      <c r="G312" s="26" t="n">
        <v>68.08</v>
      </c>
      <c r="H312" s="30" t="n">
        <v>3.588</v>
      </c>
      <c r="I312" s="28" t="n">
        <f aca="false">H312*G312/3.6</f>
        <v>67.8530666666667</v>
      </c>
      <c r="J312" s="30" t="n">
        <v>3.67</v>
      </c>
      <c r="K312" s="30" t="n">
        <v>1.179</v>
      </c>
      <c r="L312" s="30" t="n">
        <v>1.143</v>
      </c>
      <c r="M312" s="30" t="n">
        <v>7.11</v>
      </c>
      <c r="N312" s="25" t="n">
        <v>0.632001972190593</v>
      </c>
      <c r="O312" s="17" t="n">
        <v>0</v>
      </c>
      <c r="P312" s="26" t="n">
        <v>0</v>
      </c>
      <c r="Q312" s="24" t="n">
        <f aca="false">IF(O312=1,1/(1+EXP(-(P312-Inputs!$B$12)/Inputs!$B$13)),0)</f>
        <v>0</v>
      </c>
      <c r="R312" s="24" t="n">
        <f aca="false">N312*O312</f>
        <v>0</v>
      </c>
      <c r="S312" s="12" t="n">
        <f aca="false">N312*Q312</f>
        <v>0</v>
      </c>
      <c r="T312" s="24" t="n">
        <f aca="false">N312^2</f>
        <v>0.399426492852799</v>
      </c>
    </row>
    <row r="313" customFormat="false" ht="15" hidden="false" customHeight="false" outlineLevel="0" collapsed="false">
      <c r="A313" s="5" t="s">
        <v>565</v>
      </c>
      <c r="B313" s="5" t="s">
        <v>168</v>
      </c>
      <c r="C313" s="5" t="s">
        <v>56</v>
      </c>
      <c r="D313" s="5" t="s">
        <v>65</v>
      </c>
      <c r="E313" s="5" t="s">
        <v>68</v>
      </c>
      <c r="F313" s="26" t="n">
        <v>57.44</v>
      </c>
      <c r="G313" s="26" t="n">
        <v>57.17</v>
      </c>
      <c r="H313" s="30" t="n">
        <v>3.938</v>
      </c>
      <c r="I313" s="28" t="n">
        <f aca="false">H313*G313/3.6</f>
        <v>62.5376277777778</v>
      </c>
      <c r="J313" s="30" t="n">
        <v>4.25</v>
      </c>
      <c r="K313" s="30" t="n">
        <v>1.041</v>
      </c>
      <c r="L313" s="30" t="n">
        <v>1.338</v>
      </c>
      <c r="M313" s="30" t="n">
        <v>5.79</v>
      </c>
      <c r="N313" s="25" t="n">
        <v>0.777624700640884</v>
      </c>
      <c r="O313" s="17" t="n">
        <v>0</v>
      </c>
      <c r="P313" s="26" t="n">
        <v>0</v>
      </c>
      <c r="Q313" s="24" t="n">
        <f aca="false">IF(O313=1,1/(1+EXP(-(P313-Inputs!$B$12)/Inputs!$B$13)),0)</f>
        <v>0</v>
      </c>
      <c r="R313" s="24" t="n">
        <f aca="false">N313*O313</f>
        <v>0</v>
      </c>
      <c r="S313" s="12" t="n">
        <f aca="false">N313*Q313</f>
        <v>0</v>
      </c>
      <c r="T313" s="24" t="n">
        <f aca="false">N313^2</f>
        <v>0.604700175046825</v>
      </c>
    </row>
    <row r="314" customFormat="false" ht="15" hidden="false" customHeight="false" outlineLevel="0" collapsed="false">
      <c r="A314" s="5" t="s">
        <v>566</v>
      </c>
      <c r="B314" s="5" t="s">
        <v>168</v>
      </c>
      <c r="C314" s="5" t="s">
        <v>56</v>
      </c>
      <c r="D314" s="5" t="s">
        <v>65</v>
      </c>
      <c r="E314" s="5" t="s">
        <v>68</v>
      </c>
      <c r="F314" s="26" t="n">
        <v>74.06</v>
      </c>
      <c r="G314" s="26" t="n">
        <v>70.58</v>
      </c>
      <c r="H314" s="30" t="n">
        <v>3.556</v>
      </c>
      <c r="I314" s="28" t="n">
        <f aca="false">H314*G314/3.6</f>
        <v>69.7173555555556</v>
      </c>
      <c r="J314" s="30" t="n">
        <v>5.22</v>
      </c>
      <c r="K314" s="30" t="n">
        <v>0.551</v>
      </c>
      <c r="L314" s="30" t="n">
        <v>2.061</v>
      </c>
      <c r="M314" s="30" t="n">
        <v>7.07</v>
      </c>
      <c r="N314" s="25" t="n">
        <v>0.239541619864969</v>
      </c>
      <c r="O314" s="17" t="n">
        <v>0</v>
      </c>
      <c r="P314" s="26" t="n">
        <v>0</v>
      </c>
      <c r="Q314" s="24" t="n">
        <f aca="false">IF(O314=1,1/(1+EXP(-(P314-Inputs!$B$12)/Inputs!$B$13)),0)</f>
        <v>0</v>
      </c>
      <c r="R314" s="24" t="n">
        <f aca="false">N314*O314</f>
        <v>0</v>
      </c>
      <c r="S314" s="12" t="n">
        <f aca="false">N314*Q314</f>
        <v>0</v>
      </c>
      <c r="T314" s="24" t="n">
        <f aca="false">N314^2</f>
        <v>0.0573801876475334</v>
      </c>
    </row>
    <row r="315" customFormat="false" ht="15" hidden="false" customHeight="false" outlineLevel="0" collapsed="false">
      <c r="A315" s="5" t="s">
        <v>567</v>
      </c>
      <c r="B315" s="5" t="s">
        <v>168</v>
      </c>
      <c r="C315" s="5" t="s">
        <v>56</v>
      </c>
      <c r="D315" s="5" t="s">
        <v>65</v>
      </c>
      <c r="E315" s="5" t="s">
        <v>68</v>
      </c>
      <c r="F315" s="26" t="n">
        <v>72.36</v>
      </c>
      <c r="G315" s="26" t="n">
        <v>73.35</v>
      </c>
      <c r="H315" s="30" t="n">
        <v>5.274</v>
      </c>
      <c r="I315" s="28" t="n">
        <f aca="false">H315*G315/3.6</f>
        <v>107.45775</v>
      </c>
      <c r="J315" s="30" t="n">
        <v>4.76</v>
      </c>
      <c r="K315" s="30" t="n">
        <v>1.28</v>
      </c>
      <c r="L315" s="30" t="n">
        <v>0.84</v>
      </c>
      <c r="M315" s="30" t="n">
        <v>6.1</v>
      </c>
      <c r="N315" s="25" t="n">
        <v>2.32477488789689</v>
      </c>
      <c r="O315" s="17" t="n">
        <v>0</v>
      </c>
      <c r="P315" s="26" t="n">
        <v>0</v>
      </c>
      <c r="Q315" s="24" t="n">
        <f aca="false">IF(O315=1,1/(1+EXP(-(P315-Inputs!$B$12)/Inputs!$B$13)),0)</f>
        <v>0</v>
      </c>
      <c r="R315" s="24" t="n">
        <f aca="false">N315*O315</f>
        <v>0</v>
      </c>
      <c r="S315" s="12" t="n">
        <f aca="false">N315*Q315</f>
        <v>0</v>
      </c>
      <c r="T315" s="24" t="n">
        <f aca="false">N315^2</f>
        <v>5.40457827939601</v>
      </c>
    </row>
    <row r="316" customFormat="false" ht="15" hidden="false" customHeight="false" outlineLevel="0" collapsed="false">
      <c r="A316" s="5" t="s">
        <v>568</v>
      </c>
      <c r="B316" s="5" t="s">
        <v>169</v>
      </c>
      <c r="C316" s="5" t="s">
        <v>56</v>
      </c>
      <c r="D316" s="5" t="s">
        <v>65</v>
      </c>
      <c r="E316" s="5" t="s">
        <v>70</v>
      </c>
      <c r="F316" s="26" t="n">
        <v>56.02</v>
      </c>
      <c r="G316" s="26" t="n">
        <v>54.25</v>
      </c>
      <c r="H316" s="30" t="n">
        <v>2.095</v>
      </c>
      <c r="I316" s="28" t="n">
        <f aca="false">H316*G316/3.6</f>
        <v>31.5704861111111</v>
      </c>
      <c r="J316" s="30" t="n">
        <v>5.97</v>
      </c>
      <c r="K316" s="30" t="n">
        <v>0.686</v>
      </c>
      <c r="L316" s="30" t="n">
        <v>0.715</v>
      </c>
      <c r="M316" s="30" t="n">
        <v>7.19</v>
      </c>
      <c r="N316" s="25" t="n">
        <v>5.43625062763616</v>
      </c>
      <c r="O316" s="17" t="n">
        <v>0</v>
      </c>
      <c r="P316" s="26" t="n">
        <v>0</v>
      </c>
      <c r="Q316" s="24" t="n">
        <f aca="false">IF(O316=1,1/(1+EXP(-(P316-Inputs!$B$12)/Inputs!$B$13)),0)</f>
        <v>0</v>
      </c>
      <c r="R316" s="24" t="n">
        <f aca="false">N316*O316</f>
        <v>0</v>
      </c>
      <c r="S316" s="12" t="n">
        <f aca="false">N316*Q316</f>
        <v>0</v>
      </c>
      <c r="T316" s="24" t="n">
        <f aca="false">N316^2</f>
        <v>29.5528208864745</v>
      </c>
    </row>
    <row r="317" customFormat="false" ht="15" hidden="false" customHeight="false" outlineLevel="0" collapsed="false">
      <c r="A317" s="5" t="s">
        <v>569</v>
      </c>
      <c r="B317" s="5" t="s">
        <v>169</v>
      </c>
      <c r="C317" s="5" t="s">
        <v>56</v>
      </c>
      <c r="D317" s="5" t="s">
        <v>65</v>
      </c>
      <c r="E317" s="5" t="s">
        <v>70</v>
      </c>
      <c r="F317" s="26" t="n">
        <v>64.58</v>
      </c>
      <c r="G317" s="26" t="n">
        <v>65.08</v>
      </c>
      <c r="H317" s="30" t="n">
        <v>2.036</v>
      </c>
      <c r="I317" s="28" t="n">
        <f aca="false">H317*G317/3.6</f>
        <v>36.8063555555556</v>
      </c>
      <c r="J317" s="30" t="n">
        <v>4.36</v>
      </c>
      <c r="K317" s="30" t="n">
        <v>1.13</v>
      </c>
      <c r="L317" s="30" t="n">
        <v>1.495</v>
      </c>
      <c r="M317" s="30" t="n">
        <v>5.18</v>
      </c>
      <c r="N317" s="25" t="n">
        <v>0.572684229279344</v>
      </c>
      <c r="O317" s="17" t="n">
        <v>0</v>
      </c>
      <c r="P317" s="26" t="n">
        <v>0</v>
      </c>
      <c r="Q317" s="24" t="n">
        <f aca="false">IF(O317=1,1/(1+EXP(-(P317-Inputs!$B$12)/Inputs!$B$13)),0)</f>
        <v>0</v>
      </c>
      <c r="R317" s="24" t="n">
        <f aca="false">N317*O317</f>
        <v>0</v>
      </c>
      <c r="S317" s="12" t="n">
        <f aca="false">N317*Q317</f>
        <v>0</v>
      </c>
      <c r="T317" s="24" t="n">
        <f aca="false">N317^2</f>
        <v>0.327967226465276</v>
      </c>
    </row>
    <row r="318" customFormat="false" ht="15" hidden="false" customHeight="false" outlineLevel="0" collapsed="false">
      <c r="A318" s="5" t="s">
        <v>570</v>
      </c>
      <c r="B318" s="5" t="s">
        <v>169</v>
      </c>
      <c r="C318" s="5" t="s">
        <v>56</v>
      </c>
      <c r="D318" s="5" t="s">
        <v>65</v>
      </c>
      <c r="E318" s="5" t="s">
        <v>70</v>
      </c>
      <c r="F318" s="26" t="n">
        <v>56.47</v>
      </c>
      <c r="G318" s="26" t="n">
        <v>56.9</v>
      </c>
      <c r="H318" s="30" t="n">
        <v>2.001</v>
      </c>
      <c r="I318" s="28" t="n">
        <f aca="false">H318*G318/3.6</f>
        <v>31.6269166666667</v>
      </c>
      <c r="J318" s="30" t="n">
        <v>2.82</v>
      </c>
      <c r="K318" s="30" t="n">
        <v>1.788</v>
      </c>
      <c r="L318" s="30" t="n">
        <v>2.842</v>
      </c>
      <c r="M318" s="30" t="n">
        <v>5.52</v>
      </c>
      <c r="N318" s="25" t="n">
        <v>0.0133297004882529</v>
      </c>
      <c r="O318" s="17" t="n">
        <v>0</v>
      </c>
      <c r="P318" s="26" t="n">
        <v>0</v>
      </c>
      <c r="Q318" s="24" t="n">
        <f aca="false">IF(O318=1,1/(1+EXP(-(P318-Inputs!$B$12)/Inputs!$B$13)),0)</f>
        <v>0</v>
      </c>
      <c r="R318" s="24" t="n">
        <f aca="false">N318*O318</f>
        <v>0</v>
      </c>
      <c r="S318" s="12" t="n">
        <f aca="false">N318*Q318</f>
        <v>0</v>
      </c>
      <c r="T318" s="24" t="n">
        <f aca="false">N318^2</f>
        <v>0.00017768091510653</v>
      </c>
    </row>
    <row r="319" customFormat="false" ht="15" hidden="false" customHeight="false" outlineLevel="0" collapsed="false">
      <c r="A319" s="5" t="s">
        <v>571</v>
      </c>
      <c r="B319" s="5" t="s">
        <v>169</v>
      </c>
      <c r="C319" s="5" t="s">
        <v>56</v>
      </c>
      <c r="D319" s="5" t="s">
        <v>65</v>
      </c>
      <c r="E319" s="5" t="s">
        <v>70</v>
      </c>
      <c r="F319" s="26" t="n">
        <v>62</v>
      </c>
      <c r="G319" s="26" t="n">
        <v>65.4</v>
      </c>
      <c r="H319" s="30" t="n">
        <v>2.181</v>
      </c>
      <c r="I319" s="28" t="n">
        <f aca="false">H319*G319/3.6</f>
        <v>39.6215</v>
      </c>
      <c r="J319" s="30" t="n">
        <v>3.94</v>
      </c>
      <c r="K319" s="30" t="n">
        <v>0.677</v>
      </c>
      <c r="L319" s="30" t="n">
        <v>2.339</v>
      </c>
      <c r="M319" s="30" t="n">
        <v>5.54</v>
      </c>
      <c r="N319" s="25" t="n">
        <v>0.140726791977609</v>
      </c>
      <c r="O319" s="17" t="n">
        <v>0</v>
      </c>
      <c r="P319" s="26" t="n">
        <v>0</v>
      </c>
      <c r="Q319" s="24" t="n">
        <f aca="false">IF(O319=1,1/(1+EXP(-(P319-Inputs!$B$12)/Inputs!$B$13)),0)</f>
        <v>0</v>
      </c>
      <c r="R319" s="24" t="n">
        <f aca="false">N319*O319</f>
        <v>0</v>
      </c>
      <c r="S319" s="12" t="n">
        <f aca="false">N319*Q319</f>
        <v>0</v>
      </c>
      <c r="T319" s="24" t="n">
        <f aca="false">N319^2</f>
        <v>0.0198040299803093</v>
      </c>
    </row>
    <row r="320" customFormat="false" ht="15" hidden="false" customHeight="false" outlineLevel="0" collapsed="false">
      <c r="A320" s="5" t="s">
        <v>572</v>
      </c>
      <c r="B320" s="5" t="s">
        <v>169</v>
      </c>
      <c r="C320" s="5" t="s">
        <v>56</v>
      </c>
      <c r="D320" s="5" t="s">
        <v>65</v>
      </c>
      <c r="E320" s="5" t="s">
        <v>70</v>
      </c>
      <c r="F320" s="26" t="n">
        <v>61.62</v>
      </c>
      <c r="G320" s="26" t="n">
        <v>63.06</v>
      </c>
      <c r="H320" s="30" t="n">
        <v>2.327</v>
      </c>
      <c r="I320" s="28" t="n">
        <f aca="false">H320*G320/3.6</f>
        <v>40.7612833333333</v>
      </c>
      <c r="J320" s="30" t="n">
        <v>2.73</v>
      </c>
      <c r="K320" s="30" t="n">
        <v>1.627</v>
      </c>
      <c r="L320" s="30" t="n">
        <v>2.283</v>
      </c>
      <c r="M320" s="30" t="n">
        <v>4.86</v>
      </c>
      <c r="N320" s="25" t="n">
        <v>0.038997775711711</v>
      </c>
      <c r="O320" s="17" t="n">
        <v>0</v>
      </c>
      <c r="P320" s="26" t="n">
        <v>0</v>
      </c>
      <c r="Q320" s="24" t="n">
        <f aca="false">IF(O320=1,1/(1+EXP(-(P320-Inputs!$B$12)/Inputs!$B$13)),0)</f>
        <v>0</v>
      </c>
      <c r="R320" s="24" t="n">
        <f aca="false">N320*O320</f>
        <v>0</v>
      </c>
      <c r="S320" s="12" t="n">
        <f aca="false">N320*Q320</f>
        <v>0</v>
      </c>
      <c r="T320" s="24" t="n">
        <f aca="false">N320^2</f>
        <v>0.00152082651046092</v>
      </c>
    </row>
    <row r="321" customFormat="false" ht="15" hidden="false" customHeight="false" outlineLevel="0" collapsed="false">
      <c r="A321" s="5" t="s">
        <v>573</v>
      </c>
      <c r="B321" s="5" t="s">
        <v>169</v>
      </c>
      <c r="C321" s="5" t="s">
        <v>56</v>
      </c>
      <c r="D321" s="5" t="s">
        <v>65</v>
      </c>
      <c r="E321" s="5" t="s">
        <v>70</v>
      </c>
      <c r="F321" s="26" t="n">
        <v>69.03</v>
      </c>
      <c r="G321" s="26" t="n">
        <v>67.21</v>
      </c>
      <c r="H321" s="30" t="n">
        <v>2.763</v>
      </c>
      <c r="I321" s="28" t="n">
        <f aca="false">H321*G321/3.6</f>
        <v>51.583675</v>
      </c>
      <c r="J321" s="30" t="n">
        <v>3.64</v>
      </c>
      <c r="K321" s="30" t="n">
        <v>1.532</v>
      </c>
      <c r="L321" s="30" t="n">
        <v>1.16</v>
      </c>
      <c r="M321" s="30" t="n">
        <v>6.05</v>
      </c>
      <c r="N321" s="25" t="n">
        <v>0.956091427847474</v>
      </c>
      <c r="O321" s="17" t="n">
        <v>0</v>
      </c>
      <c r="P321" s="26" t="n">
        <v>0</v>
      </c>
      <c r="Q321" s="24" t="n">
        <f aca="false">IF(O321=1,1/(1+EXP(-(P321-Inputs!$B$12)/Inputs!$B$13)),0)</f>
        <v>0</v>
      </c>
      <c r="R321" s="24" t="n">
        <f aca="false">N321*O321</f>
        <v>0</v>
      </c>
      <c r="S321" s="12" t="n">
        <f aca="false">N321*Q321</f>
        <v>0</v>
      </c>
      <c r="T321" s="24" t="n">
        <f aca="false">N321^2</f>
        <v>0.914110818403422</v>
      </c>
    </row>
    <row r="322" customFormat="false" ht="15" hidden="false" customHeight="false" outlineLevel="0" collapsed="false">
      <c r="A322" s="5" t="s">
        <v>574</v>
      </c>
      <c r="B322" s="5" t="s">
        <v>169</v>
      </c>
      <c r="C322" s="5" t="s">
        <v>56</v>
      </c>
      <c r="D322" s="5" t="s">
        <v>65</v>
      </c>
      <c r="E322" s="5" t="s">
        <v>70</v>
      </c>
      <c r="F322" s="26" t="n">
        <v>71.54</v>
      </c>
      <c r="G322" s="26" t="n">
        <v>75.74</v>
      </c>
      <c r="H322" s="30" t="n">
        <v>2.917</v>
      </c>
      <c r="I322" s="28" t="n">
        <f aca="false">H322*G322/3.6</f>
        <v>61.3704388888889</v>
      </c>
      <c r="J322" s="30" t="n">
        <v>3.27</v>
      </c>
      <c r="K322" s="30" t="n">
        <v>1.458</v>
      </c>
      <c r="L322" s="30" t="n">
        <v>0.931</v>
      </c>
      <c r="M322" s="30" t="n">
        <v>6.85</v>
      </c>
      <c r="N322" s="25" t="n">
        <v>3.39028908120823</v>
      </c>
      <c r="O322" s="17" t="n">
        <v>0</v>
      </c>
      <c r="P322" s="26" t="n">
        <v>0</v>
      </c>
      <c r="Q322" s="24" t="n">
        <f aca="false">IF(O322=1,1/(1+EXP(-(P322-Inputs!$B$12)/Inputs!$B$13)),0)</f>
        <v>0</v>
      </c>
      <c r="R322" s="24" t="n">
        <f aca="false">N322*O322</f>
        <v>0</v>
      </c>
      <c r="S322" s="12" t="n">
        <f aca="false">N322*Q322</f>
        <v>0</v>
      </c>
      <c r="T322" s="24" t="n">
        <f aca="false">N322^2</f>
        <v>11.4940600541597</v>
      </c>
    </row>
    <row r="323" customFormat="false" ht="15" hidden="false" customHeight="false" outlineLevel="0" collapsed="false">
      <c r="A323" s="5" t="s">
        <v>575</v>
      </c>
      <c r="B323" s="5" t="s">
        <v>169</v>
      </c>
      <c r="C323" s="5" t="s">
        <v>56</v>
      </c>
      <c r="D323" s="5" t="s">
        <v>65</v>
      </c>
      <c r="E323" s="5" t="s">
        <v>70</v>
      </c>
      <c r="F323" s="26" t="n">
        <v>68.93</v>
      </c>
      <c r="G323" s="26" t="n">
        <v>71.26</v>
      </c>
      <c r="H323" s="30" t="n">
        <v>2.361</v>
      </c>
      <c r="I323" s="28" t="n">
        <f aca="false">H323*G323/3.6</f>
        <v>46.7346833333333</v>
      </c>
      <c r="J323" s="30" t="n">
        <v>5.02</v>
      </c>
      <c r="K323" s="30" t="n">
        <v>1.4</v>
      </c>
      <c r="L323" s="30" t="n">
        <v>1.245</v>
      </c>
      <c r="M323" s="30" t="n">
        <v>4.57</v>
      </c>
      <c r="N323" s="25" t="n">
        <v>0.687715843450601</v>
      </c>
      <c r="O323" s="17" t="n">
        <v>0</v>
      </c>
      <c r="P323" s="26" t="n">
        <v>0</v>
      </c>
      <c r="Q323" s="24" t="n">
        <f aca="false">IF(O323=1,1/(1+EXP(-(P323-Inputs!$B$12)/Inputs!$B$13)),0)</f>
        <v>0</v>
      </c>
      <c r="R323" s="24" t="n">
        <f aca="false">N323*O323</f>
        <v>0</v>
      </c>
      <c r="S323" s="12" t="n">
        <f aca="false">N323*Q323</f>
        <v>0</v>
      </c>
      <c r="T323" s="24" t="n">
        <f aca="false">N323^2</f>
        <v>0.472953081332971</v>
      </c>
    </row>
    <row r="324" customFormat="false" ht="15" hidden="false" customHeight="false" outlineLevel="0" collapsed="false">
      <c r="A324" s="5" t="s">
        <v>576</v>
      </c>
      <c r="B324" s="5" t="s">
        <v>169</v>
      </c>
      <c r="C324" s="5" t="s">
        <v>56</v>
      </c>
      <c r="D324" s="5" t="s">
        <v>65</v>
      </c>
      <c r="E324" s="5" t="s">
        <v>70</v>
      </c>
      <c r="F324" s="26" t="n">
        <v>65.55</v>
      </c>
      <c r="G324" s="26" t="n">
        <v>64.01</v>
      </c>
      <c r="H324" s="30" t="n">
        <v>2.147</v>
      </c>
      <c r="I324" s="28" t="n">
        <f aca="false">H324*G324/3.6</f>
        <v>38.1748527777778</v>
      </c>
      <c r="J324" s="30" t="n">
        <v>5.46</v>
      </c>
      <c r="K324" s="30" t="n">
        <v>1.57</v>
      </c>
      <c r="L324" s="30" t="n">
        <v>0.886</v>
      </c>
      <c r="M324" s="30" t="n">
        <v>7.39</v>
      </c>
      <c r="N324" s="25" t="n">
        <v>0.64540508899006</v>
      </c>
      <c r="O324" s="17" t="n">
        <v>0</v>
      </c>
      <c r="P324" s="26" t="n">
        <v>0</v>
      </c>
      <c r="Q324" s="24" t="n">
        <f aca="false">IF(O324=1,1/(1+EXP(-(P324-Inputs!$B$12)/Inputs!$B$13)),0)</f>
        <v>0</v>
      </c>
      <c r="R324" s="24" t="n">
        <f aca="false">N324*O324</f>
        <v>0</v>
      </c>
      <c r="S324" s="12" t="n">
        <f aca="false">N324*Q324</f>
        <v>0</v>
      </c>
      <c r="T324" s="24" t="n">
        <f aca="false">N324^2</f>
        <v>0.416547728894267</v>
      </c>
    </row>
    <row r="325" customFormat="false" ht="15" hidden="false" customHeight="false" outlineLevel="0" collapsed="false">
      <c r="A325" s="5" t="s">
        <v>577</v>
      </c>
      <c r="B325" s="5" t="s">
        <v>169</v>
      </c>
      <c r="C325" s="5" t="s">
        <v>56</v>
      </c>
      <c r="D325" s="5" t="s">
        <v>65</v>
      </c>
      <c r="E325" s="5" t="s">
        <v>70</v>
      </c>
      <c r="F325" s="26" t="n">
        <v>59.42</v>
      </c>
      <c r="G325" s="26" t="n">
        <v>61.62</v>
      </c>
      <c r="H325" s="30" t="n">
        <v>2.49</v>
      </c>
      <c r="I325" s="28" t="n">
        <f aca="false">H325*G325/3.6</f>
        <v>42.6205</v>
      </c>
      <c r="J325" s="30" t="n">
        <v>4.51</v>
      </c>
      <c r="K325" s="30" t="n">
        <v>0.68</v>
      </c>
      <c r="L325" s="30" t="n">
        <v>1.336</v>
      </c>
      <c r="M325" s="30" t="n">
        <v>4.6</v>
      </c>
      <c r="N325" s="25" t="n">
        <v>2.79744586546737</v>
      </c>
      <c r="O325" s="17" t="n">
        <v>0</v>
      </c>
      <c r="P325" s="26" t="n">
        <v>0</v>
      </c>
      <c r="Q325" s="24" t="n">
        <f aca="false">IF(O325=1,1/(1+EXP(-(P325-Inputs!$B$12)/Inputs!$B$13)),0)</f>
        <v>0</v>
      </c>
      <c r="R325" s="24" t="n">
        <f aca="false">N325*O325</f>
        <v>0</v>
      </c>
      <c r="S325" s="12" t="n">
        <f aca="false">N325*Q325</f>
        <v>0</v>
      </c>
      <c r="T325" s="24" t="n">
        <f aca="false">N325^2</f>
        <v>7.82570337022051</v>
      </c>
    </row>
    <row r="326" customFormat="false" ht="15" hidden="false" customHeight="false" outlineLevel="0" collapsed="false">
      <c r="A326" s="5" t="s">
        <v>578</v>
      </c>
      <c r="B326" s="5" t="s">
        <v>170</v>
      </c>
      <c r="C326" s="5" t="s">
        <v>56</v>
      </c>
      <c r="D326" s="5" t="s">
        <v>65</v>
      </c>
      <c r="E326" s="5" t="s">
        <v>71</v>
      </c>
      <c r="F326" s="26" t="n">
        <v>66.03</v>
      </c>
      <c r="G326" s="26" t="n">
        <v>66.89</v>
      </c>
      <c r="H326" s="30" t="n">
        <v>1.8</v>
      </c>
      <c r="I326" s="28" t="n">
        <f aca="false">H326*G326/3.6</f>
        <v>33.445</v>
      </c>
      <c r="J326" s="30" t="n">
        <v>3.72</v>
      </c>
      <c r="K326" s="30" t="n">
        <v>2.193</v>
      </c>
      <c r="L326" s="30" t="n">
        <v>1.352</v>
      </c>
      <c r="M326" s="30" t="n">
        <v>7.35</v>
      </c>
      <c r="N326" s="25" t="n">
        <v>0.147034981410906</v>
      </c>
      <c r="O326" s="17" t="n">
        <v>0</v>
      </c>
      <c r="P326" s="26" t="n">
        <v>0</v>
      </c>
      <c r="Q326" s="24" t="n">
        <f aca="false">IF(O326=1,1/(1+EXP(-(P326-Inputs!$B$12)/Inputs!$B$13)),0)</f>
        <v>0</v>
      </c>
      <c r="R326" s="24" t="n">
        <f aca="false">N326*O326</f>
        <v>0</v>
      </c>
      <c r="S326" s="12" t="n">
        <f aca="false">N326*Q326</f>
        <v>0</v>
      </c>
      <c r="T326" s="24" t="n">
        <f aca="false">N326^2</f>
        <v>0.0216192857585055</v>
      </c>
    </row>
    <row r="327" customFormat="false" ht="15" hidden="false" customHeight="false" outlineLevel="0" collapsed="false">
      <c r="A327" s="5" t="s">
        <v>579</v>
      </c>
      <c r="B327" s="5" t="s">
        <v>170</v>
      </c>
      <c r="C327" s="5" t="s">
        <v>56</v>
      </c>
      <c r="D327" s="5" t="s">
        <v>65</v>
      </c>
      <c r="E327" s="5" t="s">
        <v>71</v>
      </c>
      <c r="F327" s="26" t="n">
        <v>66.66</v>
      </c>
      <c r="G327" s="26" t="n">
        <v>65.06</v>
      </c>
      <c r="H327" s="30" t="n">
        <v>1.51</v>
      </c>
      <c r="I327" s="28" t="n">
        <f aca="false">H327*G327/3.6</f>
        <v>27.2890555555556</v>
      </c>
      <c r="J327" s="30" t="n">
        <v>4.71</v>
      </c>
      <c r="K327" s="30" t="n">
        <v>1.96</v>
      </c>
      <c r="L327" s="30" t="n">
        <v>1.613</v>
      </c>
      <c r="M327" s="30" t="n">
        <v>6.39</v>
      </c>
      <c r="N327" s="25" t="n">
        <v>0.112487512737714</v>
      </c>
      <c r="O327" s="17" t="n">
        <v>0</v>
      </c>
      <c r="P327" s="26" t="n">
        <v>0</v>
      </c>
      <c r="Q327" s="24" t="n">
        <f aca="false">IF(O327=1,1/(1+EXP(-(P327-Inputs!$B$12)/Inputs!$B$13)),0)</f>
        <v>0</v>
      </c>
      <c r="R327" s="24" t="n">
        <f aca="false">N327*O327</f>
        <v>0</v>
      </c>
      <c r="S327" s="12" t="n">
        <f aca="false">N327*Q327</f>
        <v>0</v>
      </c>
      <c r="T327" s="24" t="n">
        <f aca="false">N327^2</f>
        <v>0.0126534405219174</v>
      </c>
    </row>
    <row r="328" customFormat="false" ht="15" hidden="false" customHeight="false" outlineLevel="0" collapsed="false">
      <c r="A328" s="5" t="s">
        <v>580</v>
      </c>
      <c r="B328" s="5" t="s">
        <v>170</v>
      </c>
      <c r="C328" s="5" t="s">
        <v>56</v>
      </c>
      <c r="D328" s="5" t="s">
        <v>65</v>
      </c>
      <c r="E328" s="5" t="s">
        <v>71</v>
      </c>
      <c r="F328" s="26" t="n">
        <v>56.58</v>
      </c>
      <c r="G328" s="26" t="n">
        <v>55.55</v>
      </c>
      <c r="H328" s="30" t="n">
        <v>1.545</v>
      </c>
      <c r="I328" s="28" t="n">
        <f aca="false">H328*G328/3.6</f>
        <v>23.8402083333333</v>
      </c>
      <c r="J328" s="30" t="n">
        <v>4.55</v>
      </c>
      <c r="K328" s="30" t="n">
        <v>0.541</v>
      </c>
      <c r="L328" s="30" t="n">
        <v>1.326</v>
      </c>
      <c r="M328" s="30" t="n">
        <v>4.04</v>
      </c>
      <c r="N328" s="25" t="n">
        <v>4.84241018643168</v>
      </c>
      <c r="O328" s="17" t="n">
        <v>0</v>
      </c>
      <c r="P328" s="26" t="n">
        <v>0</v>
      </c>
      <c r="Q328" s="24" t="n">
        <f aca="false">IF(O328=1,1/(1+EXP(-(P328-Inputs!$B$12)/Inputs!$B$13)),0)</f>
        <v>0</v>
      </c>
      <c r="R328" s="24" t="n">
        <f aca="false">N328*O328</f>
        <v>0</v>
      </c>
      <c r="S328" s="12" t="n">
        <f aca="false">N328*Q328</f>
        <v>0</v>
      </c>
      <c r="T328" s="24" t="n">
        <f aca="false">N328^2</f>
        <v>23.4489364136573</v>
      </c>
    </row>
    <row r="329" customFormat="false" ht="15" hidden="false" customHeight="false" outlineLevel="0" collapsed="false">
      <c r="A329" s="5" t="s">
        <v>581</v>
      </c>
      <c r="B329" s="5" t="s">
        <v>170</v>
      </c>
      <c r="C329" s="5" t="s">
        <v>56</v>
      </c>
      <c r="D329" s="5" t="s">
        <v>65</v>
      </c>
      <c r="E329" s="5" t="s">
        <v>71</v>
      </c>
      <c r="F329" s="26" t="n">
        <v>60.73</v>
      </c>
      <c r="G329" s="26" t="n">
        <v>60.53</v>
      </c>
      <c r="H329" s="30" t="n">
        <v>1.545</v>
      </c>
      <c r="I329" s="28" t="n">
        <f aca="false">H329*G329/3.6</f>
        <v>25.9774583333333</v>
      </c>
      <c r="J329" s="30" t="n">
        <v>2.64</v>
      </c>
      <c r="K329" s="30" t="n">
        <v>2.287</v>
      </c>
      <c r="L329" s="30" t="n">
        <v>2.11</v>
      </c>
      <c r="M329" s="30" t="n">
        <v>4.3</v>
      </c>
      <c r="N329" s="25" t="n">
        <v>0.0385667830169503</v>
      </c>
      <c r="O329" s="17" t="n">
        <v>0</v>
      </c>
      <c r="P329" s="26" t="n">
        <v>0</v>
      </c>
      <c r="Q329" s="24" t="n">
        <f aca="false">IF(O329=1,1/(1+EXP(-(P329-Inputs!$B$12)/Inputs!$B$13)),0)</f>
        <v>0</v>
      </c>
      <c r="R329" s="24" t="n">
        <f aca="false">N329*O329</f>
        <v>0</v>
      </c>
      <c r="S329" s="12" t="n">
        <f aca="false">N329*Q329</f>
        <v>0</v>
      </c>
      <c r="T329" s="24" t="n">
        <f aca="false">N329^2</f>
        <v>0.00148739675227652</v>
      </c>
    </row>
    <row r="330" customFormat="false" ht="15" hidden="false" customHeight="false" outlineLevel="0" collapsed="false">
      <c r="A330" s="5" t="s">
        <v>582</v>
      </c>
      <c r="B330" s="5" t="s">
        <v>170</v>
      </c>
      <c r="C330" s="5" t="s">
        <v>56</v>
      </c>
      <c r="D330" s="5" t="s">
        <v>65</v>
      </c>
      <c r="E330" s="5" t="s">
        <v>71</v>
      </c>
      <c r="F330" s="26" t="n">
        <v>61.66</v>
      </c>
      <c r="G330" s="26" t="n">
        <v>59.59</v>
      </c>
      <c r="H330" s="30" t="n">
        <v>1.555</v>
      </c>
      <c r="I330" s="28" t="n">
        <f aca="false">H330*G330/3.6</f>
        <v>25.7395694444444</v>
      </c>
      <c r="J330" s="30" t="n">
        <v>3.03</v>
      </c>
      <c r="K330" s="30" t="n">
        <v>1.02</v>
      </c>
      <c r="L330" s="30" t="n">
        <v>1.899</v>
      </c>
      <c r="M330" s="30" t="n">
        <v>6.55</v>
      </c>
      <c r="N330" s="25" t="n">
        <v>0.141381929382834</v>
      </c>
      <c r="O330" s="17" t="n">
        <v>0</v>
      </c>
      <c r="P330" s="26" t="n">
        <v>0</v>
      </c>
      <c r="Q330" s="24" t="n">
        <f aca="false">IF(O330=1,1/(1+EXP(-(P330-Inputs!$B$12)/Inputs!$B$13)),0)</f>
        <v>0</v>
      </c>
      <c r="R330" s="24" t="n">
        <f aca="false">N330*O330</f>
        <v>0</v>
      </c>
      <c r="S330" s="12" t="n">
        <f aca="false">N330*Q330</f>
        <v>0</v>
      </c>
      <c r="T330" s="24" t="n">
        <f aca="false">N330^2</f>
        <v>0.0199888499560126</v>
      </c>
    </row>
    <row r="331" customFormat="false" ht="15" hidden="false" customHeight="false" outlineLevel="0" collapsed="false">
      <c r="A331" s="5" t="s">
        <v>583</v>
      </c>
      <c r="B331" s="5" t="s">
        <v>170</v>
      </c>
      <c r="C331" s="5" t="s">
        <v>56</v>
      </c>
      <c r="D331" s="5" t="s">
        <v>65</v>
      </c>
      <c r="E331" s="5" t="s">
        <v>71</v>
      </c>
      <c r="F331" s="26" t="n">
        <v>56.61</v>
      </c>
      <c r="G331" s="26" t="n">
        <v>57.14</v>
      </c>
      <c r="H331" s="30" t="n">
        <v>1.63</v>
      </c>
      <c r="I331" s="28" t="n">
        <f aca="false">H331*G331/3.6</f>
        <v>25.8717222222222</v>
      </c>
      <c r="J331" s="30" t="n">
        <v>4.82</v>
      </c>
      <c r="K331" s="30" t="n">
        <v>3.358</v>
      </c>
      <c r="L331" s="30" t="n">
        <v>1.723</v>
      </c>
      <c r="M331" s="30" t="n">
        <v>4.84</v>
      </c>
      <c r="N331" s="25" t="n">
        <v>0.0378358545557068</v>
      </c>
      <c r="O331" s="17" t="n">
        <v>1</v>
      </c>
      <c r="P331" s="26" t="n">
        <v>15.7</v>
      </c>
      <c r="Q331" s="24" t="n">
        <f aca="false">IF(O331=1,1/(1+EXP(-(P331-Inputs!$B$12)/Inputs!$B$13)),0)</f>
        <v>0.0149834189870363</v>
      </c>
      <c r="R331" s="24" t="n">
        <f aca="false">N331*O331</f>
        <v>0.0378358545557068</v>
      </c>
      <c r="S331" s="12" t="n">
        <f aca="false">N331*Q331</f>
        <v>0.000566910461540721</v>
      </c>
      <c r="T331" s="24" t="n">
        <f aca="false">N331^2</f>
        <v>0.0014315518899606</v>
      </c>
    </row>
    <row r="332" customFormat="false" ht="15" hidden="false" customHeight="false" outlineLevel="0" collapsed="false">
      <c r="A332" s="5" t="s">
        <v>584</v>
      </c>
      <c r="B332" s="5" t="s">
        <v>170</v>
      </c>
      <c r="C332" s="5" t="s">
        <v>56</v>
      </c>
      <c r="D332" s="5" t="s">
        <v>65</v>
      </c>
      <c r="E332" s="5" t="s">
        <v>71</v>
      </c>
      <c r="F332" s="26" t="n">
        <v>67.47</v>
      </c>
      <c r="G332" s="26" t="n">
        <v>63.77</v>
      </c>
      <c r="H332" s="30" t="n">
        <v>1.617</v>
      </c>
      <c r="I332" s="28" t="n">
        <f aca="false">H332*G332/3.6</f>
        <v>28.6433583333333</v>
      </c>
      <c r="J332" s="30" t="n">
        <v>3.98</v>
      </c>
      <c r="K332" s="30" t="n">
        <v>1.011</v>
      </c>
      <c r="L332" s="30" t="n">
        <v>1.229</v>
      </c>
      <c r="M332" s="30" t="n">
        <v>7.61</v>
      </c>
      <c r="N332" s="25" t="n">
        <v>0.553113370868232</v>
      </c>
      <c r="O332" s="17" t="n">
        <v>0</v>
      </c>
      <c r="P332" s="26" t="n">
        <v>0</v>
      </c>
      <c r="Q332" s="24" t="n">
        <f aca="false">IF(O332=1,1/(1+EXP(-(P332-Inputs!$B$12)/Inputs!$B$13)),0)</f>
        <v>0</v>
      </c>
      <c r="R332" s="24" t="n">
        <f aca="false">N332*O332</f>
        <v>0</v>
      </c>
      <c r="S332" s="12" t="n">
        <f aca="false">N332*Q332</f>
        <v>0</v>
      </c>
      <c r="T332" s="24" t="n">
        <f aca="false">N332^2</f>
        <v>0.305934401033218</v>
      </c>
    </row>
    <row r="333" customFormat="false" ht="15" hidden="false" customHeight="false" outlineLevel="0" collapsed="false">
      <c r="A333" s="5" t="s">
        <v>585</v>
      </c>
      <c r="B333" s="5" t="s">
        <v>170</v>
      </c>
      <c r="C333" s="5" t="s">
        <v>56</v>
      </c>
      <c r="D333" s="5" t="s">
        <v>65</v>
      </c>
      <c r="E333" s="5" t="s">
        <v>71</v>
      </c>
      <c r="F333" s="26" t="n">
        <v>60.74</v>
      </c>
      <c r="G333" s="26" t="n">
        <v>59.22</v>
      </c>
      <c r="H333" s="30" t="n">
        <v>1.628</v>
      </c>
      <c r="I333" s="28" t="n">
        <f aca="false">H333*G333/3.6</f>
        <v>26.7806</v>
      </c>
      <c r="J333" s="30" t="n">
        <v>5.26</v>
      </c>
      <c r="K333" s="30" t="n">
        <v>1.933</v>
      </c>
      <c r="L333" s="30" t="n">
        <v>2.799</v>
      </c>
      <c r="M333" s="30" t="n">
        <v>6.28</v>
      </c>
      <c r="N333" s="25" t="n">
        <v>0.00494184784366026</v>
      </c>
      <c r="O333" s="17" t="n">
        <v>0</v>
      </c>
      <c r="P333" s="26" t="n">
        <v>0</v>
      </c>
      <c r="Q333" s="24" t="n">
        <f aca="false">IF(O333=1,1/(1+EXP(-(P333-Inputs!$B$12)/Inputs!$B$13)),0)</f>
        <v>0</v>
      </c>
      <c r="R333" s="24" t="n">
        <f aca="false">N333*O333</f>
        <v>0</v>
      </c>
      <c r="S333" s="12" t="n">
        <f aca="false">N333*Q333</f>
        <v>0</v>
      </c>
      <c r="T333" s="24" t="n">
        <f aca="false">N333^2</f>
        <v>2.44218601098895E-005</v>
      </c>
    </row>
    <row r="334" customFormat="false" ht="15" hidden="false" customHeight="false" outlineLevel="0" collapsed="false">
      <c r="A334" s="5" t="s">
        <v>586</v>
      </c>
      <c r="B334" s="5" t="s">
        <v>170</v>
      </c>
      <c r="C334" s="5" t="s">
        <v>56</v>
      </c>
      <c r="D334" s="5" t="s">
        <v>65</v>
      </c>
      <c r="E334" s="5" t="s">
        <v>71</v>
      </c>
      <c r="F334" s="26" t="n">
        <v>60.07</v>
      </c>
      <c r="G334" s="26" t="n">
        <v>59.33</v>
      </c>
      <c r="H334" s="30" t="n">
        <v>1.575</v>
      </c>
      <c r="I334" s="28" t="n">
        <f aca="false">H334*G334/3.6</f>
        <v>25.956875</v>
      </c>
      <c r="J334" s="30" t="n">
        <v>4.36</v>
      </c>
      <c r="K334" s="30" t="n">
        <v>1.127</v>
      </c>
      <c r="L334" s="30" t="n">
        <v>1.47</v>
      </c>
      <c r="M334" s="30" t="n">
        <v>4.9</v>
      </c>
      <c r="N334" s="25" t="n">
        <v>0.56286698289466</v>
      </c>
      <c r="O334" s="17" t="n">
        <v>0</v>
      </c>
      <c r="P334" s="26" t="n">
        <v>0</v>
      </c>
      <c r="Q334" s="24" t="n">
        <f aca="false">IF(O334=1,1/(1+EXP(-(P334-Inputs!$B$12)/Inputs!$B$13)),0)</f>
        <v>0</v>
      </c>
      <c r="R334" s="24" t="n">
        <f aca="false">N334*O334</f>
        <v>0</v>
      </c>
      <c r="S334" s="12" t="n">
        <f aca="false">N334*Q334</f>
        <v>0</v>
      </c>
      <c r="T334" s="24" t="n">
        <f aca="false">N334^2</f>
        <v>0.316819240432938</v>
      </c>
    </row>
    <row r="335" customFormat="false" ht="15" hidden="false" customHeight="false" outlineLevel="0" collapsed="false">
      <c r="A335" s="5" t="s">
        <v>587</v>
      </c>
      <c r="B335" s="5" t="s">
        <v>170</v>
      </c>
      <c r="C335" s="5" t="s">
        <v>56</v>
      </c>
      <c r="D335" s="5" t="s">
        <v>65</v>
      </c>
      <c r="E335" s="5" t="s">
        <v>71</v>
      </c>
      <c r="F335" s="26" t="n">
        <v>56.96</v>
      </c>
      <c r="G335" s="26" t="n">
        <v>58.32</v>
      </c>
      <c r="H335" s="30" t="n">
        <v>1.524</v>
      </c>
      <c r="I335" s="28" t="n">
        <f aca="false">H335*G335/3.6</f>
        <v>24.6888</v>
      </c>
      <c r="J335" s="30" t="n">
        <v>4.38</v>
      </c>
      <c r="K335" s="30" t="n">
        <v>0.98</v>
      </c>
      <c r="L335" s="30" t="n">
        <v>1.13</v>
      </c>
      <c r="M335" s="30" t="n">
        <v>7.86</v>
      </c>
      <c r="N335" s="25" t="n">
        <v>0.712588891667042</v>
      </c>
      <c r="O335" s="17" t="n">
        <v>0</v>
      </c>
      <c r="P335" s="26" t="n">
        <v>0</v>
      </c>
      <c r="Q335" s="24" t="n">
        <f aca="false">IF(O335=1,1/(1+EXP(-(P335-Inputs!$B$12)/Inputs!$B$13)),0)</f>
        <v>0</v>
      </c>
      <c r="R335" s="24" t="n">
        <f aca="false">N335*O335</f>
        <v>0</v>
      </c>
      <c r="S335" s="12" t="n">
        <f aca="false">N335*Q335</f>
        <v>0</v>
      </c>
      <c r="T335" s="24" t="n">
        <f aca="false">N335^2</f>
        <v>0.507782928527264</v>
      </c>
    </row>
    <row r="336" customFormat="false" ht="15" hidden="false" customHeight="false" outlineLevel="0" collapsed="false">
      <c r="A336" s="5" t="s">
        <v>588</v>
      </c>
      <c r="B336" s="5" t="s">
        <v>171</v>
      </c>
      <c r="C336" s="5" t="s">
        <v>56</v>
      </c>
      <c r="D336" s="5" t="s">
        <v>65</v>
      </c>
      <c r="E336" s="5" t="s">
        <v>72</v>
      </c>
      <c r="F336" s="26" t="n">
        <v>59.86</v>
      </c>
      <c r="G336" s="26" t="n">
        <v>58.59</v>
      </c>
      <c r="H336" s="30" t="n">
        <v>1.106</v>
      </c>
      <c r="I336" s="28" t="n">
        <f aca="false">H336*G336/3.6</f>
        <v>18.00015</v>
      </c>
      <c r="J336" s="30" t="n">
        <v>4.62</v>
      </c>
      <c r="K336" s="30" t="n">
        <v>1.116</v>
      </c>
      <c r="L336" s="30" t="n">
        <v>0.987</v>
      </c>
      <c r="M336" s="30" t="n">
        <v>7.01</v>
      </c>
      <c r="N336" s="25" t="n">
        <v>1.14553682824729</v>
      </c>
      <c r="O336" s="17" t="n">
        <v>0</v>
      </c>
      <c r="P336" s="26" t="n">
        <v>0</v>
      </c>
      <c r="Q336" s="24" t="n">
        <f aca="false">IF(O336=1,1/(1+EXP(-(P336-Inputs!$B$12)/Inputs!$B$13)),0)</f>
        <v>0</v>
      </c>
      <c r="R336" s="24" t="n">
        <f aca="false">N336*O336</f>
        <v>0</v>
      </c>
      <c r="S336" s="12" t="n">
        <f aca="false">N336*Q336</f>
        <v>0</v>
      </c>
      <c r="T336" s="24" t="n">
        <f aca="false">N336^2</f>
        <v>1.31225462487086</v>
      </c>
    </row>
    <row r="337" customFormat="false" ht="15" hidden="false" customHeight="false" outlineLevel="0" collapsed="false">
      <c r="A337" s="5" t="s">
        <v>589</v>
      </c>
      <c r="B337" s="5" t="s">
        <v>171</v>
      </c>
      <c r="C337" s="5" t="s">
        <v>56</v>
      </c>
      <c r="D337" s="5" t="s">
        <v>65</v>
      </c>
      <c r="E337" s="5" t="s">
        <v>72</v>
      </c>
      <c r="F337" s="26" t="n">
        <v>56.34</v>
      </c>
      <c r="G337" s="26" t="n">
        <v>58.78</v>
      </c>
      <c r="H337" s="30" t="n">
        <v>1.016</v>
      </c>
      <c r="I337" s="28" t="n">
        <f aca="false">H337*G337/3.6</f>
        <v>16.5890222222222</v>
      </c>
      <c r="J337" s="30" t="n">
        <v>3.72</v>
      </c>
      <c r="K337" s="30" t="n">
        <v>1.306</v>
      </c>
      <c r="L337" s="30" t="n">
        <v>1.378</v>
      </c>
      <c r="M337" s="30" t="n">
        <v>6.89</v>
      </c>
      <c r="N337" s="25" t="n">
        <v>0.358717546028441</v>
      </c>
      <c r="O337" s="17" t="n">
        <v>0</v>
      </c>
      <c r="P337" s="26" t="n">
        <v>0</v>
      </c>
      <c r="Q337" s="24" t="n">
        <f aca="false">IF(O337=1,1/(1+EXP(-(P337-Inputs!$B$12)/Inputs!$B$13)),0)</f>
        <v>0</v>
      </c>
      <c r="R337" s="24" t="n">
        <f aca="false">N337*O337</f>
        <v>0</v>
      </c>
      <c r="S337" s="12" t="n">
        <f aca="false">N337*Q337</f>
        <v>0</v>
      </c>
      <c r="T337" s="24" t="n">
        <f aca="false">N337^2</f>
        <v>0.128678277828667</v>
      </c>
    </row>
    <row r="338" customFormat="false" ht="15" hidden="false" customHeight="false" outlineLevel="0" collapsed="false">
      <c r="A338" s="5" t="s">
        <v>590</v>
      </c>
      <c r="B338" s="5" t="s">
        <v>171</v>
      </c>
      <c r="C338" s="5" t="s">
        <v>56</v>
      </c>
      <c r="D338" s="5" t="s">
        <v>65</v>
      </c>
      <c r="E338" s="5" t="s">
        <v>72</v>
      </c>
      <c r="F338" s="26" t="n">
        <v>67.59</v>
      </c>
      <c r="G338" s="26" t="n">
        <v>67.57</v>
      </c>
      <c r="H338" s="30" t="n">
        <v>1.242</v>
      </c>
      <c r="I338" s="28" t="n">
        <f aca="false">H338*G338/3.6</f>
        <v>23.31165</v>
      </c>
      <c r="J338" s="30" t="n">
        <v>2.71</v>
      </c>
      <c r="K338" s="30" t="n">
        <v>0.828</v>
      </c>
      <c r="L338" s="30" t="n">
        <v>1.182</v>
      </c>
      <c r="M338" s="30" t="n">
        <v>6.22</v>
      </c>
      <c r="N338" s="25" t="n">
        <v>1.69628519842069</v>
      </c>
      <c r="O338" s="17" t="n">
        <v>0</v>
      </c>
      <c r="P338" s="26" t="n">
        <v>0</v>
      </c>
      <c r="Q338" s="24" t="n">
        <f aca="false">IF(O338=1,1/(1+EXP(-(P338-Inputs!$B$12)/Inputs!$B$13)),0)</f>
        <v>0</v>
      </c>
      <c r="R338" s="24" t="n">
        <f aca="false">N338*O338</f>
        <v>0</v>
      </c>
      <c r="S338" s="12" t="n">
        <f aca="false">N338*Q338</f>
        <v>0</v>
      </c>
      <c r="T338" s="24" t="n">
        <f aca="false">N338^2</f>
        <v>2.8773834743811</v>
      </c>
    </row>
    <row r="339" customFormat="false" ht="15" hidden="false" customHeight="false" outlineLevel="0" collapsed="false">
      <c r="A339" s="5" t="s">
        <v>591</v>
      </c>
      <c r="B339" s="5" t="s">
        <v>171</v>
      </c>
      <c r="C339" s="5" t="s">
        <v>56</v>
      </c>
      <c r="D339" s="5" t="s">
        <v>65</v>
      </c>
      <c r="E339" s="5" t="s">
        <v>72</v>
      </c>
      <c r="F339" s="26" t="n">
        <v>56.39</v>
      </c>
      <c r="G339" s="26" t="n">
        <v>56.82</v>
      </c>
      <c r="H339" s="30" t="n">
        <v>1.226</v>
      </c>
      <c r="I339" s="28" t="n">
        <f aca="false">H339*G339/3.6</f>
        <v>19.3503666666667</v>
      </c>
      <c r="J339" s="30" t="n">
        <v>5.9</v>
      </c>
      <c r="K339" s="30" t="n">
        <v>0.814</v>
      </c>
      <c r="L339" s="30" t="n">
        <v>0.606</v>
      </c>
      <c r="M339" s="30" t="n">
        <v>7.75</v>
      </c>
      <c r="N339" s="25" t="n">
        <v>4.68740521512751</v>
      </c>
      <c r="O339" s="17" t="n">
        <v>0</v>
      </c>
      <c r="P339" s="26" t="n">
        <v>0</v>
      </c>
      <c r="Q339" s="24" t="n">
        <f aca="false">IF(O339=1,1/(1+EXP(-(P339-Inputs!$B$12)/Inputs!$B$13)),0)</f>
        <v>0</v>
      </c>
      <c r="R339" s="24" t="n">
        <f aca="false">N339*O339</f>
        <v>0</v>
      </c>
      <c r="S339" s="12" t="n">
        <f aca="false">N339*Q339</f>
        <v>0</v>
      </c>
      <c r="T339" s="24" t="n">
        <f aca="false">N339^2</f>
        <v>21.9717676508046</v>
      </c>
    </row>
    <row r="340" customFormat="false" ht="15" hidden="false" customHeight="false" outlineLevel="0" collapsed="false">
      <c r="A340" s="5" t="s">
        <v>592</v>
      </c>
      <c r="B340" s="5" t="s">
        <v>171</v>
      </c>
      <c r="C340" s="5" t="s">
        <v>56</v>
      </c>
      <c r="D340" s="5" t="s">
        <v>65</v>
      </c>
      <c r="E340" s="5" t="s">
        <v>72</v>
      </c>
      <c r="F340" s="26" t="n">
        <v>67.75</v>
      </c>
      <c r="G340" s="26" t="n">
        <v>68.47</v>
      </c>
      <c r="H340" s="30" t="n">
        <v>1.037</v>
      </c>
      <c r="I340" s="28" t="n">
        <f aca="false">H340*G340/3.6</f>
        <v>19.7231638888889</v>
      </c>
      <c r="J340" s="30" t="n">
        <v>3.5</v>
      </c>
      <c r="K340" s="30" t="n">
        <v>0.622</v>
      </c>
      <c r="L340" s="30" t="n">
        <v>1.339</v>
      </c>
      <c r="M340" s="30" t="n">
        <v>7.7</v>
      </c>
      <c r="N340" s="25" t="n">
        <v>1.04506420817017</v>
      </c>
      <c r="O340" s="17" t="n">
        <v>0</v>
      </c>
      <c r="P340" s="26" t="n">
        <v>0</v>
      </c>
      <c r="Q340" s="24" t="n">
        <f aca="false">IF(O340=1,1/(1+EXP(-(P340-Inputs!$B$12)/Inputs!$B$13)),0)</f>
        <v>0</v>
      </c>
      <c r="R340" s="24" t="n">
        <f aca="false">N340*O340</f>
        <v>0</v>
      </c>
      <c r="S340" s="12" t="n">
        <f aca="false">N340*Q340</f>
        <v>0</v>
      </c>
      <c r="T340" s="24" t="n">
        <f aca="false">N340^2</f>
        <v>1.09215919919834</v>
      </c>
    </row>
    <row r="341" customFormat="false" ht="15" hidden="false" customHeight="false" outlineLevel="0" collapsed="false">
      <c r="A341" s="5" t="s">
        <v>593</v>
      </c>
      <c r="B341" s="5" t="s">
        <v>171</v>
      </c>
      <c r="C341" s="5" t="s">
        <v>56</v>
      </c>
      <c r="D341" s="5" t="s">
        <v>65</v>
      </c>
      <c r="E341" s="5" t="s">
        <v>72</v>
      </c>
      <c r="F341" s="26" t="n">
        <v>70.65</v>
      </c>
      <c r="G341" s="26" t="n">
        <v>70.18</v>
      </c>
      <c r="H341" s="30" t="n">
        <v>1.15</v>
      </c>
      <c r="I341" s="28" t="n">
        <f aca="false">H341*G341/3.6</f>
        <v>22.4186111111111</v>
      </c>
      <c r="J341" s="30" t="n">
        <v>5.53</v>
      </c>
      <c r="K341" s="30" t="n">
        <v>0.705</v>
      </c>
      <c r="L341" s="30" t="n">
        <v>1.557</v>
      </c>
      <c r="M341" s="30" t="n">
        <v>5.56</v>
      </c>
      <c r="N341" s="25" t="n">
        <v>0.89205177186916</v>
      </c>
      <c r="O341" s="17" t="n">
        <v>0</v>
      </c>
      <c r="P341" s="26" t="n">
        <v>0</v>
      </c>
      <c r="Q341" s="24" t="n">
        <f aca="false">IF(O341=1,1/(1+EXP(-(P341-Inputs!$B$12)/Inputs!$B$13)),0)</f>
        <v>0</v>
      </c>
      <c r="R341" s="24" t="n">
        <f aca="false">N341*O341</f>
        <v>0</v>
      </c>
      <c r="S341" s="12" t="n">
        <f aca="false">N341*Q341</f>
        <v>0</v>
      </c>
      <c r="T341" s="24" t="n">
        <f aca="false">N341^2</f>
        <v>0.795756363694908</v>
      </c>
    </row>
    <row r="342" customFormat="false" ht="15" hidden="false" customHeight="false" outlineLevel="0" collapsed="false">
      <c r="A342" s="5" t="s">
        <v>594</v>
      </c>
      <c r="B342" s="5" t="s">
        <v>171</v>
      </c>
      <c r="C342" s="5" t="s">
        <v>56</v>
      </c>
      <c r="D342" s="5" t="s">
        <v>65</v>
      </c>
      <c r="E342" s="5" t="s">
        <v>72</v>
      </c>
      <c r="F342" s="26" t="n">
        <v>58.91</v>
      </c>
      <c r="G342" s="26" t="n">
        <v>58.61</v>
      </c>
      <c r="H342" s="30" t="n">
        <v>1.156</v>
      </c>
      <c r="I342" s="28" t="n">
        <f aca="false">H342*G342/3.6</f>
        <v>18.8203222222222</v>
      </c>
      <c r="J342" s="30" t="n">
        <v>5.98</v>
      </c>
      <c r="K342" s="30" t="n">
        <v>1.204</v>
      </c>
      <c r="L342" s="30" t="n">
        <v>2.52</v>
      </c>
      <c r="M342" s="30" t="n">
        <v>3.68</v>
      </c>
      <c r="N342" s="25" t="n">
        <v>0.0835214051433293</v>
      </c>
      <c r="O342" s="17" t="n">
        <v>1</v>
      </c>
      <c r="P342" s="26" t="n">
        <v>13.01</v>
      </c>
      <c r="Q342" s="24" t="n">
        <f aca="false">IF(O342=1,1/(1+EXP(-(P342-Inputs!$B$12)/Inputs!$B$13)),0)</f>
        <v>0.010251772273372</v>
      </c>
      <c r="R342" s="24" t="n">
        <f aca="false">N342*O342</f>
        <v>0.0835214051433293</v>
      </c>
      <c r="S342" s="12" t="n">
        <f aca="false">N342*Q342</f>
        <v>0.00085624242548145</v>
      </c>
      <c r="T342" s="24" t="n">
        <f aca="false">N342^2</f>
        <v>0.00697582511711615</v>
      </c>
    </row>
    <row r="343" customFormat="false" ht="15" hidden="false" customHeight="false" outlineLevel="0" collapsed="false">
      <c r="A343" s="5" t="s">
        <v>595</v>
      </c>
      <c r="B343" s="5" t="s">
        <v>171</v>
      </c>
      <c r="C343" s="5" t="s">
        <v>56</v>
      </c>
      <c r="D343" s="5" t="s">
        <v>65</v>
      </c>
      <c r="E343" s="5" t="s">
        <v>72</v>
      </c>
      <c r="F343" s="26" t="n">
        <v>67.79</v>
      </c>
      <c r="G343" s="26" t="n">
        <v>70.75</v>
      </c>
      <c r="H343" s="30" t="n">
        <v>1.312</v>
      </c>
      <c r="I343" s="28" t="n">
        <f aca="false">H343*G343/3.6</f>
        <v>25.7844444444444</v>
      </c>
      <c r="J343" s="30" t="n">
        <v>3.45</v>
      </c>
      <c r="K343" s="30" t="n">
        <v>2.262</v>
      </c>
      <c r="L343" s="30" t="n">
        <v>1.913</v>
      </c>
      <c r="M343" s="30" t="n">
        <v>4.59</v>
      </c>
      <c r="N343" s="25" t="n">
        <v>0.0750711276632434</v>
      </c>
      <c r="O343" s="17" t="n">
        <v>0</v>
      </c>
      <c r="P343" s="26" t="n">
        <v>0</v>
      </c>
      <c r="Q343" s="24" t="n">
        <f aca="false">IF(O343=1,1/(1+EXP(-(P343-Inputs!$B$12)/Inputs!$B$13)),0)</f>
        <v>0</v>
      </c>
      <c r="R343" s="24" t="n">
        <f aca="false">N343*O343</f>
        <v>0</v>
      </c>
      <c r="S343" s="12" t="n">
        <f aca="false">N343*Q343</f>
        <v>0</v>
      </c>
      <c r="T343" s="24" t="n">
        <f aca="false">N343^2</f>
        <v>0.00563567420863098</v>
      </c>
    </row>
    <row r="344" customFormat="false" ht="15" hidden="false" customHeight="false" outlineLevel="0" collapsed="false">
      <c r="A344" s="5" t="s">
        <v>596</v>
      </c>
      <c r="B344" s="5" t="s">
        <v>171</v>
      </c>
      <c r="C344" s="5" t="s">
        <v>56</v>
      </c>
      <c r="D344" s="5" t="s">
        <v>65</v>
      </c>
      <c r="E344" s="5" t="s">
        <v>72</v>
      </c>
      <c r="F344" s="26" t="n">
        <v>55.19</v>
      </c>
      <c r="G344" s="26" t="n">
        <v>55.95</v>
      </c>
      <c r="H344" s="30" t="n">
        <v>1.11</v>
      </c>
      <c r="I344" s="28" t="n">
        <f aca="false">H344*G344/3.6</f>
        <v>17.25125</v>
      </c>
      <c r="J344" s="30" t="n">
        <v>4.38</v>
      </c>
      <c r="K344" s="30" t="n">
        <v>0.326</v>
      </c>
      <c r="L344" s="30" t="n">
        <v>2.48</v>
      </c>
      <c r="M344" s="30" t="n">
        <v>4.07</v>
      </c>
      <c r="N344" s="25" t="n">
        <v>0.790634453253023</v>
      </c>
      <c r="O344" s="17" t="n">
        <v>0</v>
      </c>
      <c r="P344" s="26" t="n">
        <v>0</v>
      </c>
      <c r="Q344" s="24" t="n">
        <f aca="false">IF(O344=1,1/(1+EXP(-(P344-Inputs!$B$12)/Inputs!$B$13)),0)</f>
        <v>0</v>
      </c>
      <c r="R344" s="24" t="n">
        <f aca="false">N344*O344</f>
        <v>0</v>
      </c>
      <c r="S344" s="12" t="n">
        <f aca="false">N344*Q344</f>
        <v>0</v>
      </c>
      <c r="T344" s="24" t="n">
        <f aca="false">N344^2</f>
        <v>0.625102838670707</v>
      </c>
    </row>
    <row r="345" customFormat="false" ht="15" hidden="false" customHeight="false" outlineLevel="0" collapsed="false">
      <c r="A345" s="5" t="s">
        <v>597</v>
      </c>
      <c r="B345" s="5" t="s">
        <v>171</v>
      </c>
      <c r="C345" s="5" t="s">
        <v>56</v>
      </c>
      <c r="D345" s="5" t="s">
        <v>65</v>
      </c>
      <c r="E345" s="5" t="s">
        <v>72</v>
      </c>
      <c r="F345" s="26" t="n">
        <v>65.4</v>
      </c>
      <c r="G345" s="26" t="n">
        <v>68.01</v>
      </c>
      <c r="H345" s="30" t="n">
        <v>1.184</v>
      </c>
      <c r="I345" s="28" t="n">
        <f aca="false">H345*G345/3.6</f>
        <v>22.3677333333333</v>
      </c>
      <c r="J345" s="30" t="n">
        <v>5.23</v>
      </c>
      <c r="K345" s="30" t="n">
        <v>0.663</v>
      </c>
      <c r="L345" s="30" t="n">
        <v>1.41</v>
      </c>
      <c r="M345" s="30" t="n">
        <v>6.59</v>
      </c>
      <c r="N345" s="25" t="n">
        <v>1.21869855522377</v>
      </c>
      <c r="O345" s="17" t="n">
        <v>0</v>
      </c>
      <c r="P345" s="26" t="n">
        <v>0</v>
      </c>
      <c r="Q345" s="24" t="n">
        <f aca="false">IF(O345=1,1/(1+EXP(-(P345-Inputs!$B$12)/Inputs!$B$13)),0)</f>
        <v>0</v>
      </c>
      <c r="R345" s="24" t="n">
        <f aca="false">N345*O345</f>
        <v>0</v>
      </c>
      <c r="S345" s="12" t="n">
        <f aca="false">N345*Q345</f>
        <v>0</v>
      </c>
      <c r="T345" s="24" t="n">
        <f aca="false">N345^2</f>
        <v>1.48522616850451</v>
      </c>
    </row>
    <row r="346" customFormat="false" ht="15" hidden="false" customHeight="false" outlineLevel="0" collapsed="false">
      <c r="A346" s="5" t="s">
        <v>598</v>
      </c>
      <c r="B346" s="5" t="s">
        <v>172</v>
      </c>
      <c r="C346" s="5" t="s">
        <v>56</v>
      </c>
      <c r="D346" s="5" t="s">
        <v>65</v>
      </c>
      <c r="E346" s="5" t="s">
        <v>73</v>
      </c>
      <c r="F346" s="26" t="n">
        <v>61.04</v>
      </c>
      <c r="G346" s="26" t="n">
        <v>59.04</v>
      </c>
      <c r="H346" s="30" t="n">
        <v>0.527</v>
      </c>
      <c r="I346" s="28" t="n">
        <f aca="false">H346*G346/3.6</f>
        <v>8.6428</v>
      </c>
      <c r="J346" s="30" t="n">
        <v>4.99</v>
      </c>
      <c r="K346" s="30" t="n">
        <v>0.879</v>
      </c>
      <c r="L346" s="30" t="n">
        <v>2.101</v>
      </c>
      <c r="M346" s="30" t="n">
        <v>6.33</v>
      </c>
      <c r="N346" s="25" t="n">
        <v>0.130822913200692</v>
      </c>
      <c r="O346" s="17" t="n">
        <v>0</v>
      </c>
      <c r="P346" s="26" t="n">
        <v>0</v>
      </c>
      <c r="Q346" s="24" t="n">
        <f aca="false">IF(O346=1,1/(1+EXP(-(P346-Inputs!$B$12)/Inputs!$B$13)),0)</f>
        <v>0</v>
      </c>
      <c r="R346" s="24" t="n">
        <f aca="false">N346*O346</f>
        <v>0</v>
      </c>
      <c r="S346" s="12" t="n">
        <f aca="false">N346*Q346</f>
        <v>0</v>
      </c>
      <c r="T346" s="24" t="n">
        <f aca="false">N346^2</f>
        <v>0.0171146346183159</v>
      </c>
    </row>
    <row r="347" customFormat="false" ht="15" hidden="false" customHeight="false" outlineLevel="0" collapsed="false">
      <c r="A347" s="5" t="s">
        <v>599</v>
      </c>
      <c r="B347" s="5" t="s">
        <v>172</v>
      </c>
      <c r="C347" s="5" t="s">
        <v>56</v>
      </c>
      <c r="D347" s="5" t="s">
        <v>65</v>
      </c>
      <c r="E347" s="5" t="s">
        <v>73</v>
      </c>
      <c r="F347" s="26" t="n">
        <v>65.22</v>
      </c>
      <c r="G347" s="26" t="n">
        <v>63.22</v>
      </c>
      <c r="H347" s="30" t="n">
        <v>0.567</v>
      </c>
      <c r="I347" s="28" t="n">
        <f aca="false">H347*G347/3.6</f>
        <v>9.95715</v>
      </c>
      <c r="J347" s="30" t="n">
        <v>3.04</v>
      </c>
      <c r="K347" s="30" t="n">
        <v>2.372</v>
      </c>
      <c r="L347" s="30" t="n">
        <v>1.562</v>
      </c>
      <c r="M347" s="30" t="n">
        <v>6.85</v>
      </c>
      <c r="N347" s="25" t="n">
        <v>0.0595163851513804</v>
      </c>
      <c r="O347" s="17" t="n">
        <v>0</v>
      </c>
      <c r="P347" s="26" t="n">
        <v>0</v>
      </c>
      <c r="Q347" s="24" t="n">
        <f aca="false">IF(O347=1,1/(1+EXP(-(P347-Inputs!$B$12)/Inputs!$B$13)),0)</f>
        <v>0</v>
      </c>
      <c r="R347" s="24" t="n">
        <f aca="false">N347*O347</f>
        <v>0</v>
      </c>
      <c r="S347" s="12" t="n">
        <f aca="false">N347*Q347</f>
        <v>0</v>
      </c>
      <c r="T347" s="24" t="n">
        <f aca="false">N347^2</f>
        <v>0.00354220010148746</v>
      </c>
    </row>
    <row r="348" customFormat="false" ht="15" hidden="false" customHeight="false" outlineLevel="0" collapsed="false">
      <c r="A348" s="5" t="s">
        <v>600</v>
      </c>
      <c r="B348" s="5" t="s">
        <v>172</v>
      </c>
      <c r="C348" s="5" t="s">
        <v>56</v>
      </c>
      <c r="D348" s="5" t="s">
        <v>65</v>
      </c>
      <c r="E348" s="5" t="s">
        <v>73</v>
      </c>
      <c r="F348" s="26" t="n">
        <v>61.56</v>
      </c>
      <c r="G348" s="26" t="n">
        <v>64.01</v>
      </c>
      <c r="H348" s="30" t="n">
        <v>0.663</v>
      </c>
      <c r="I348" s="28" t="n">
        <f aca="false">H348*G348/3.6</f>
        <v>11.7885083333333</v>
      </c>
      <c r="J348" s="30" t="n">
        <v>2.54</v>
      </c>
      <c r="K348" s="30" t="n">
        <v>1.182</v>
      </c>
      <c r="L348" s="30" t="n">
        <v>2.51</v>
      </c>
      <c r="M348" s="30" t="n">
        <v>7.55</v>
      </c>
      <c r="N348" s="25" t="n">
        <v>0.0147242430004951</v>
      </c>
      <c r="O348" s="17" t="n">
        <v>0</v>
      </c>
      <c r="P348" s="26" t="n">
        <v>0</v>
      </c>
      <c r="Q348" s="24" t="n">
        <f aca="false">IF(O348=1,1/(1+EXP(-(P348-Inputs!$B$12)/Inputs!$B$13)),0)</f>
        <v>0</v>
      </c>
      <c r="R348" s="24" t="n">
        <f aca="false">N348*O348</f>
        <v>0</v>
      </c>
      <c r="S348" s="12" t="n">
        <f aca="false">N348*Q348</f>
        <v>0</v>
      </c>
      <c r="T348" s="24" t="n">
        <f aca="false">N348^2</f>
        <v>0.000216803331937629</v>
      </c>
    </row>
    <row r="349" customFormat="false" ht="15" hidden="false" customHeight="false" outlineLevel="0" collapsed="false">
      <c r="A349" s="5" t="s">
        <v>601</v>
      </c>
      <c r="B349" s="5" t="s">
        <v>172</v>
      </c>
      <c r="C349" s="5" t="s">
        <v>56</v>
      </c>
      <c r="D349" s="5" t="s">
        <v>65</v>
      </c>
      <c r="E349" s="5" t="s">
        <v>73</v>
      </c>
      <c r="F349" s="26" t="n">
        <v>60.39</v>
      </c>
      <c r="G349" s="26" t="n">
        <v>59.03</v>
      </c>
      <c r="H349" s="30" t="n">
        <v>0.72</v>
      </c>
      <c r="I349" s="28" t="n">
        <f aca="false">H349*G349/3.6</f>
        <v>11.806</v>
      </c>
      <c r="J349" s="30" t="n">
        <v>3.4</v>
      </c>
      <c r="K349" s="30" t="n">
        <v>1.028</v>
      </c>
      <c r="L349" s="30" t="n">
        <v>1.214</v>
      </c>
      <c r="M349" s="30" t="n">
        <v>4.94</v>
      </c>
      <c r="N349" s="25" t="n">
        <v>1.42571979864597</v>
      </c>
      <c r="O349" s="17" t="n">
        <v>0</v>
      </c>
      <c r="P349" s="26" t="n">
        <v>0</v>
      </c>
      <c r="Q349" s="24" t="n">
        <f aca="false">IF(O349=1,1/(1+EXP(-(P349-Inputs!$B$12)/Inputs!$B$13)),0)</f>
        <v>0</v>
      </c>
      <c r="R349" s="24" t="n">
        <f aca="false">N349*O349</f>
        <v>0</v>
      </c>
      <c r="S349" s="12" t="n">
        <f aca="false">N349*Q349</f>
        <v>0</v>
      </c>
      <c r="T349" s="24" t="n">
        <f aca="false">N349^2</f>
        <v>2.03267694425111</v>
      </c>
    </row>
    <row r="350" customFormat="false" ht="15" hidden="false" customHeight="false" outlineLevel="0" collapsed="false">
      <c r="A350" s="5" t="s">
        <v>602</v>
      </c>
      <c r="B350" s="5" t="s">
        <v>172</v>
      </c>
      <c r="C350" s="5" t="s">
        <v>56</v>
      </c>
      <c r="D350" s="5" t="s">
        <v>65</v>
      </c>
      <c r="E350" s="5" t="s">
        <v>73</v>
      </c>
      <c r="F350" s="26" t="n">
        <v>70.27</v>
      </c>
      <c r="G350" s="26" t="n">
        <v>72.14</v>
      </c>
      <c r="H350" s="30" t="n">
        <v>0.944</v>
      </c>
      <c r="I350" s="28" t="n">
        <f aca="false">H350*G350/3.6</f>
        <v>18.9167111111111</v>
      </c>
      <c r="J350" s="30" t="n">
        <v>4.86</v>
      </c>
      <c r="K350" s="30" t="n">
        <v>0.325</v>
      </c>
      <c r="L350" s="30" t="n">
        <v>1.149</v>
      </c>
      <c r="M350" s="30" t="n">
        <v>3.66</v>
      </c>
      <c r="N350" s="25" t="n">
        <v>67.1958166295492</v>
      </c>
      <c r="O350" s="17" t="n">
        <v>0</v>
      </c>
      <c r="P350" s="26" t="n">
        <v>0</v>
      </c>
      <c r="Q350" s="24" t="n">
        <f aca="false">IF(O350=1,1/(1+EXP(-(P350-Inputs!$B$12)/Inputs!$B$13)),0)</f>
        <v>0</v>
      </c>
      <c r="R350" s="24" t="n">
        <f aca="false">N350*O350</f>
        <v>0</v>
      </c>
      <c r="S350" s="12" t="n">
        <f aca="false">N350*Q350</f>
        <v>0</v>
      </c>
      <c r="T350" s="24" t="n">
        <f aca="false">N350^2</f>
        <v>4515.277772512</v>
      </c>
    </row>
    <row r="351" customFormat="false" ht="15" hidden="false" customHeight="false" outlineLevel="0" collapsed="false">
      <c r="A351" s="5" t="s">
        <v>603</v>
      </c>
      <c r="B351" s="5" t="s">
        <v>172</v>
      </c>
      <c r="C351" s="5" t="s">
        <v>56</v>
      </c>
      <c r="D351" s="5" t="s">
        <v>65</v>
      </c>
      <c r="E351" s="5" t="s">
        <v>73</v>
      </c>
      <c r="F351" s="26" t="n">
        <v>59.86</v>
      </c>
      <c r="G351" s="26" t="n">
        <v>63.05</v>
      </c>
      <c r="H351" s="30" t="n">
        <v>0.864</v>
      </c>
      <c r="I351" s="28" t="n">
        <f aca="false">H351*G351/3.6</f>
        <v>15.132</v>
      </c>
      <c r="J351" s="30" t="n">
        <v>2.63</v>
      </c>
      <c r="K351" s="30" t="n">
        <v>0.774</v>
      </c>
      <c r="L351" s="30" t="n">
        <v>1.453</v>
      </c>
      <c r="M351" s="30" t="n">
        <v>4.5</v>
      </c>
      <c r="N351" s="25" t="n">
        <v>2.74715087912545</v>
      </c>
      <c r="O351" s="17" t="n">
        <v>0</v>
      </c>
      <c r="P351" s="26" t="n">
        <v>0</v>
      </c>
      <c r="Q351" s="24" t="n">
        <f aca="false">IF(O351=1,1/(1+EXP(-(P351-Inputs!$B$12)/Inputs!$B$13)),0)</f>
        <v>0</v>
      </c>
      <c r="R351" s="24" t="n">
        <f aca="false">N351*O351</f>
        <v>0</v>
      </c>
      <c r="S351" s="12" t="n">
        <f aca="false">N351*Q351</f>
        <v>0</v>
      </c>
      <c r="T351" s="24" t="n">
        <f aca="false">N351^2</f>
        <v>7.54683795267971</v>
      </c>
    </row>
    <row r="352" customFormat="false" ht="15" hidden="false" customHeight="false" outlineLevel="0" collapsed="false">
      <c r="A352" s="5" t="s">
        <v>604</v>
      </c>
      <c r="B352" s="5" t="s">
        <v>172</v>
      </c>
      <c r="C352" s="5" t="s">
        <v>56</v>
      </c>
      <c r="D352" s="5" t="s">
        <v>65</v>
      </c>
      <c r="E352" s="5" t="s">
        <v>73</v>
      </c>
      <c r="F352" s="26" t="n">
        <v>73.5</v>
      </c>
      <c r="G352" s="26" t="n">
        <v>73.58</v>
      </c>
      <c r="H352" s="30" t="n">
        <v>0.636</v>
      </c>
      <c r="I352" s="28" t="n">
        <f aca="false">H352*G352/3.6</f>
        <v>12.9991333333333</v>
      </c>
      <c r="J352" s="30" t="n">
        <v>5.85</v>
      </c>
      <c r="K352" s="30" t="n">
        <v>1.188</v>
      </c>
      <c r="L352" s="30" t="n">
        <v>2.374</v>
      </c>
      <c r="M352" s="30" t="n">
        <v>4.42</v>
      </c>
      <c r="N352" s="25" t="n">
        <v>0.064064361620846</v>
      </c>
      <c r="O352" s="17" t="n">
        <v>1</v>
      </c>
      <c r="P352" s="26" t="n">
        <v>23.86</v>
      </c>
      <c r="Q352" s="24" t="n">
        <f aca="false">IF(O352=1,1/(1+EXP(-(P352-Inputs!$B$12)/Inputs!$B$13)),0)</f>
        <v>0.0465304745147315</v>
      </c>
      <c r="R352" s="24" t="n">
        <f aca="false">N352*O352</f>
        <v>0.064064361620846</v>
      </c>
      <c r="S352" s="12" t="n">
        <f aca="false">N352*Q352</f>
        <v>0.00298094514570131</v>
      </c>
      <c r="T352" s="24" t="n">
        <f aca="false">N352^2</f>
        <v>0.00410424242988652</v>
      </c>
    </row>
    <row r="353" customFormat="false" ht="15" hidden="false" customHeight="false" outlineLevel="0" collapsed="false">
      <c r="A353" s="5" t="s">
        <v>605</v>
      </c>
      <c r="B353" s="5" t="s">
        <v>172</v>
      </c>
      <c r="C353" s="5" t="s">
        <v>56</v>
      </c>
      <c r="D353" s="5" t="s">
        <v>65</v>
      </c>
      <c r="E353" s="5" t="s">
        <v>73</v>
      </c>
      <c r="F353" s="26" t="n">
        <v>69.24</v>
      </c>
      <c r="G353" s="26" t="n">
        <v>69.94</v>
      </c>
      <c r="H353" s="30" t="n">
        <v>0.53</v>
      </c>
      <c r="I353" s="28" t="n">
        <f aca="false">H353*G353/3.6</f>
        <v>10.2967222222222</v>
      </c>
      <c r="J353" s="30" t="n">
        <v>3.46</v>
      </c>
      <c r="K353" s="30" t="n">
        <v>0.776</v>
      </c>
      <c r="L353" s="30" t="n">
        <v>1.705</v>
      </c>
      <c r="M353" s="30" t="n">
        <v>6.23</v>
      </c>
      <c r="N353" s="25" t="n">
        <v>0.477490764194035</v>
      </c>
      <c r="O353" s="17" t="n">
        <v>0</v>
      </c>
      <c r="P353" s="26" t="n">
        <v>0</v>
      </c>
      <c r="Q353" s="24" t="n">
        <f aca="false">IF(O353=1,1/(1+EXP(-(P353-Inputs!$B$12)/Inputs!$B$13)),0)</f>
        <v>0</v>
      </c>
      <c r="R353" s="24" t="n">
        <f aca="false">N353*O353</f>
        <v>0</v>
      </c>
      <c r="S353" s="12" t="n">
        <f aca="false">N353*Q353</f>
        <v>0</v>
      </c>
      <c r="T353" s="24" t="n">
        <f aca="false">N353^2</f>
        <v>0.227997429890604</v>
      </c>
    </row>
    <row r="354" customFormat="false" ht="15" hidden="false" customHeight="false" outlineLevel="0" collapsed="false">
      <c r="A354" s="5" t="s">
        <v>606</v>
      </c>
      <c r="B354" s="5" t="s">
        <v>172</v>
      </c>
      <c r="C354" s="5" t="s">
        <v>56</v>
      </c>
      <c r="D354" s="5" t="s">
        <v>65</v>
      </c>
      <c r="E354" s="5" t="s">
        <v>73</v>
      </c>
      <c r="F354" s="26" t="n">
        <v>69.19</v>
      </c>
      <c r="G354" s="26" t="n">
        <v>71.24</v>
      </c>
      <c r="H354" s="30" t="n">
        <v>0.612</v>
      </c>
      <c r="I354" s="28" t="n">
        <f aca="false">H354*G354/3.6</f>
        <v>12.1108</v>
      </c>
      <c r="J354" s="30" t="n">
        <v>2.81</v>
      </c>
      <c r="K354" s="30" t="n">
        <v>0.913</v>
      </c>
      <c r="L354" s="30" t="n">
        <v>1.192</v>
      </c>
      <c r="M354" s="30" t="n">
        <v>7.02</v>
      </c>
      <c r="N354" s="25" t="n">
        <v>0.935234734834033</v>
      </c>
      <c r="O354" s="17" t="n">
        <v>0</v>
      </c>
      <c r="P354" s="26" t="n">
        <v>0</v>
      </c>
      <c r="Q354" s="24" t="n">
        <f aca="false">IF(O354=1,1/(1+EXP(-(P354-Inputs!$B$12)/Inputs!$B$13)),0)</f>
        <v>0</v>
      </c>
      <c r="R354" s="24" t="n">
        <f aca="false">N354*O354</f>
        <v>0</v>
      </c>
      <c r="S354" s="12" t="n">
        <f aca="false">N354*Q354</f>
        <v>0</v>
      </c>
      <c r="T354" s="24" t="n">
        <f aca="false">N354^2</f>
        <v>0.874664009240085</v>
      </c>
    </row>
    <row r="355" customFormat="false" ht="15" hidden="false" customHeight="false" outlineLevel="0" collapsed="false">
      <c r="A355" s="5" t="s">
        <v>607</v>
      </c>
      <c r="B355" s="5" t="s">
        <v>172</v>
      </c>
      <c r="C355" s="5" t="s">
        <v>56</v>
      </c>
      <c r="D355" s="5" t="s">
        <v>65</v>
      </c>
      <c r="E355" s="5" t="s">
        <v>73</v>
      </c>
      <c r="F355" s="26" t="n">
        <v>73.37</v>
      </c>
      <c r="G355" s="26" t="n">
        <v>72.14</v>
      </c>
      <c r="H355" s="30" t="n">
        <v>0.582</v>
      </c>
      <c r="I355" s="28" t="n">
        <f aca="false">H355*G355/3.6</f>
        <v>11.6626333333333</v>
      </c>
      <c r="J355" s="30" t="n">
        <v>3.49</v>
      </c>
      <c r="K355" s="30" t="n">
        <v>1.293</v>
      </c>
      <c r="L355" s="30" t="n">
        <v>1.613</v>
      </c>
      <c r="M355" s="30" t="n">
        <v>6.21</v>
      </c>
      <c r="N355" s="25" t="n">
        <v>0.196716539118311</v>
      </c>
      <c r="O355" s="17" t="n">
        <v>0</v>
      </c>
      <c r="P355" s="26" t="n">
        <v>0</v>
      </c>
      <c r="Q355" s="24" t="n">
        <f aca="false">IF(O355=1,1/(1+EXP(-(P355-Inputs!$B$12)/Inputs!$B$13)),0)</f>
        <v>0</v>
      </c>
      <c r="R355" s="24" t="n">
        <f aca="false">N355*O355</f>
        <v>0</v>
      </c>
      <c r="S355" s="12" t="n">
        <f aca="false">N355*Q355</f>
        <v>0</v>
      </c>
      <c r="T355" s="24" t="n">
        <f aca="false">N355^2</f>
        <v>0.0386973967626858</v>
      </c>
    </row>
    <row r="356" customFormat="false" ht="15" hidden="false" customHeight="false" outlineLevel="0" collapsed="false">
      <c r="A356" s="5" t="s">
        <v>608</v>
      </c>
      <c r="B356" s="5" t="s">
        <v>173</v>
      </c>
      <c r="C356" s="5" t="s">
        <v>56</v>
      </c>
      <c r="D356" s="5" t="s">
        <v>66</v>
      </c>
      <c r="E356" s="5" t="s">
        <v>68</v>
      </c>
      <c r="F356" s="26" t="n">
        <v>91.22</v>
      </c>
      <c r="G356" s="26" t="n">
        <v>89.45</v>
      </c>
      <c r="H356" s="30" t="n">
        <v>3.223</v>
      </c>
      <c r="I356" s="28" t="n">
        <f aca="false">H356*G356/3.6</f>
        <v>80.0825972222222</v>
      </c>
      <c r="J356" s="30" t="n">
        <v>4.34</v>
      </c>
      <c r="K356" s="30" t="n">
        <v>0.667</v>
      </c>
      <c r="L356" s="30" t="n">
        <v>1.504</v>
      </c>
      <c r="M356" s="30" t="n">
        <v>3.8</v>
      </c>
      <c r="N356" s="25" t="n">
        <v>2.49733447568207</v>
      </c>
      <c r="O356" s="17" t="n">
        <v>0</v>
      </c>
      <c r="P356" s="26" t="n">
        <v>0</v>
      </c>
      <c r="Q356" s="24" t="n">
        <f aca="false">IF(O356=1,1/(1+EXP(-(P356-Inputs!$B$12)/Inputs!$B$13)),0)</f>
        <v>0</v>
      </c>
      <c r="R356" s="24" t="n">
        <f aca="false">N356*O356</f>
        <v>0</v>
      </c>
      <c r="S356" s="12" t="n">
        <f aca="false">N356*Q356</f>
        <v>0</v>
      </c>
      <c r="T356" s="24" t="n">
        <f aca="false">N356^2</f>
        <v>6.23667948343025</v>
      </c>
    </row>
    <row r="357" customFormat="false" ht="15" hidden="false" customHeight="false" outlineLevel="0" collapsed="false">
      <c r="A357" s="5" t="s">
        <v>609</v>
      </c>
      <c r="B357" s="5" t="s">
        <v>173</v>
      </c>
      <c r="C357" s="5" t="s">
        <v>56</v>
      </c>
      <c r="D357" s="5" t="s">
        <v>66</v>
      </c>
      <c r="E357" s="5" t="s">
        <v>68</v>
      </c>
      <c r="F357" s="26" t="n">
        <v>90.27</v>
      </c>
      <c r="G357" s="26" t="n">
        <v>89.34</v>
      </c>
      <c r="H357" s="30" t="n">
        <v>3.576</v>
      </c>
      <c r="I357" s="28" t="n">
        <f aca="false">H357*G357/3.6</f>
        <v>88.7444</v>
      </c>
      <c r="J357" s="30" t="n">
        <v>5.03</v>
      </c>
      <c r="K357" s="30" t="n">
        <v>0.881</v>
      </c>
      <c r="L357" s="30" t="n">
        <v>1.674</v>
      </c>
      <c r="M357" s="30" t="n">
        <v>6.24</v>
      </c>
      <c r="N357" s="25" t="n">
        <v>0.353301054702619</v>
      </c>
      <c r="O357" s="17" t="n">
        <v>0</v>
      </c>
      <c r="P357" s="26" t="n">
        <v>0</v>
      </c>
      <c r="Q357" s="24" t="n">
        <f aca="false">IF(O357=1,1/(1+EXP(-(P357-Inputs!$B$12)/Inputs!$B$13)),0)</f>
        <v>0</v>
      </c>
      <c r="R357" s="24" t="n">
        <f aca="false">N357*O357</f>
        <v>0</v>
      </c>
      <c r="S357" s="12" t="n">
        <f aca="false">N357*Q357</f>
        <v>0</v>
      </c>
      <c r="T357" s="24" t="n">
        <f aca="false">N357^2</f>
        <v>0.124821635253983</v>
      </c>
    </row>
    <row r="358" customFormat="false" ht="15" hidden="false" customHeight="false" outlineLevel="0" collapsed="false">
      <c r="A358" s="5" t="s">
        <v>610</v>
      </c>
      <c r="B358" s="5" t="s">
        <v>173</v>
      </c>
      <c r="C358" s="5" t="s">
        <v>56</v>
      </c>
      <c r="D358" s="5" t="s">
        <v>66</v>
      </c>
      <c r="E358" s="5" t="s">
        <v>68</v>
      </c>
      <c r="F358" s="26" t="n">
        <v>84.55</v>
      </c>
      <c r="G358" s="26" t="n">
        <v>79.86</v>
      </c>
      <c r="H358" s="30" t="n">
        <v>3.752</v>
      </c>
      <c r="I358" s="28" t="n">
        <f aca="false">H358*G358/3.6</f>
        <v>83.2318666666667</v>
      </c>
      <c r="J358" s="30" t="n">
        <v>2.99</v>
      </c>
      <c r="K358" s="30" t="n">
        <v>2.01</v>
      </c>
      <c r="L358" s="30" t="n">
        <v>1.346</v>
      </c>
      <c r="M358" s="30" t="n">
        <v>5.41</v>
      </c>
      <c r="N358" s="25" t="n">
        <v>0.212097348900661</v>
      </c>
      <c r="O358" s="17" t="n">
        <v>0</v>
      </c>
      <c r="P358" s="26" t="n">
        <v>0</v>
      </c>
      <c r="Q358" s="24" t="n">
        <f aca="false">IF(O358=1,1/(1+EXP(-(P358-Inputs!$B$12)/Inputs!$B$13)),0)</f>
        <v>0</v>
      </c>
      <c r="R358" s="24" t="n">
        <f aca="false">N358*O358</f>
        <v>0</v>
      </c>
      <c r="S358" s="12" t="n">
        <f aca="false">N358*Q358</f>
        <v>0</v>
      </c>
      <c r="T358" s="24" t="n">
        <f aca="false">N358^2</f>
        <v>0.0449852854106885</v>
      </c>
    </row>
    <row r="359" customFormat="false" ht="15" hidden="false" customHeight="false" outlineLevel="0" collapsed="false">
      <c r="A359" s="5" t="s">
        <v>611</v>
      </c>
      <c r="B359" s="5" t="s">
        <v>173</v>
      </c>
      <c r="C359" s="5" t="s">
        <v>56</v>
      </c>
      <c r="D359" s="5" t="s">
        <v>66</v>
      </c>
      <c r="E359" s="5" t="s">
        <v>68</v>
      </c>
      <c r="F359" s="26" t="n">
        <v>94.18</v>
      </c>
      <c r="G359" s="26" t="n">
        <v>96.36</v>
      </c>
      <c r="H359" s="30" t="n">
        <v>3.499</v>
      </c>
      <c r="I359" s="28" t="n">
        <f aca="false">H359*G359/3.6</f>
        <v>93.6565666666667</v>
      </c>
      <c r="J359" s="30" t="n">
        <v>3.27</v>
      </c>
      <c r="K359" s="30" t="n">
        <v>1.112</v>
      </c>
      <c r="L359" s="30" t="n">
        <v>0.872</v>
      </c>
      <c r="M359" s="30" t="n">
        <v>7.94</v>
      </c>
      <c r="N359" s="25" t="n">
        <v>0.800432544084908</v>
      </c>
      <c r="O359" s="17" t="n">
        <v>0</v>
      </c>
      <c r="P359" s="26" t="n">
        <v>0</v>
      </c>
      <c r="Q359" s="24" t="n">
        <f aca="false">IF(O359=1,1/(1+EXP(-(P359-Inputs!$B$12)/Inputs!$B$13)),0)</f>
        <v>0</v>
      </c>
      <c r="R359" s="24" t="n">
        <f aca="false">N359*O359</f>
        <v>0</v>
      </c>
      <c r="S359" s="12" t="n">
        <f aca="false">N359*Q359</f>
        <v>0</v>
      </c>
      <c r="T359" s="24" t="n">
        <f aca="false">N359^2</f>
        <v>0.640692257630238</v>
      </c>
    </row>
    <row r="360" customFormat="false" ht="15" hidden="false" customHeight="false" outlineLevel="0" collapsed="false">
      <c r="A360" s="5" t="s">
        <v>612</v>
      </c>
      <c r="B360" s="5" t="s">
        <v>173</v>
      </c>
      <c r="C360" s="5" t="s">
        <v>56</v>
      </c>
      <c r="D360" s="5" t="s">
        <v>66</v>
      </c>
      <c r="E360" s="5" t="s">
        <v>68</v>
      </c>
      <c r="F360" s="26" t="n">
        <v>80.01</v>
      </c>
      <c r="G360" s="26" t="n">
        <v>79.47</v>
      </c>
      <c r="H360" s="30" t="n">
        <v>4.514</v>
      </c>
      <c r="I360" s="28" t="n">
        <f aca="false">H360*G360/3.6</f>
        <v>99.64655</v>
      </c>
      <c r="J360" s="30" t="n">
        <v>3.62</v>
      </c>
      <c r="K360" s="30" t="n">
        <v>7.895</v>
      </c>
      <c r="L360" s="30" t="n">
        <v>0.554</v>
      </c>
      <c r="M360" s="30" t="n">
        <v>7.74</v>
      </c>
      <c r="N360" s="25" t="n">
        <v>0.0574088057296432</v>
      </c>
      <c r="O360" s="17" t="n">
        <v>0</v>
      </c>
      <c r="P360" s="26" t="n">
        <v>0</v>
      </c>
      <c r="Q360" s="24" t="n">
        <f aca="false">IF(O360=1,1/(1+EXP(-(P360-Inputs!$B$12)/Inputs!$B$13)),0)</f>
        <v>0</v>
      </c>
      <c r="R360" s="24" t="n">
        <f aca="false">N360*O360</f>
        <v>0</v>
      </c>
      <c r="S360" s="12" t="n">
        <f aca="false">N360*Q360</f>
        <v>0</v>
      </c>
      <c r="T360" s="24" t="n">
        <f aca="false">N360^2</f>
        <v>0.00329577097530392</v>
      </c>
    </row>
    <row r="361" customFormat="false" ht="15" hidden="false" customHeight="false" outlineLevel="0" collapsed="false">
      <c r="A361" s="5" t="s">
        <v>613</v>
      </c>
      <c r="B361" s="5" t="s">
        <v>173</v>
      </c>
      <c r="C361" s="5" t="s">
        <v>56</v>
      </c>
      <c r="D361" s="5" t="s">
        <v>66</v>
      </c>
      <c r="E361" s="5" t="s">
        <v>68</v>
      </c>
      <c r="F361" s="26" t="n">
        <v>83.13</v>
      </c>
      <c r="G361" s="26" t="n">
        <v>83.42</v>
      </c>
      <c r="H361" s="30" t="n">
        <v>3.684</v>
      </c>
      <c r="I361" s="28" t="n">
        <f aca="false">H361*G361/3.6</f>
        <v>85.3664666666667</v>
      </c>
      <c r="J361" s="30" t="n">
        <v>3.89</v>
      </c>
      <c r="K361" s="30" t="n">
        <v>1.713</v>
      </c>
      <c r="L361" s="30" t="n">
        <v>1.259</v>
      </c>
      <c r="M361" s="30" t="n">
        <v>5.61</v>
      </c>
      <c r="N361" s="25" t="n">
        <v>0.345135176829783</v>
      </c>
      <c r="O361" s="17" t="n">
        <v>0</v>
      </c>
      <c r="P361" s="26" t="n">
        <v>0</v>
      </c>
      <c r="Q361" s="24" t="n">
        <f aca="false">IF(O361=1,1/(1+EXP(-(P361-Inputs!$B$12)/Inputs!$B$13)),0)</f>
        <v>0</v>
      </c>
      <c r="R361" s="24" t="n">
        <f aca="false">N361*O361</f>
        <v>0</v>
      </c>
      <c r="S361" s="12" t="n">
        <f aca="false">N361*Q361</f>
        <v>0</v>
      </c>
      <c r="T361" s="24" t="n">
        <f aca="false">N361^2</f>
        <v>0.119118290285326</v>
      </c>
    </row>
    <row r="362" customFormat="false" ht="15" hidden="false" customHeight="false" outlineLevel="0" collapsed="false">
      <c r="A362" s="5" t="s">
        <v>614</v>
      </c>
      <c r="B362" s="5" t="s">
        <v>173</v>
      </c>
      <c r="C362" s="5" t="s">
        <v>56</v>
      </c>
      <c r="D362" s="5" t="s">
        <v>66</v>
      </c>
      <c r="E362" s="5" t="s">
        <v>68</v>
      </c>
      <c r="F362" s="26" t="n">
        <v>79.71</v>
      </c>
      <c r="G362" s="26" t="n">
        <v>79.79</v>
      </c>
      <c r="H362" s="30" t="n">
        <v>4.102</v>
      </c>
      <c r="I362" s="28" t="n">
        <f aca="false">H362*G362/3.6</f>
        <v>90.9162722222223</v>
      </c>
      <c r="J362" s="30" t="n">
        <v>2.74</v>
      </c>
      <c r="K362" s="30" t="n">
        <v>1.413</v>
      </c>
      <c r="L362" s="30" t="n">
        <v>1.575</v>
      </c>
      <c r="M362" s="30" t="n">
        <v>3.97</v>
      </c>
      <c r="N362" s="25" t="n">
        <v>0.427190573772134</v>
      </c>
      <c r="O362" s="17" t="n">
        <v>0</v>
      </c>
      <c r="P362" s="26" t="n">
        <v>0</v>
      </c>
      <c r="Q362" s="24" t="n">
        <f aca="false">IF(O362=1,1/(1+EXP(-(P362-Inputs!$B$12)/Inputs!$B$13)),0)</f>
        <v>0</v>
      </c>
      <c r="R362" s="24" t="n">
        <f aca="false">N362*O362</f>
        <v>0</v>
      </c>
      <c r="S362" s="12" t="n">
        <f aca="false">N362*Q362</f>
        <v>0</v>
      </c>
      <c r="T362" s="24" t="n">
        <f aca="false">N362^2</f>
        <v>0.182491786319765</v>
      </c>
    </row>
    <row r="363" customFormat="false" ht="15" hidden="false" customHeight="false" outlineLevel="0" collapsed="false">
      <c r="A363" s="5" t="s">
        <v>615</v>
      </c>
      <c r="B363" s="5" t="s">
        <v>173</v>
      </c>
      <c r="C363" s="5" t="s">
        <v>56</v>
      </c>
      <c r="D363" s="5" t="s">
        <v>66</v>
      </c>
      <c r="E363" s="5" t="s">
        <v>68</v>
      </c>
      <c r="F363" s="26" t="n">
        <v>94.54</v>
      </c>
      <c r="G363" s="26" t="n">
        <v>94</v>
      </c>
      <c r="H363" s="30" t="n">
        <v>4.303</v>
      </c>
      <c r="I363" s="28" t="n">
        <f aca="false">H363*G363/3.6</f>
        <v>112.356111111111</v>
      </c>
      <c r="J363" s="30" t="n">
        <v>3.56</v>
      </c>
      <c r="K363" s="30" t="n">
        <v>1.534</v>
      </c>
      <c r="L363" s="30" t="n">
        <v>1.458</v>
      </c>
      <c r="M363" s="30" t="n">
        <v>5.52</v>
      </c>
      <c r="N363" s="25" t="n">
        <v>0.249758440242774</v>
      </c>
      <c r="O363" s="17" t="n">
        <v>0</v>
      </c>
      <c r="P363" s="26" t="n">
        <v>0</v>
      </c>
      <c r="Q363" s="24" t="n">
        <f aca="false">IF(O363=1,1/(1+EXP(-(P363-Inputs!$B$12)/Inputs!$B$13)),0)</f>
        <v>0</v>
      </c>
      <c r="R363" s="24" t="n">
        <f aca="false">N363*O363</f>
        <v>0</v>
      </c>
      <c r="S363" s="12" t="n">
        <f aca="false">N363*Q363</f>
        <v>0</v>
      </c>
      <c r="T363" s="24" t="n">
        <f aca="false">N363^2</f>
        <v>0.0623792784725031</v>
      </c>
    </row>
    <row r="364" customFormat="false" ht="15" hidden="false" customHeight="false" outlineLevel="0" collapsed="false">
      <c r="A364" s="5" t="s">
        <v>616</v>
      </c>
      <c r="B364" s="5" t="s">
        <v>173</v>
      </c>
      <c r="C364" s="5" t="s">
        <v>56</v>
      </c>
      <c r="D364" s="5" t="s">
        <v>66</v>
      </c>
      <c r="E364" s="5" t="s">
        <v>68</v>
      </c>
      <c r="F364" s="26" t="n">
        <v>81.12</v>
      </c>
      <c r="G364" s="26" t="n">
        <v>80.01</v>
      </c>
      <c r="H364" s="30" t="n">
        <v>3.4</v>
      </c>
      <c r="I364" s="28" t="n">
        <f aca="false">H364*G364/3.6</f>
        <v>75.565</v>
      </c>
      <c r="J364" s="30" t="n">
        <v>5.01</v>
      </c>
      <c r="K364" s="30" t="n">
        <v>0.548</v>
      </c>
      <c r="L364" s="30" t="n">
        <v>1.317</v>
      </c>
      <c r="M364" s="30" t="n">
        <v>7.18</v>
      </c>
      <c r="N364" s="25" t="n">
        <v>1.7919006947292</v>
      </c>
      <c r="O364" s="17" t="n">
        <v>0</v>
      </c>
      <c r="P364" s="26" t="n">
        <v>0</v>
      </c>
      <c r="Q364" s="24" t="n">
        <f aca="false">IF(O364=1,1/(1+EXP(-(P364-Inputs!$B$12)/Inputs!$B$13)),0)</f>
        <v>0</v>
      </c>
      <c r="R364" s="24" t="n">
        <f aca="false">N364*O364</f>
        <v>0</v>
      </c>
      <c r="S364" s="12" t="n">
        <f aca="false">N364*Q364</f>
        <v>0</v>
      </c>
      <c r="T364" s="24" t="n">
        <f aca="false">N364^2</f>
        <v>3.21090809977099</v>
      </c>
    </row>
    <row r="365" customFormat="false" ht="15" hidden="false" customHeight="false" outlineLevel="0" collapsed="false">
      <c r="A365" s="5" t="s">
        <v>617</v>
      </c>
      <c r="B365" s="5" t="s">
        <v>173</v>
      </c>
      <c r="C365" s="5" t="s">
        <v>56</v>
      </c>
      <c r="D365" s="5" t="s">
        <v>66</v>
      </c>
      <c r="E365" s="5" t="s">
        <v>68</v>
      </c>
      <c r="F365" s="26" t="n">
        <v>89.54</v>
      </c>
      <c r="G365" s="26" t="n">
        <v>90</v>
      </c>
      <c r="H365" s="30" t="n">
        <v>4.328</v>
      </c>
      <c r="I365" s="28" t="n">
        <f aca="false">H365*G365/3.6</f>
        <v>108.2</v>
      </c>
      <c r="J365" s="30" t="n">
        <v>4.99</v>
      </c>
      <c r="K365" s="30" t="n">
        <v>0.821</v>
      </c>
      <c r="L365" s="30" t="n">
        <v>0.75</v>
      </c>
      <c r="M365" s="30" t="n">
        <v>6.01</v>
      </c>
      <c r="N365" s="25" t="n">
        <v>4.14105534838093</v>
      </c>
      <c r="O365" s="17" t="n">
        <v>0</v>
      </c>
      <c r="P365" s="26" t="n">
        <v>0</v>
      </c>
      <c r="Q365" s="24" t="n">
        <f aca="false">IF(O365=1,1/(1+EXP(-(P365-Inputs!$B$12)/Inputs!$B$13)),0)</f>
        <v>0</v>
      </c>
      <c r="R365" s="24" t="n">
        <f aca="false">N365*O365</f>
        <v>0</v>
      </c>
      <c r="S365" s="12" t="n">
        <f aca="false">N365*Q365</f>
        <v>0</v>
      </c>
      <c r="T365" s="24" t="n">
        <f aca="false">N365^2</f>
        <v>17.1483393983543</v>
      </c>
    </row>
    <row r="366" customFormat="false" ht="15" hidden="false" customHeight="false" outlineLevel="0" collapsed="false">
      <c r="A366" s="5" t="s">
        <v>618</v>
      </c>
      <c r="B366" s="5" t="s">
        <v>174</v>
      </c>
      <c r="C366" s="5" t="s">
        <v>56</v>
      </c>
      <c r="D366" s="5" t="s">
        <v>66</v>
      </c>
      <c r="E366" s="5" t="s">
        <v>70</v>
      </c>
      <c r="F366" s="26" t="n">
        <v>82.86</v>
      </c>
      <c r="G366" s="26" t="n">
        <v>79.94</v>
      </c>
      <c r="H366" s="30" t="n">
        <v>2.508</v>
      </c>
      <c r="I366" s="28" t="n">
        <f aca="false">H366*G366/3.6</f>
        <v>55.6915333333333</v>
      </c>
      <c r="J366" s="30" t="n">
        <v>5.63</v>
      </c>
      <c r="K366" s="30" t="n">
        <v>0.897</v>
      </c>
      <c r="L366" s="30" t="n">
        <v>1.161</v>
      </c>
      <c r="M366" s="30" t="n">
        <v>6.39</v>
      </c>
      <c r="N366" s="25" t="n">
        <v>1.61495666188648</v>
      </c>
      <c r="O366" s="17" t="n">
        <v>0</v>
      </c>
      <c r="P366" s="26" t="n">
        <v>0</v>
      </c>
      <c r="Q366" s="24" t="n">
        <f aca="false">IF(O366=1,1/(1+EXP(-(P366-Inputs!$B$12)/Inputs!$B$13)),0)</f>
        <v>0</v>
      </c>
      <c r="R366" s="24" t="n">
        <f aca="false">N366*O366</f>
        <v>0</v>
      </c>
      <c r="S366" s="12" t="n">
        <f aca="false">N366*Q366</f>
        <v>0</v>
      </c>
      <c r="T366" s="24" t="n">
        <f aca="false">N366^2</f>
        <v>2.60808501977152</v>
      </c>
    </row>
    <row r="367" customFormat="false" ht="15" hidden="false" customHeight="false" outlineLevel="0" collapsed="false">
      <c r="A367" s="5" t="s">
        <v>619</v>
      </c>
      <c r="B367" s="5" t="s">
        <v>174</v>
      </c>
      <c r="C367" s="5" t="s">
        <v>56</v>
      </c>
      <c r="D367" s="5" t="s">
        <v>66</v>
      </c>
      <c r="E367" s="5" t="s">
        <v>70</v>
      </c>
      <c r="F367" s="26" t="n">
        <v>76.92</v>
      </c>
      <c r="G367" s="26" t="n">
        <v>75.99</v>
      </c>
      <c r="H367" s="30" t="n">
        <v>2.143</v>
      </c>
      <c r="I367" s="28" t="n">
        <f aca="false">H367*G367/3.6</f>
        <v>45.2351583333333</v>
      </c>
      <c r="J367" s="30" t="n">
        <v>5.12</v>
      </c>
      <c r="K367" s="30" t="n">
        <v>0.987</v>
      </c>
      <c r="L367" s="30" t="n">
        <v>1.499</v>
      </c>
      <c r="M367" s="30" t="n">
        <v>5.89</v>
      </c>
      <c r="N367" s="25" t="n">
        <v>0.52217948090486</v>
      </c>
      <c r="O367" s="17" t="n">
        <v>0</v>
      </c>
      <c r="P367" s="26" t="n">
        <v>0</v>
      </c>
      <c r="Q367" s="24" t="n">
        <f aca="false">IF(O367=1,1/(1+EXP(-(P367-Inputs!$B$12)/Inputs!$B$13)),0)</f>
        <v>0</v>
      </c>
      <c r="R367" s="24" t="n">
        <f aca="false">N367*O367</f>
        <v>0</v>
      </c>
      <c r="S367" s="12" t="n">
        <f aca="false">N367*Q367</f>
        <v>0</v>
      </c>
      <c r="T367" s="24" t="n">
        <f aca="false">N367^2</f>
        <v>0.272671410278069</v>
      </c>
    </row>
    <row r="368" customFormat="false" ht="15" hidden="false" customHeight="false" outlineLevel="0" collapsed="false">
      <c r="A368" s="5" t="s">
        <v>620</v>
      </c>
      <c r="B368" s="5" t="s">
        <v>174</v>
      </c>
      <c r="C368" s="5" t="s">
        <v>56</v>
      </c>
      <c r="D368" s="5" t="s">
        <v>66</v>
      </c>
      <c r="E368" s="5" t="s">
        <v>70</v>
      </c>
      <c r="F368" s="26" t="n">
        <v>91.92</v>
      </c>
      <c r="G368" s="26" t="n">
        <v>88.08</v>
      </c>
      <c r="H368" s="30" t="n">
        <v>2.22</v>
      </c>
      <c r="I368" s="28" t="n">
        <f aca="false">H368*G368/3.6</f>
        <v>54.316</v>
      </c>
      <c r="J368" s="30" t="n">
        <v>3.98</v>
      </c>
      <c r="K368" s="30" t="n">
        <v>0.921</v>
      </c>
      <c r="L368" s="30" t="n">
        <v>1.375</v>
      </c>
      <c r="M368" s="30" t="n">
        <v>4.03</v>
      </c>
      <c r="N368" s="25" t="n">
        <v>1.33349727240123</v>
      </c>
      <c r="O368" s="17" t="n">
        <v>0</v>
      </c>
      <c r="P368" s="26" t="n">
        <v>0</v>
      </c>
      <c r="Q368" s="24" t="n">
        <f aca="false">IF(O368=1,1/(1+EXP(-(P368-Inputs!$B$12)/Inputs!$B$13)),0)</f>
        <v>0</v>
      </c>
      <c r="R368" s="24" t="n">
        <f aca="false">N368*O368</f>
        <v>0</v>
      </c>
      <c r="S368" s="12" t="n">
        <f aca="false">N368*Q368</f>
        <v>0</v>
      </c>
      <c r="T368" s="24" t="n">
        <f aca="false">N368^2</f>
        <v>1.77821497550151</v>
      </c>
    </row>
    <row r="369" customFormat="false" ht="15" hidden="false" customHeight="false" outlineLevel="0" collapsed="false">
      <c r="A369" s="5" t="s">
        <v>621</v>
      </c>
      <c r="B369" s="5" t="s">
        <v>174</v>
      </c>
      <c r="C369" s="5" t="s">
        <v>56</v>
      </c>
      <c r="D369" s="5" t="s">
        <v>66</v>
      </c>
      <c r="E369" s="5" t="s">
        <v>70</v>
      </c>
      <c r="F369" s="26" t="n">
        <v>80.24</v>
      </c>
      <c r="G369" s="26" t="n">
        <v>77.29</v>
      </c>
      <c r="H369" s="30" t="n">
        <v>2.877</v>
      </c>
      <c r="I369" s="28" t="n">
        <f aca="false">H369*G369/3.6</f>
        <v>61.7675916666667</v>
      </c>
      <c r="J369" s="30" t="n">
        <v>4</v>
      </c>
      <c r="K369" s="30" t="n">
        <v>1.559</v>
      </c>
      <c r="L369" s="30" t="n">
        <v>1.463</v>
      </c>
      <c r="M369" s="30" t="n">
        <v>5.39</v>
      </c>
      <c r="N369" s="25" t="n">
        <v>1.13694852629511</v>
      </c>
      <c r="O369" s="17" t="n">
        <v>0</v>
      </c>
      <c r="P369" s="26" t="n">
        <v>0</v>
      </c>
      <c r="Q369" s="24" t="n">
        <f aca="false">IF(O369=1,1/(1+EXP(-(P369-Inputs!$B$12)/Inputs!$B$13)),0)</f>
        <v>0</v>
      </c>
      <c r="R369" s="24" t="n">
        <f aca="false">N369*O369</f>
        <v>0</v>
      </c>
      <c r="S369" s="12" t="n">
        <f aca="false">N369*Q369</f>
        <v>0</v>
      </c>
      <c r="T369" s="24" t="n">
        <f aca="false">N369^2</f>
        <v>1.29265195144463</v>
      </c>
    </row>
    <row r="370" customFormat="false" ht="15" hidden="false" customHeight="false" outlineLevel="0" collapsed="false">
      <c r="A370" s="5" t="s">
        <v>622</v>
      </c>
      <c r="B370" s="5" t="s">
        <v>174</v>
      </c>
      <c r="C370" s="5" t="s">
        <v>56</v>
      </c>
      <c r="D370" s="5" t="s">
        <v>66</v>
      </c>
      <c r="E370" s="5" t="s">
        <v>70</v>
      </c>
      <c r="F370" s="26" t="n">
        <v>88.61</v>
      </c>
      <c r="G370" s="26" t="n">
        <v>86.66</v>
      </c>
      <c r="H370" s="30" t="n">
        <v>2.078</v>
      </c>
      <c r="I370" s="28" t="n">
        <f aca="false">H370*G370/3.6</f>
        <v>50.0220777777778</v>
      </c>
      <c r="J370" s="30" t="n">
        <v>3.15</v>
      </c>
      <c r="K370" s="30" t="n">
        <v>1.49</v>
      </c>
      <c r="L370" s="30" t="n">
        <v>2.767</v>
      </c>
      <c r="M370" s="30" t="n">
        <v>4.79</v>
      </c>
      <c r="N370" s="25" t="n">
        <v>0.0163699049381909</v>
      </c>
      <c r="O370" s="17" t="n">
        <v>0</v>
      </c>
      <c r="P370" s="26" t="n">
        <v>0</v>
      </c>
      <c r="Q370" s="24" t="n">
        <f aca="false">IF(O370=1,1/(1+EXP(-(P370-Inputs!$B$12)/Inputs!$B$13)),0)</f>
        <v>0</v>
      </c>
      <c r="R370" s="24" t="n">
        <f aca="false">N370*O370</f>
        <v>0</v>
      </c>
      <c r="S370" s="12" t="n">
        <f aca="false">N370*Q370</f>
        <v>0</v>
      </c>
      <c r="T370" s="24" t="n">
        <f aca="false">N370^2</f>
        <v>0.000267973787685405</v>
      </c>
    </row>
    <row r="371" customFormat="false" ht="15" hidden="false" customHeight="false" outlineLevel="0" collapsed="false">
      <c r="A371" s="5" t="s">
        <v>623</v>
      </c>
      <c r="B371" s="5" t="s">
        <v>174</v>
      </c>
      <c r="C371" s="5" t="s">
        <v>56</v>
      </c>
      <c r="D371" s="5" t="s">
        <v>66</v>
      </c>
      <c r="E371" s="5" t="s">
        <v>70</v>
      </c>
      <c r="F371" s="26" t="n">
        <v>88.54</v>
      </c>
      <c r="G371" s="26" t="n">
        <v>88.94</v>
      </c>
      <c r="H371" s="30" t="n">
        <v>2.839</v>
      </c>
      <c r="I371" s="28" t="n">
        <f aca="false">H371*G371/3.6</f>
        <v>70.1390722222222</v>
      </c>
      <c r="J371" s="30" t="n">
        <v>3.56</v>
      </c>
      <c r="K371" s="30" t="n">
        <v>1.333</v>
      </c>
      <c r="L371" s="30" t="n">
        <v>1.069</v>
      </c>
      <c r="M371" s="30" t="n">
        <v>3.63</v>
      </c>
      <c r="N371" s="25" t="n">
        <v>4.0244038142132</v>
      </c>
      <c r="O371" s="17" t="n">
        <v>0</v>
      </c>
      <c r="P371" s="26" t="n">
        <v>0</v>
      </c>
      <c r="Q371" s="24" t="n">
        <f aca="false">IF(O371=1,1/(1+EXP(-(P371-Inputs!$B$12)/Inputs!$B$13)),0)</f>
        <v>0</v>
      </c>
      <c r="R371" s="24" t="n">
        <f aca="false">N371*O371</f>
        <v>0</v>
      </c>
      <c r="S371" s="12" t="n">
        <f aca="false">N371*Q371</f>
        <v>0</v>
      </c>
      <c r="T371" s="24" t="n">
        <f aca="false">N371^2</f>
        <v>16.1958260598538</v>
      </c>
    </row>
    <row r="372" customFormat="false" ht="15" hidden="false" customHeight="false" outlineLevel="0" collapsed="false">
      <c r="A372" s="5" t="s">
        <v>624</v>
      </c>
      <c r="B372" s="5" t="s">
        <v>174</v>
      </c>
      <c r="C372" s="5" t="s">
        <v>56</v>
      </c>
      <c r="D372" s="5" t="s">
        <v>66</v>
      </c>
      <c r="E372" s="5" t="s">
        <v>70</v>
      </c>
      <c r="F372" s="26" t="n">
        <v>80.6</v>
      </c>
      <c r="G372" s="26" t="n">
        <v>79.41</v>
      </c>
      <c r="H372" s="30" t="n">
        <v>2.372</v>
      </c>
      <c r="I372" s="28" t="n">
        <f aca="false">H372*G372/3.6</f>
        <v>52.3223666666667</v>
      </c>
      <c r="J372" s="30" t="n">
        <v>4.6</v>
      </c>
      <c r="K372" s="30" t="n">
        <v>1.268</v>
      </c>
      <c r="L372" s="30" t="n">
        <v>1.255</v>
      </c>
      <c r="M372" s="30" t="n">
        <v>7.22</v>
      </c>
      <c r="N372" s="25" t="n">
        <v>0.453134938941114</v>
      </c>
      <c r="O372" s="17" t="n">
        <v>0</v>
      </c>
      <c r="P372" s="26" t="n">
        <v>0</v>
      </c>
      <c r="Q372" s="24" t="n">
        <f aca="false">IF(O372=1,1/(1+EXP(-(P372-Inputs!$B$12)/Inputs!$B$13)),0)</f>
        <v>0</v>
      </c>
      <c r="R372" s="24" t="n">
        <f aca="false">N372*O372</f>
        <v>0</v>
      </c>
      <c r="S372" s="12" t="n">
        <f aca="false">N372*Q372</f>
        <v>0</v>
      </c>
      <c r="T372" s="24" t="n">
        <f aca="false">N372^2</f>
        <v>0.205331272889167</v>
      </c>
    </row>
    <row r="373" customFormat="false" ht="15" hidden="false" customHeight="false" outlineLevel="0" collapsed="false">
      <c r="A373" s="5" t="s">
        <v>625</v>
      </c>
      <c r="B373" s="5" t="s">
        <v>174</v>
      </c>
      <c r="C373" s="5" t="s">
        <v>56</v>
      </c>
      <c r="D373" s="5" t="s">
        <v>66</v>
      </c>
      <c r="E373" s="5" t="s">
        <v>70</v>
      </c>
      <c r="F373" s="26" t="n">
        <v>81.45</v>
      </c>
      <c r="G373" s="26" t="n">
        <v>82.65</v>
      </c>
      <c r="H373" s="30" t="n">
        <v>2.267</v>
      </c>
      <c r="I373" s="28" t="n">
        <f aca="false">H373*G373/3.6</f>
        <v>52.0465416666667</v>
      </c>
      <c r="J373" s="30" t="n">
        <v>2.93</v>
      </c>
      <c r="K373" s="30" t="n">
        <v>2.275</v>
      </c>
      <c r="L373" s="30" t="n">
        <v>1.834</v>
      </c>
      <c r="M373" s="30" t="n">
        <v>4.57</v>
      </c>
      <c r="N373" s="25" t="n">
        <v>0.0647081908383407</v>
      </c>
      <c r="O373" s="17" t="n">
        <v>0</v>
      </c>
      <c r="P373" s="26" t="n">
        <v>0</v>
      </c>
      <c r="Q373" s="24" t="n">
        <f aca="false">IF(O373=1,1/(1+EXP(-(P373-Inputs!$B$12)/Inputs!$B$13)),0)</f>
        <v>0</v>
      </c>
      <c r="R373" s="24" t="n">
        <f aca="false">N373*O373</f>
        <v>0</v>
      </c>
      <c r="S373" s="12" t="n">
        <f aca="false">N373*Q373</f>
        <v>0</v>
      </c>
      <c r="T373" s="24" t="n">
        <f aca="false">N373^2</f>
        <v>0.00418714996157112</v>
      </c>
    </row>
    <row r="374" customFormat="false" ht="15" hidden="false" customHeight="false" outlineLevel="0" collapsed="false">
      <c r="A374" s="5" t="s">
        <v>626</v>
      </c>
      <c r="B374" s="5" t="s">
        <v>174</v>
      </c>
      <c r="C374" s="5" t="s">
        <v>56</v>
      </c>
      <c r="D374" s="5" t="s">
        <v>66</v>
      </c>
      <c r="E374" s="5" t="s">
        <v>70</v>
      </c>
      <c r="F374" s="26" t="n">
        <v>81.26</v>
      </c>
      <c r="G374" s="26" t="n">
        <v>79.69</v>
      </c>
      <c r="H374" s="30" t="n">
        <v>2.089</v>
      </c>
      <c r="I374" s="28" t="n">
        <f aca="false">H374*G374/3.6</f>
        <v>46.2423361111111</v>
      </c>
      <c r="J374" s="30" t="n">
        <v>3.17</v>
      </c>
      <c r="K374" s="30" t="n">
        <v>1.025</v>
      </c>
      <c r="L374" s="30" t="n">
        <v>1.32</v>
      </c>
      <c r="M374" s="30" t="n">
        <v>7.89</v>
      </c>
      <c r="N374" s="25" t="n">
        <v>0.335344272320214</v>
      </c>
      <c r="O374" s="17" t="n">
        <v>0</v>
      </c>
      <c r="P374" s="26" t="n">
        <v>0</v>
      </c>
      <c r="Q374" s="24" t="n">
        <f aca="false">IF(O374=1,1/(1+EXP(-(P374-Inputs!$B$12)/Inputs!$B$13)),0)</f>
        <v>0</v>
      </c>
      <c r="R374" s="24" t="n">
        <f aca="false">N374*O374</f>
        <v>0</v>
      </c>
      <c r="S374" s="12" t="n">
        <f aca="false">N374*Q374</f>
        <v>0</v>
      </c>
      <c r="T374" s="24" t="n">
        <f aca="false">N374^2</f>
        <v>0.112455780977974</v>
      </c>
    </row>
    <row r="375" customFormat="false" ht="15" hidden="false" customHeight="false" outlineLevel="0" collapsed="false">
      <c r="A375" s="5" t="s">
        <v>627</v>
      </c>
      <c r="B375" s="5" t="s">
        <v>174</v>
      </c>
      <c r="C375" s="5" t="s">
        <v>56</v>
      </c>
      <c r="D375" s="5" t="s">
        <v>66</v>
      </c>
      <c r="E375" s="5" t="s">
        <v>70</v>
      </c>
      <c r="F375" s="26" t="n">
        <v>94.02</v>
      </c>
      <c r="G375" s="26" t="n">
        <v>93.15</v>
      </c>
      <c r="H375" s="30" t="n">
        <v>2.494</v>
      </c>
      <c r="I375" s="28" t="n">
        <f aca="false">H375*G375/3.6</f>
        <v>64.53225</v>
      </c>
      <c r="J375" s="30" t="n">
        <v>3.35</v>
      </c>
      <c r="K375" s="30" t="n">
        <v>1.567</v>
      </c>
      <c r="L375" s="30" t="n">
        <v>2.843</v>
      </c>
      <c r="M375" s="30" t="n">
        <v>6.6</v>
      </c>
      <c r="N375" s="25" t="n">
        <v>0.00675435418819746</v>
      </c>
      <c r="O375" s="17" t="n">
        <v>0</v>
      </c>
      <c r="P375" s="26" t="n">
        <v>0</v>
      </c>
      <c r="Q375" s="24" t="n">
        <f aca="false">IF(O375=1,1/(1+EXP(-(P375-Inputs!$B$12)/Inputs!$B$13)),0)</f>
        <v>0</v>
      </c>
      <c r="R375" s="24" t="n">
        <f aca="false">N375*O375</f>
        <v>0</v>
      </c>
      <c r="S375" s="12" t="n">
        <f aca="false">N375*Q375</f>
        <v>0</v>
      </c>
      <c r="T375" s="24" t="n">
        <f aca="false">N375^2</f>
        <v>4.56213004996206E-005</v>
      </c>
    </row>
    <row r="376" customFormat="false" ht="15" hidden="false" customHeight="false" outlineLevel="0" collapsed="false">
      <c r="A376" s="5" t="s">
        <v>628</v>
      </c>
      <c r="B376" s="5" t="s">
        <v>175</v>
      </c>
      <c r="C376" s="5" t="s">
        <v>56</v>
      </c>
      <c r="D376" s="5" t="s">
        <v>66</v>
      </c>
      <c r="E376" s="5" t="s">
        <v>71</v>
      </c>
      <c r="F376" s="26" t="n">
        <v>90.21</v>
      </c>
      <c r="G376" s="26" t="n">
        <v>89.64</v>
      </c>
      <c r="H376" s="30" t="n">
        <v>1.599</v>
      </c>
      <c r="I376" s="28" t="n">
        <f aca="false">H376*G376/3.6</f>
        <v>39.8151</v>
      </c>
      <c r="J376" s="30" t="n">
        <v>5.5</v>
      </c>
      <c r="K376" s="30" t="n">
        <v>1.123</v>
      </c>
      <c r="L376" s="30" t="n">
        <v>1.688</v>
      </c>
      <c r="M376" s="30" t="n">
        <v>5.49</v>
      </c>
      <c r="N376" s="25" t="n">
        <v>0.262670400388478</v>
      </c>
      <c r="O376" s="17" t="n">
        <v>0</v>
      </c>
      <c r="P376" s="26" t="n">
        <v>0</v>
      </c>
      <c r="Q376" s="24" t="n">
        <f aca="false">IF(O376=1,1/(1+EXP(-(P376-Inputs!$B$12)/Inputs!$B$13)),0)</f>
        <v>0</v>
      </c>
      <c r="R376" s="24" t="n">
        <f aca="false">N376*O376</f>
        <v>0</v>
      </c>
      <c r="S376" s="12" t="n">
        <f aca="false">N376*Q376</f>
        <v>0</v>
      </c>
      <c r="T376" s="24" t="n">
        <f aca="false">N376^2</f>
        <v>0.0689957392402433</v>
      </c>
    </row>
    <row r="377" customFormat="false" ht="15" hidden="false" customHeight="false" outlineLevel="0" collapsed="false">
      <c r="A377" s="5" t="s">
        <v>629</v>
      </c>
      <c r="B377" s="5" t="s">
        <v>175</v>
      </c>
      <c r="C377" s="5" t="s">
        <v>56</v>
      </c>
      <c r="D377" s="5" t="s">
        <v>66</v>
      </c>
      <c r="E377" s="5" t="s">
        <v>71</v>
      </c>
      <c r="F377" s="26" t="n">
        <v>90.58</v>
      </c>
      <c r="G377" s="26" t="n">
        <v>89.06</v>
      </c>
      <c r="H377" s="30" t="n">
        <v>1.667</v>
      </c>
      <c r="I377" s="28" t="n">
        <f aca="false">H377*G377/3.6</f>
        <v>41.2397277777778</v>
      </c>
      <c r="J377" s="30" t="n">
        <v>3.6</v>
      </c>
      <c r="K377" s="30" t="n">
        <v>0.955</v>
      </c>
      <c r="L377" s="30" t="n">
        <v>1.714</v>
      </c>
      <c r="M377" s="30" t="n">
        <v>5.51</v>
      </c>
      <c r="N377" s="25" t="n">
        <v>0.342401081877355</v>
      </c>
      <c r="O377" s="17" t="n">
        <v>0</v>
      </c>
      <c r="P377" s="26" t="n">
        <v>0</v>
      </c>
      <c r="Q377" s="24" t="n">
        <f aca="false">IF(O377=1,1/(1+EXP(-(P377-Inputs!$B$12)/Inputs!$B$13)),0)</f>
        <v>0</v>
      </c>
      <c r="R377" s="24" t="n">
        <f aca="false">N377*O377</f>
        <v>0</v>
      </c>
      <c r="S377" s="12" t="n">
        <f aca="false">N377*Q377</f>
        <v>0</v>
      </c>
      <c r="T377" s="24" t="n">
        <f aca="false">N377^2</f>
        <v>0.117238500870783</v>
      </c>
    </row>
    <row r="378" customFormat="false" ht="15" hidden="false" customHeight="false" outlineLevel="0" collapsed="false">
      <c r="A378" s="5" t="s">
        <v>630</v>
      </c>
      <c r="B378" s="5" t="s">
        <v>175</v>
      </c>
      <c r="C378" s="5" t="s">
        <v>56</v>
      </c>
      <c r="D378" s="5" t="s">
        <v>66</v>
      </c>
      <c r="E378" s="5" t="s">
        <v>71</v>
      </c>
      <c r="F378" s="26" t="n">
        <v>81.78</v>
      </c>
      <c r="G378" s="26" t="n">
        <v>80.44</v>
      </c>
      <c r="H378" s="30" t="n">
        <v>1.504</v>
      </c>
      <c r="I378" s="28" t="n">
        <f aca="false">H378*G378/3.6</f>
        <v>33.6060444444444</v>
      </c>
      <c r="J378" s="30" t="n">
        <v>4.91</v>
      </c>
      <c r="K378" s="30" t="n">
        <v>1.083</v>
      </c>
      <c r="L378" s="30" t="n">
        <v>2.086</v>
      </c>
      <c r="M378" s="30" t="n">
        <v>7.24</v>
      </c>
      <c r="N378" s="25" t="n">
        <v>0.082508237314057</v>
      </c>
      <c r="O378" s="17" t="n">
        <v>0</v>
      </c>
      <c r="P378" s="26" t="n">
        <v>0</v>
      </c>
      <c r="Q378" s="24" t="n">
        <f aca="false">IF(O378=1,1/(1+EXP(-(P378-Inputs!$B$12)/Inputs!$B$13)),0)</f>
        <v>0</v>
      </c>
      <c r="R378" s="24" t="n">
        <f aca="false">N378*O378</f>
        <v>0</v>
      </c>
      <c r="S378" s="12" t="n">
        <f aca="false">N378*Q378</f>
        <v>0</v>
      </c>
      <c r="T378" s="24" t="n">
        <f aca="false">N378^2</f>
        <v>0.00680760922467274</v>
      </c>
    </row>
    <row r="379" customFormat="false" ht="15" hidden="false" customHeight="false" outlineLevel="0" collapsed="false">
      <c r="A379" s="5" t="s">
        <v>631</v>
      </c>
      <c r="B379" s="5" t="s">
        <v>175</v>
      </c>
      <c r="C379" s="5" t="s">
        <v>56</v>
      </c>
      <c r="D379" s="5" t="s">
        <v>66</v>
      </c>
      <c r="E379" s="5" t="s">
        <v>71</v>
      </c>
      <c r="F379" s="26" t="n">
        <v>79.79</v>
      </c>
      <c r="G379" s="26" t="n">
        <v>77.56</v>
      </c>
      <c r="H379" s="30" t="n">
        <v>1.621</v>
      </c>
      <c r="I379" s="28" t="n">
        <f aca="false">H379*G379/3.6</f>
        <v>34.9235444444444</v>
      </c>
      <c r="J379" s="30" t="n">
        <v>4.01</v>
      </c>
      <c r="K379" s="30" t="n">
        <v>1.599</v>
      </c>
      <c r="L379" s="30" t="n">
        <v>1.988</v>
      </c>
      <c r="M379" s="30" t="n">
        <v>7.52</v>
      </c>
      <c r="N379" s="25" t="n">
        <v>0.0305885376097073</v>
      </c>
      <c r="O379" s="17" t="n">
        <v>0</v>
      </c>
      <c r="P379" s="26" t="n">
        <v>0</v>
      </c>
      <c r="Q379" s="24" t="n">
        <f aca="false">IF(O379=1,1/(1+EXP(-(P379-Inputs!$B$12)/Inputs!$B$13)),0)</f>
        <v>0</v>
      </c>
      <c r="R379" s="24" t="n">
        <f aca="false">N379*O379</f>
        <v>0</v>
      </c>
      <c r="S379" s="12" t="n">
        <f aca="false">N379*Q379</f>
        <v>0</v>
      </c>
      <c r="T379" s="24" t="n">
        <f aca="false">N379^2</f>
        <v>0.000935658633100479</v>
      </c>
    </row>
    <row r="380" customFormat="false" ht="15" hidden="false" customHeight="false" outlineLevel="0" collapsed="false">
      <c r="A380" s="5" t="s">
        <v>632</v>
      </c>
      <c r="B380" s="5" t="s">
        <v>175</v>
      </c>
      <c r="C380" s="5" t="s">
        <v>56</v>
      </c>
      <c r="D380" s="5" t="s">
        <v>66</v>
      </c>
      <c r="E380" s="5" t="s">
        <v>71</v>
      </c>
      <c r="F380" s="26" t="n">
        <v>91.02</v>
      </c>
      <c r="G380" s="26" t="n">
        <v>90.74</v>
      </c>
      <c r="H380" s="30" t="n">
        <v>1.683</v>
      </c>
      <c r="I380" s="28" t="n">
        <f aca="false">H380*G380/3.6</f>
        <v>42.42095</v>
      </c>
      <c r="J380" s="30" t="n">
        <v>3.5</v>
      </c>
      <c r="K380" s="30" t="n">
        <v>1.311</v>
      </c>
      <c r="L380" s="30" t="n">
        <v>1.262</v>
      </c>
      <c r="M380" s="30" t="n">
        <v>6.06</v>
      </c>
      <c r="N380" s="25" t="n">
        <v>0.510128806074505</v>
      </c>
      <c r="O380" s="17" t="n">
        <v>0</v>
      </c>
      <c r="P380" s="26" t="n">
        <v>0</v>
      </c>
      <c r="Q380" s="24" t="n">
        <f aca="false">IF(O380=1,1/(1+EXP(-(P380-Inputs!$B$12)/Inputs!$B$13)),0)</f>
        <v>0</v>
      </c>
      <c r="R380" s="24" t="n">
        <f aca="false">N380*O380</f>
        <v>0</v>
      </c>
      <c r="S380" s="12" t="n">
        <f aca="false">N380*Q380</f>
        <v>0</v>
      </c>
      <c r="T380" s="24" t="n">
        <f aca="false">N380^2</f>
        <v>0.260231398787</v>
      </c>
    </row>
    <row r="381" customFormat="false" ht="15" hidden="false" customHeight="false" outlineLevel="0" collapsed="false">
      <c r="A381" s="5" t="s">
        <v>633</v>
      </c>
      <c r="B381" s="5" t="s">
        <v>175</v>
      </c>
      <c r="C381" s="5" t="s">
        <v>56</v>
      </c>
      <c r="D381" s="5" t="s">
        <v>66</v>
      </c>
      <c r="E381" s="5" t="s">
        <v>71</v>
      </c>
      <c r="F381" s="26" t="n">
        <v>85.11</v>
      </c>
      <c r="G381" s="26" t="n">
        <v>84.28</v>
      </c>
      <c r="H381" s="30" t="n">
        <v>1.575</v>
      </c>
      <c r="I381" s="28" t="n">
        <f aca="false">H381*G381/3.6</f>
        <v>36.8725</v>
      </c>
      <c r="J381" s="30" t="n">
        <v>3.57</v>
      </c>
      <c r="K381" s="30" t="n">
        <v>1.024</v>
      </c>
      <c r="L381" s="30" t="n">
        <v>1.496</v>
      </c>
      <c r="M381" s="30" t="n">
        <v>6.45</v>
      </c>
      <c r="N381" s="25" t="n">
        <v>0.407819445665407</v>
      </c>
      <c r="O381" s="17" t="n">
        <v>0</v>
      </c>
      <c r="P381" s="26" t="n">
        <v>0</v>
      </c>
      <c r="Q381" s="24" t="n">
        <f aca="false">IF(O381=1,1/(1+EXP(-(P381-Inputs!$B$12)/Inputs!$B$13)),0)</f>
        <v>0</v>
      </c>
      <c r="R381" s="24" t="n">
        <f aca="false">N381*O381</f>
        <v>0</v>
      </c>
      <c r="S381" s="12" t="n">
        <f aca="false">N381*Q381</f>
        <v>0</v>
      </c>
      <c r="T381" s="24" t="n">
        <f aca="false">N381^2</f>
        <v>0.16631670026284</v>
      </c>
    </row>
    <row r="382" customFormat="false" ht="15" hidden="false" customHeight="false" outlineLevel="0" collapsed="false">
      <c r="A382" s="5" t="s">
        <v>634</v>
      </c>
      <c r="B382" s="5" t="s">
        <v>175</v>
      </c>
      <c r="C382" s="5" t="s">
        <v>56</v>
      </c>
      <c r="D382" s="5" t="s">
        <v>66</v>
      </c>
      <c r="E382" s="5" t="s">
        <v>71</v>
      </c>
      <c r="F382" s="26" t="n">
        <v>86.41</v>
      </c>
      <c r="G382" s="26" t="n">
        <v>86.53</v>
      </c>
      <c r="H382" s="30" t="n">
        <v>1.704</v>
      </c>
      <c r="I382" s="28" t="n">
        <f aca="false">H382*G382/3.6</f>
        <v>40.9575333333333</v>
      </c>
      <c r="J382" s="30" t="n">
        <v>6</v>
      </c>
      <c r="K382" s="30" t="n">
        <v>0.531</v>
      </c>
      <c r="L382" s="30" t="n">
        <v>1.389</v>
      </c>
      <c r="M382" s="30" t="n">
        <v>5.61</v>
      </c>
      <c r="N382" s="25" t="n">
        <v>2.58080086338772</v>
      </c>
      <c r="O382" s="17" t="n">
        <v>0</v>
      </c>
      <c r="P382" s="26" t="n">
        <v>0</v>
      </c>
      <c r="Q382" s="24" t="n">
        <f aca="false">IF(O382=1,1/(1+EXP(-(P382-Inputs!$B$12)/Inputs!$B$13)),0)</f>
        <v>0</v>
      </c>
      <c r="R382" s="24" t="n">
        <f aca="false">N382*O382</f>
        <v>0</v>
      </c>
      <c r="S382" s="12" t="n">
        <f aca="false">N382*Q382</f>
        <v>0</v>
      </c>
      <c r="T382" s="24" t="n">
        <f aca="false">N382^2</f>
        <v>6.66053309646282</v>
      </c>
    </row>
    <row r="383" customFormat="false" ht="15" hidden="false" customHeight="false" outlineLevel="0" collapsed="false">
      <c r="A383" s="5" t="s">
        <v>635</v>
      </c>
      <c r="B383" s="5" t="s">
        <v>175</v>
      </c>
      <c r="C383" s="5" t="s">
        <v>56</v>
      </c>
      <c r="D383" s="5" t="s">
        <v>66</v>
      </c>
      <c r="E383" s="5" t="s">
        <v>71</v>
      </c>
      <c r="F383" s="26" t="n">
        <v>85.28</v>
      </c>
      <c r="G383" s="26" t="n">
        <v>84.64</v>
      </c>
      <c r="H383" s="30" t="n">
        <v>1.576</v>
      </c>
      <c r="I383" s="28" t="n">
        <f aca="false">H383*G383/3.6</f>
        <v>37.0535111111111</v>
      </c>
      <c r="J383" s="30" t="n">
        <v>4.83</v>
      </c>
      <c r="K383" s="30" t="n">
        <v>0.619</v>
      </c>
      <c r="L383" s="30" t="n">
        <v>1.391</v>
      </c>
      <c r="M383" s="30" t="n">
        <v>6.18</v>
      </c>
      <c r="N383" s="25" t="n">
        <v>1.53911234670712</v>
      </c>
      <c r="O383" s="17" t="n">
        <v>0</v>
      </c>
      <c r="P383" s="26" t="n">
        <v>0</v>
      </c>
      <c r="Q383" s="24" t="n">
        <f aca="false">IF(O383=1,1/(1+EXP(-(P383-Inputs!$B$12)/Inputs!$B$13)),0)</f>
        <v>0</v>
      </c>
      <c r="R383" s="24" t="n">
        <f aca="false">N383*O383</f>
        <v>0</v>
      </c>
      <c r="S383" s="12" t="n">
        <f aca="false">N383*Q383</f>
        <v>0</v>
      </c>
      <c r="T383" s="24" t="n">
        <f aca="false">N383^2</f>
        <v>2.36886681578629</v>
      </c>
    </row>
    <row r="384" customFormat="false" ht="15" hidden="false" customHeight="false" outlineLevel="0" collapsed="false">
      <c r="A384" s="5" t="s">
        <v>636</v>
      </c>
      <c r="B384" s="5" t="s">
        <v>175</v>
      </c>
      <c r="C384" s="5" t="s">
        <v>56</v>
      </c>
      <c r="D384" s="5" t="s">
        <v>66</v>
      </c>
      <c r="E384" s="5" t="s">
        <v>71</v>
      </c>
      <c r="F384" s="26" t="n">
        <v>85.1</v>
      </c>
      <c r="G384" s="26" t="n">
        <v>86.25</v>
      </c>
      <c r="H384" s="30" t="n">
        <v>1.517</v>
      </c>
      <c r="I384" s="28" t="n">
        <f aca="false">H384*G384/3.6</f>
        <v>36.3447916666667</v>
      </c>
      <c r="J384" s="30" t="n">
        <v>5.37</v>
      </c>
      <c r="K384" s="30" t="n">
        <v>1.936</v>
      </c>
      <c r="L384" s="30" t="n">
        <v>2.354</v>
      </c>
      <c r="M384" s="30" t="n">
        <v>6.63</v>
      </c>
      <c r="N384" s="25" t="n">
        <v>0.0146936482101259</v>
      </c>
      <c r="O384" s="17" t="n">
        <v>0</v>
      </c>
      <c r="P384" s="26" t="n">
        <v>0</v>
      </c>
      <c r="Q384" s="24" t="n">
        <f aca="false">IF(O384=1,1/(1+EXP(-(P384-Inputs!$B$12)/Inputs!$B$13)),0)</f>
        <v>0</v>
      </c>
      <c r="R384" s="24" t="n">
        <f aca="false">N384*O384</f>
        <v>0</v>
      </c>
      <c r="S384" s="12" t="n">
        <f aca="false">N384*Q384</f>
        <v>0</v>
      </c>
      <c r="T384" s="24" t="n">
        <f aca="false">N384^2</f>
        <v>0.000215903297722936</v>
      </c>
    </row>
    <row r="385" customFormat="false" ht="15" hidden="false" customHeight="false" outlineLevel="0" collapsed="false">
      <c r="A385" s="5" t="s">
        <v>637</v>
      </c>
      <c r="B385" s="5" t="s">
        <v>175</v>
      </c>
      <c r="C385" s="5" t="s">
        <v>56</v>
      </c>
      <c r="D385" s="5" t="s">
        <v>66</v>
      </c>
      <c r="E385" s="5" t="s">
        <v>71</v>
      </c>
      <c r="F385" s="26" t="n">
        <v>93.75</v>
      </c>
      <c r="G385" s="26" t="n">
        <v>95.59</v>
      </c>
      <c r="H385" s="30" t="n">
        <v>1.727</v>
      </c>
      <c r="I385" s="28" t="n">
        <f aca="false">H385*G385/3.6</f>
        <v>45.8566472222222</v>
      </c>
      <c r="J385" s="30" t="n">
        <v>3.69</v>
      </c>
      <c r="K385" s="30" t="n">
        <v>4.822</v>
      </c>
      <c r="L385" s="30" t="n">
        <v>1.42</v>
      </c>
      <c r="M385" s="30" t="n">
        <v>4.54</v>
      </c>
      <c r="N385" s="25" t="n">
        <v>0.0406529758547178</v>
      </c>
      <c r="O385" s="17" t="n">
        <v>0</v>
      </c>
      <c r="P385" s="26" t="n">
        <v>0</v>
      </c>
      <c r="Q385" s="24" t="n">
        <f aca="false">IF(O385=1,1/(1+EXP(-(P385-Inputs!$B$12)/Inputs!$B$13)),0)</f>
        <v>0</v>
      </c>
      <c r="R385" s="24" t="n">
        <f aca="false">N385*O385</f>
        <v>0</v>
      </c>
      <c r="S385" s="12" t="n">
        <f aca="false">N385*Q385</f>
        <v>0</v>
      </c>
      <c r="T385" s="24" t="n">
        <f aca="false">N385^2</f>
        <v>0.00165266444584427</v>
      </c>
    </row>
    <row r="386" customFormat="false" ht="15" hidden="false" customHeight="false" outlineLevel="0" collapsed="false">
      <c r="A386" s="5" t="s">
        <v>638</v>
      </c>
      <c r="B386" s="5" t="s">
        <v>176</v>
      </c>
      <c r="C386" s="5" t="s">
        <v>56</v>
      </c>
      <c r="D386" s="5" t="s">
        <v>66</v>
      </c>
      <c r="E386" s="5" t="s">
        <v>72</v>
      </c>
      <c r="F386" s="26" t="n">
        <v>87.39</v>
      </c>
      <c r="G386" s="26" t="n">
        <v>91.15</v>
      </c>
      <c r="H386" s="30" t="n">
        <v>1.301</v>
      </c>
      <c r="I386" s="28" t="n">
        <f aca="false">H386*G386/3.6</f>
        <v>32.9405972222222</v>
      </c>
      <c r="J386" s="30" t="n">
        <v>5.19</v>
      </c>
      <c r="K386" s="30" t="n">
        <v>2.16</v>
      </c>
      <c r="L386" s="30" t="n">
        <v>1.531</v>
      </c>
      <c r="M386" s="30" t="n">
        <v>3.72</v>
      </c>
      <c r="N386" s="25" t="n">
        <v>0.299000931274473</v>
      </c>
      <c r="O386" s="17" t="n">
        <v>0</v>
      </c>
      <c r="P386" s="26" t="n">
        <v>0</v>
      </c>
      <c r="Q386" s="24" t="n">
        <f aca="false">IF(O386=1,1/(1+EXP(-(P386-Inputs!$B$12)/Inputs!$B$13)),0)</f>
        <v>0</v>
      </c>
      <c r="R386" s="24" t="n">
        <f aca="false">N386*O386</f>
        <v>0</v>
      </c>
      <c r="S386" s="12" t="n">
        <f aca="false">N386*Q386</f>
        <v>0</v>
      </c>
      <c r="T386" s="24" t="n">
        <f aca="false">N386^2</f>
        <v>0.0894015569030023</v>
      </c>
    </row>
    <row r="387" customFormat="false" ht="15" hidden="false" customHeight="false" outlineLevel="0" collapsed="false">
      <c r="A387" s="5" t="s">
        <v>639</v>
      </c>
      <c r="B387" s="5" t="s">
        <v>176</v>
      </c>
      <c r="C387" s="5" t="s">
        <v>56</v>
      </c>
      <c r="D387" s="5" t="s">
        <v>66</v>
      </c>
      <c r="E387" s="5" t="s">
        <v>72</v>
      </c>
      <c r="F387" s="26" t="n">
        <v>92.45</v>
      </c>
      <c r="G387" s="26" t="n">
        <v>92.95</v>
      </c>
      <c r="H387" s="30" t="n">
        <v>1.004</v>
      </c>
      <c r="I387" s="28" t="n">
        <f aca="false">H387*G387/3.6</f>
        <v>25.9227222222222</v>
      </c>
      <c r="J387" s="30" t="n">
        <v>3.71</v>
      </c>
      <c r="K387" s="30" t="n">
        <v>0.795</v>
      </c>
      <c r="L387" s="30" t="n">
        <v>2.234</v>
      </c>
      <c r="M387" s="30" t="n">
        <v>3.77</v>
      </c>
      <c r="N387" s="25" t="n">
        <v>0.533954122787326</v>
      </c>
      <c r="O387" s="17" t="n">
        <v>0</v>
      </c>
      <c r="P387" s="26" t="n">
        <v>0</v>
      </c>
      <c r="Q387" s="24" t="n">
        <f aca="false">IF(O387=1,1/(1+EXP(-(P387-Inputs!$B$12)/Inputs!$B$13)),0)</f>
        <v>0</v>
      </c>
      <c r="R387" s="24" t="n">
        <f aca="false">N387*O387</f>
        <v>0</v>
      </c>
      <c r="S387" s="12" t="n">
        <f aca="false">N387*Q387</f>
        <v>0</v>
      </c>
      <c r="T387" s="24" t="n">
        <f aca="false">N387^2</f>
        <v>0.285107005241582</v>
      </c>
    </row>
    <row r="388" customFormat="false" ht="15" hidden="false" customHeight="false" outlineLevel="0" collapsed="false">
      <c r="A388" s="5" t="s">
        <v>640</v>
      </c>
      <c r="B388" s="5" t="s">
        <v>176</v>
      </c>
      <c r="C388" s="5" t="s">
        <v>56</v>
      </c>
      <c r="D388" s="5" t="s">
        <v>66</v>
      </c>
      <c r="E388" s="5" t="s">
        <v>72</v>
      </c>
      <c r="F388" s="26" t="n">
        <v>81.14</v>
      </c>
      <c r="G388" s="26" t="n">
        <v>83.79</v>
      </c>
      <c r="H388" s="30" t="n">
        <v>1.397</v>
      </c>
      <c r="I388" s="28" t="n">
        <f aca="false">H388*G388/3.6</f>
        <v>32.515175</v>
      </c>
      <c r="J388" s="30" t="n">
        <v>2.89</v>
      </c>
      <c r="K388" s="30" t="n">
        <v>1.549</v>
      </c>
      <c r="L388" s="30" t="n">
        <v>1.981</v>
      </c>
      <c r="M388" s="30" t="n">
        <v>6.09</v>
      </c>
      <c r="N388" s="25" t="n">
        <v>0.162873492401549</v>
      </c>
      <c r="O388" s="17" t="n">
        <v>0</v>
      </c>
      <c r="P388" s="26" t="n">
        <v>0</v>
      </c>
      <c r="Q388" s="24" t="n">
        <f aca="false">IF(O388=1,1/(1+EXP(-(P388-Inputs!$B$12)/Inputs!$B$13)),0)</f>
        <v>0</v>
      </c>
      <c r="R388" s="24" t="n">
        <f aca="false">N388*O388</f>
        <v>0</v>
      </c>
      <c r="S388" s="12" t="n">
        <f aca="false">N388*Q388</f>
        <v>0</v>
      </c>
      <c r="T388" s="24" t="n">
        <f aca="false">N388^2</f>
        <v>0.0265277745270773</v>
      </c>
    </row>
    <row r="389" customFormat="false" ht="15" hidden="false" customHeight="false" outlineLevel="0" collapsed="false">
      <c r="A389" s="5" t="s">
        <v>641</v>
      </c>
      <c r="B389" s="5" t="s">
        <v>176</v>
      </c>
      <c r="C389" s="5" t="s">
        <v>56</v>
      </c>
      <c r="D389" s="5" t="s">
        <v>66</v>
      </c>
      <c r="E389" s="5" t="s">
        <v>72</v>
      </c>
      <c r="F389" s="26" t="n">
        <v>88.11</v>
      </c>
      <c r="G389" s="26" t="n">
        <v>90.89</v>
      </c>
      <c r="H389" s="30" t="n">
        <v>1.396</v>
      </c>
      <c r="I389" s="28" t="n">
        <f aca="false">H389*G389/3.6</f>
        <v>35.2451222222222</v>
      </c>
      <c r="J389" s="30" t="n">
        <v>4.72</v>
      </c>
      <c r="K389" s="30" t="n">
        <v>0.791</v>
      </c>
      <c r="L389" s="30" t="n">
        <v>1.355</v>
      </c>
      <c r="M389" s="30" t="n">
        <v>6.87</v>
      </c>
      <c r="N389" s="25" t="n">
        <v>2.03242464183731</v>
      </c>
      <c r="O389" s="17" t="n">
        <v>0</v>
      </c>
      <c r="P389" s="26" t="n">
        <v>0</v>
      </c>
      <c r="Q389" s="24" t="n">
        <f aca="false">IF(O389=1,1/(1+EXP(-(P389-Inputs!$B$12)/Inputs!$B$13)),0)</f>
        <v>0</v>
      </c>
      <c r="R389" s="24" t="n">
        <f aca="false">N389*O389</f>
        <v>0</v>
      </c>
      <c r="S389" s="12" t="n">
        <f aca="false">N389*Q389</f>
        <v>0</v>
      </c>
      <c r="T389" s="24" t="n">
        <f aca="false">N389^2</f>
        <v>4.13074992474753</v>
      </c>
    </row>
    <row r="390" customFormat="false" ht="15" hidden="false" customHeight="false" outlineLevel="0" collapsed="false">
      <c r="A390" s="5" t="s">
        <v>642</v>
      </c>
      <c r="B390" s="5" t="s">
        <v>176</v>
      </c>
      <c r="C390" s="5" t="s">
        <v>56</v>
      </c>
      <c r="D390" s="5" t="s">
        <v>66</v>
      </c>
      <c r="E390" s="5" t="s">
        <v>72</v>
      </c>
      <c r="F390" s="26" t="n">
        <v>91.98</v>
      </c>
      <c r="G390" s="26" t="n">
        <v>91.91</v>
      </c>
      <c r="H390" s="30" t="n">
        <v>1.211</v>
      </c>
      <c r="I390" s="28" t="n">
        <f aca="false">H390*G390/3.6</f>
        <v>30.9175027777778</v>
      </c>
      <c r="J390" s="30" t="n">
        <v>5.7</v>
      </c>
      <c r="K390" s="30" t="n">
        <v>1.421</v>
      </c>
      <c r="L390" s="30" t="n">
        <v>1.858</v>
      </c>
      <c r="M390" s="30" t="n">
        <v>5.62</v>
      </c>
      <c r="N390" s="25" t="n">
        <v>0.111811794606114</v>
      </c>
      <c r="O390" s="17" t="n">
        <v>0</v>
      </c>
      <c r="P390" s="26" t="n">
        <v>0</v>
      </c>
      <c r="Q390" s="24" t="n">
        <f aca="false">IF(O390=1,1/(1+EXP(-(P390-Inputs!$B$12)/Inputs!$B$13)),0)</f>
        <v>0</v>
      </c>
      <c r="R390" s="24" t="n">
        <f aca="false">N390*O390</f>
        <v>0</v>
      </c>
      <c r="S390" s="12" t="n">
        <f aca="false">N390*Q390</f>
        <v>0</v>
      </c>
      <c r="T390" s="24" t="n">
        <f aca="false">N390^2</f>
        <v>0.0125018774130398</v>
      </c>
    </row>
    <row r="391" customFormat="false" ht="15" hidden="false" customHeight="false" outlineLevel="0" collapsed="false">
      <c r="A391" s="5" t="s">
        <v>643</v>
      </c>
      <c r="B391" s="5" t="s">
        <v>176</v>
      </c>
      <c r="C391" s="5" t="s">
        <v>56</v>
      </c>
      <c r="D391" s="5" t="s">
        <v>66</v>
      </c>
      <c r="E391" s="5" t="s">
        <v>72</v>
      </c>
      <c r="F391" s="26" t="n">
        <v>79.27</v>
      </c>
      <c r="G391" s="26" t="n">
        <v>77.7</v>
      </c>
      <c r="H391" s="30" t="n">
        <v>1.233</v>
      </c>
      <c r="I391" s="28" t="n">
        <f aca="false">H391*G391/3.6</f>
        <v>26.61225</v>
      </c>
      <c r="J391" s="30" t="n">
        <v>2.59</v>
      </c>
      <c r="K391" s="30" t="n">
        <v>0.761</v>
      </c>
      <c r="L391" s="30" t="n">
        <v>2.032</v>
      </c>
      <c r="M391" s="30" t="n">
        <v>4.4</v>
      </c>
      <c r="N391" s="25" t="n">
        <v>0.433411166245128</v>
      </c>
      <c r="O391" s="17" t="n">
        <v>0</v>
      </c>
      <c r="P391" s="26" t="n">
        <v>0</v>
      </c>
      <c r="Q391" s="24" t="n">
        <f aca="false">IF(O391=1,1/(1+EXP(-(P391-Inputs!$B$12)/Inputs!$B$13)),0)</f>
        <v>0</v>
      </c>
      <c r="R391" s="24" t="n">
        <f aca="false">N391*O391</f>
        <v>0</v>
      </c>
      <c r="S391" s="12" t="n">
        <f aca="false">N391*Q391</f>
        <v>0</v>
      </c>
      <c r="T391" s="24" t="n">
        <f aca="false">N391^2</f>
        <v>0.187845239025962</v>
      </c>
    </row>
    <row r="392" customFormat="false" ht="15" hidden="false" customHeight="false" outlineLevel="0" collapsed="false">
      <c r="A392" s="5" t="s">
        <v>644</v>
      </c>
      <c r="B392" s="5" t="s">
        <v>176</v>
      </c>
      <c r="C392" s="5" t="s">
        <v>56</v>
      </c>
      <c r="D392" s="5" t="s">
        <v>66</v>
      </c>
      <c r="E392" s="5" t="s">
        <v>72</v>
      </c>
      <c r="F392" s="26" t="n">
        <v>80.37</v>
      </c>
      <c r="G392" s="26" t="n">
        <v>81.56</v>
      </c>
      <c r="H392" s="30" t="n">
        <v>1.021</v>
      </c>
      <c r="I392" s="28" t="n">
        <f aca="false">H392*G392/3.6</f>
        <v>23.1313222222222</v>
      </c>
      <c r="J392" s="30" t="n">
        <v>4.99</v>
      </c>
      <c r="K392" s="30" t="n">
        <v>1.191</v>
      </c>
      <c r="L392" s="30" t="n">
        <v>1.24</v>
      </c>
      <c r="M392" s="30" t="n">
        <v>7.68</v>
      </c>
      <c r="N392" s="25" t="n">
        <v>0.426166126865996</v>
      </c>
      <c r="O392" s="17" t="n">
        <v>0</v>
      </c>
      <c r="P392" s="26" t="n">
        <v>0</v>
      </c>
      <c r="Q392" s="24" t="n">
        <f aca="false">IF(O392=1,1/(1+EXP(-(P392-Inputs!$B$12)/Inputs!$B$13)),0)</f>
        <v>0</v>
      </c>
      <c r="R392" s="24" t="n">
        <f aca="false">N392*O392</f>
        <v>0</v>
      </c>
      <c r="S392" s="12" t="n">
        <f aca="false">N392*Q392</f>
        <v>0</v>
      </c>
      <c r="T392" s="24" t="n">
        <f aca="false">N392^2</f>
        <v>0.181617567687964</v>
      </c>
    </row>
    <row r="393" customFormat="false" ht="15" hidden="false" customHeight="false" outlineLevel="0" collapsed="false">
      <c r="A393" s="5" t="s">
        <v>645</v>
      </c>
      <c r="B393" s="5" t="s">
        <v>176</v>
      </c>
      <c r="C393" s="5" t="s">
        <v>56</v>
      </c>
      <c r="D393" s="5" t="s">
        <v>66</v>
      </c>
      <c r="E393" s="5" t="s">
        <v>72</v>
      </c>
      <c r="F393" s="26" t="n">
        <v>88.53</v>
      </c>
      <c r="G393" s="26" t="n">
        <v>87.18</v>
      </c>
      <c r="H393" s="30" t="n">
        <v>1.102</v>
      </c>
      <c r="I393" s="28" t="n">
        <f aca="false">H393*G393/3.6</f>
        <v>26.6867666666667</v>
      </c>
      <c r="J393" s="30" t="n">
        <v>3.73</v>
      </c>
      <c r="K393" s="30" t="n">
        <v>0.686</v>
      </c>
      <c r="L393" s="30" t="n">
        <v>1.829</v>
      </c>
      <c r="M393" s="30" t="n">
        <v>5.67</v>
      </c>
      <c r="N393" s="25" t="n">
        <v>0.457254767824183</v>
      </c>
      <c r="O393" s="17" t="n">
        <v>0</v>
      </c>
      <c r="P393" s="26" t="n">
        <v>0</v>
      </c>
      <c r="Q393" s="24" t="n">
        <f aca="false">IF(O393=1,1/(1+EXP(-(P393-Inputs!$B$12)/Inputs!$B$13)),0)</f>
        <v>0</v>
      </c>
      <c r="R393" s="24" t="n">
        <f aca="false">N393*O393</f>
        <v>0</v>
      </c>
      <c r="S393" s="12" t="n">
        <f aca="false">N393*Q393</f>
        <v>0</v>
      </c>
      <c r="T393" s="24" t="n">
        <f aca="false">N393^2</f>
        <v>0.209081922697947</v>
      </c>
    </row>
    <row r="394" customFormat="false" ht="15" hidden="false" customHeight="false" outlineLevel="0" collapsed="false">
      <c r="A394" s="5" t="s">
        <v>646</v>
      </c>
      <c r="B394" s="5" t="s">
        <v>176</v>
      </c>
      <c r="C394" s="5" t="s">
        <v>56</v>
      </c>
      <c r="D394" s="5" t="s">
        <v>66</v>
      </c>
      <c r="E394" s="5" t="s">
        <v>72</v>
      </c>
      <c r="F394" s="26" t="n">
        <v>79.69</v>
      </c>
      <c r="G394" s="26" t="n">
        <v>79.31</v>
      </c>
      <c r="H394" s="30" t="n">
        <v>1.001</v>
      </c>
      <c r="I394" s="28" t="n">
        <f aca="false">H394*G394/3.6</f>
        <v>22.0525861111111</v>
      </c>
      <c r="J394" s="30" t="n">
        <v>4.95</v>
      </c>
      <c r="K394" s="30" t="n">
        <v>1.589</v>
      </c>
      <c r="L394" s="30" t="n">
        <v>1.867</v>
      </c>
      <c r="M394" s="30" t="n">
        <v>4.55</v>
      </c>
      <c r="N394" s="25" t="n">
        <v>0.221786475519972</v>
      </c>
      <c r="O394" s="17" t="n">
        <v>0</v>
      </c>
      <c r="P394" s="26" t="n">
        <v>0</v>
      </c>
      <c r="Q394" s="24" t="n">
        <f aca="false">IF(O394=1,1/(1+EXP(-(P394-Inputs!$B$12)/Inputs!$B$13)),0)</f>
        <v>0</v>
      </c>
      <c r="R394" s="24" t="n">
        <f aca="false">N394*O394</f>
        <v>0</v>
      </c>
      <c r="S394" s="12" t="n">
        <f aca="false">N394*Q394</f>
        <v>0</v>
      </c>
      <c r="T394" s="24" t="n">
        <f aca="false">N394^2</f>
        <v>0.0491892407235711</v>
      </c>
    </row>
    <row r="395" customFormat="false" ht="15" hidden="false" customHeight="false" outlineLevel="0" collapsed="false">
      <c r="A395" s="5" t="s">
        <v>647</v>
      </c>
      <c r="B395" s="5" t="s">
        <v>176</v>
      </c>
      <c r="C395" s="5" t="s">
        <v>56</v>
      </c>
      <c r="D395" s="5" t="s">
        <v>66</v>
      </c>
      <c r="E395" s="5" t="s">
        <v>72</v>
      </c>
      <c r="F395" s="26" t="n">
        <v>93.06</v>
      </c>
      <c r="G395" s="26" t="n">
        <v>93.61</v>
      </c>
      <c r="H395" s="30" t="n">
        <v>1.075</v>
      </c>
      <c r="I395" s="28" t="n">
        <f aca="false">H395*G395/3.6</f>
        <v>27.9529861111111</v>
      </c>
      <c r="J395" s="30" t="n">
        <v>4.71</v>
      </c>
      <c r="K395" s="30" t="n">
        <v>1.173</v>
      </c>
      <c r="L395" s="30" t="n">
        <v>1.063</v>
      </c>
      <c r="M395" s="30" t="n">
        <v>7.38</v>
      </c>
      <c r="N395" s="25" t="n">
        <v>0.697240531112808</v>
      </c>
      <c r="O395" s="17" t="n">
        <v>0</v>
      </c>
      <c r="P395" s="26" t="n">
        <v>0</v>
      </c>
      <c r="Q395" s="24" t="n">
        <f aca="false">IF(O395=1,1/(1+EXP(-(P395-Inputs!$B$12)/Inputs!$B$13)),0)</f>
        <v>0</v>
      </c>
      <c r="R395" s="24" t="n">
        <f aca="false">N395*O395</f>
        <v>0</v>
      </c>
      <c r="S395" s="12" t="n">
        <f aca="false">N395*Q395</f>
        <v>0</v>
      </c>
      <c r="T395" s="24" t="n">
        <f aca="false">N395^2</f>
        <v>0.48614435822647</v>
      </c>
    </row>
    <row r="396" customFormat="false" ht="15" hidden="false" customHeight="false" outlineLevel="0" collapsed="false">
      <c r="A396" s="5" t="s">
        <v>648</v>
      </c>
      <c r="B396" s="5" t="s">
        <v>177</v>
      </c>
      <c r="C396" s="5" t="s">
        <v>56</v>
      </c>
      <c r="D396" s="5" t="s">
        <v>66</v>
      </c>
      <c r="E396" s="5" t="s">
        <v>73</v>
      </c>
      <c r="F396" s="26" t="n">
        <v>92.31</v>
      </c>
      <c r="G396" s="26" t="n">
        <v>92.19</v>
      </c>
      <c r="H396" s="30" t="n">
        <v>0.578</v>
      </c>
      <c r="I396" s="28" t="n">
        <f aca="false">H396*G396/3.6</f>
        <v>14.8016166666667</v>
      </c>
      <c r="J396" s="30" t="n">
        <v>3.79</v>
      </c>
      <c r="K396" s="30" t="n">
        <v>1.389</v>
      </c>
      <c r="L396" s="30" t="n">
        <v>1.914</v>
      </c>
      <c r="M396" s="30" t="n">
        <v>4.77</v>
      </c>
      <c r="N396" s="25" t="n">
        <v>0.125805291373036</v>
      </c>
      <c r="O396" s="17" t="n">
        <v>0</v>
      </c>
      <c r="P396" s="26" t="n">
        <v>0</v>
      </c>
      <c r="Q396" s="24" t="n">
        <f aca="false">IF(O396=1,1/(1+EXP(-(P396-Inputs!$B$12)/Inputs!$B$13)),0)</f>
        <v>0</v>
      </c>
      <c r="R396" s="24" t="n">
        <f aca="false">N396*O396</f>
        <v>0</v>
      </c>
      <c r="S396" s="12" t="n">
        <f aca="false">N396*Q396</f>
        <v>0</v>
      </c>
      <c r="T396" s="24" t="n">
        <f aca="false">N396^2</f>
        <v>0.0158269713374545</v>
      </c>
    </row>
    <row r="397" customFormat="false" ht="15" hidden="false" customHeight="false" outlineLevel="0" collapsed="false">
      <c r="A397" s="5" t="s">
        <v>649</v>
      </c>
      <c r="B397" s="5" t="s">
        <v>177</v>
      </c>
      <c r="C397" s="5" t="s">
        <v>56</v>
      </c>
      <c r="D397" s="5" t="s">
        <v>66</v>
      </c>
      <c r="E397" s="5" t="s">
        <v>73</v>
      </c>
      <c r="F397" s="26" t="n">
        <v>83.18</v>
      </c>
      <c r="G397" s="26" t="n">
        <v>81.96</v>
      </c>
      <c r="H397" s="30" t="n">
        <v>0.841</v>
      </c>
      <c r="I397" s="28" t="n">
        <f aca="false">H397*G397/3.6</f>
        <v>19.1467666666667</v>
      </c>
      <c r="J397" s="30" t="n">
        <v>5.72</v>
      </c>
      <c r="K397" s="30" t="n">
        <v>1.397</v>
      </c>
      <c r="L397" s="30" t="n">
        <v>1.494</v>
      </c>
      <c r="M397" s="30" t="n">
        <v>6.92</v>
      </c>
      <c r="N397" s="25" t="n">
        <v>0.354881261546304</v>
      </c>
      <c r="O397" s="17" t="n">
        <v>0</v>
      </c>
      <c r="P397" s="26" t="n">
        <v>0</v>
      </c>
      <c r="Q397" s="24" t="n">
        <f aca="false">IF(O397=1,1/(1+EXP(-(P397-Inputs!$B$12)/Inputs!$B$13)),0)</f>
        <v>0</v>
      </c>
      <c r="R397" s="24" t="n">
        <f aca="false">N397*O397</f>
        <v>0</v>
      </c>
      <c r="S397" s="12" t="n">
        <f aca="false">N397*Q397</f>
        <v>0</v>
      </c>
      <c r="T397" s="24" t="n">
        <f aca="false">N397^2</f>
        <v>0.125940709796696</v>
      </c>
    </row>
    <row r="398" customFormat="false" ht="15" hidden="false" customHeight="false" outlineLevel="0" collapsed="false">
      <c r="A398" s="5" t="s">
        <v>650</v>
      </c>
      <c r="B398" s="5" t="s">
        <v>177</v>
      </c>
      <c r="C398" s="5" t="s">
        <v>56</v>
      </c>
      <c r="D398" s="5" t="s">
        <v>66</v>
      </c>
      <c r="E398" s="5" t="s">
        <v>73</v>
      </c>
      <c r="F398" s="26" t="n">
        <v>93.64</v>
      </c>
      <c r="G398" s="26" t="n">
        <v>96.5</v>
      </c>
      <c r="H398" s="30" t="n">
        <v>0.724</v>
      </c>
      <c r="I398" s="28" t="n">
        <f aca="false">H398*G398/3.6</f>
        <v>19.4072222222222</v>
      </c>
      <c r="J398" s="30" t="n">
        <v>4.86</v>
      </c>
      <c r="K398" s="30" t="n">
        <v>1.193</v>
      </c>
      <c r="L398" s="30" t="n">
        <v>1.811</v>
      </c>
      <c r="M398" s="30" t="n">
        <v>3.55</v>
      </c>
      <c r="N398" s="25" t="n">
        <v>0.512241329555449</v>
      </c>
      <c r="O398" s="17" t="n">
        <v>0</v>
      </c>
      <c r="P398" s="26" t="n">
        <v>0</v>
      </c>
      <c r="Q398" s="24" t="n">
        <f aca="false">IF(O398=1,1/(1+EXP(-(P398-Inputs!$B$12)/Inputs!$B$13)),0)</f>
        <v>0</v>
      </c>
      <c r="R398" s="24" t="n">
        <f aca="false">N398*O398</f>
        <v>0</v>
      </c>
      <c r="S398" s="12" t="n">
        <f aca="false">N398*Q398</f>
        <v>0</v>
      </c>
      <c r="T398" s="24" t="n">
        <f aca="false">N398^2</f>
        <v>0.262391179704734</v>
      </c>
    </row>
    <row r="399" customFormat="false" ht="15" hidden="false" customHeight="false" outlineLevel="0" collapsed="false">
      <c r="A399" s="5" t="s">
        <v>651</v>
      </c>
      <c r="B399" s="5" t="s">
        <v>177</v>
      </c>
      <c r="C399" s="5" t="s">
        <v>56</v>
      </c>
      <c r="D399" s="5" t="s">
        <v>66</v>
      </c>
      <c r="E399" s="5" t="s">
        <v>73</v>
      </c>
      <c r="F399" s="26" t="n">
        <v>76.76</v>
      </c>
      <c r="G399" s="26" t="n">
        <v>81.09</v>
      </c>
      <c r="H399" s="30" t="n">
        <v>0.705</v>
      </c>
      <c r="I399" s="28" t="n">
        <f aca="false">H399*G399/3.6</f>
        <v>15.880125</v>
      </c>
      <c r="J399" s="30" t="n">
        <v>3.17</v>
      </c>
      <c r="K399" s="30" t="n">
        <v>1.541</v>
      </c>
      <c r="L399" s="30" t="n">
        <v>1.08</v>
      </c>
      <c r="M399" s="30" t="n">
        <v>6.25</v>
      </c>
      <c r="N399" s="25" t="n">
        <v>0.701123502727653</v>
      </c>
      <c r="O399" s="17" t="n">
        <v>0</v>
      </c>
      <c r="P399" s="26" t="n">
        <v>0</v>
      </c>
      <c r="Q399" s="24" t="n">
        <f aca="false">IF(O399=1,1/(1+EXP(-(P399-Inputs!$B$12)/Inputs!$B$13)),0)</f>
        <v>0</v>
      </c>
      <c r="R399" s="24" t="n">
        <f aca="false">N399*O399</f>
        <v>0</v>
      </c>
      <c r="S399" s="12" t="n">
        <f aca="false">N399*Q399</f>
        <v>0</v>
      </c>
      <c r="T399" s="24" t="n">
        <f aca="false">N399^2</f>
        <v>0.491574166077093</v>
      </c>
    </row>
    <row r="400" customFormat="false" ht="15" hidden="false" customHeight="false" outlineLevel="0" collapsed="false">
      <c r="A400" s="5" t="s">
        <v>652</v>
      </c>
      <c r="B400" s="5" t="s">
        <v>177</v>
      </c>
      <c r="C400" s="5" t="s">
        <v>56</v>
      </c>
      <c r="D400" s="5" t="s">
        <v>66</v>
      </c>
      <c r="E400" s="5" t="s">
        <v>73</v>
      </c>
      <c r="F400" s="26" t="n">
        <v>82.32</v>
      </c>
      <c r="G400" s="26" t="n">
        <v>82.81</v>
      </c>
      <c r="H400" s="30" t="n">
        <v>0.543</v>
      </c>
      <c r="I400" s="28" t="n">
        <f aca="false">H400*G400/3.6</f>
        <v>12.4905083333333</v>
      </c>
      <c r="J400" s="30" t="n">
        <v>4.63</v>
      </c>
      <c r="K400" s="30" t="n">
        <v>0.917</v>
      </c>
      <c r="L400" s="30" t="n">
        <v>1.517</v>
      </c>
      <c r="M400" s="30" t="n">
        <v>7.54</v>
      </c>
      <c r="N400" s="25" t="n">
        <v>0.328327860833877</v>
      </c>
      <c r="O400" s="17" t="n">
        <v>0</v>
      </c>
      <c r="P400" s="26" t="n">
        <v>0</v>
      </c>
      <c r="Q400" s="24" t="n">
        <f aca="false">IF(O400=1,1/(1+EXP(-(P400-Inputs!$B$12)/Inputs!$B$13)),0)</f>
        <v>0</v>
      </c>
      <c r="R400" s="24" t="n">
        <f aca="false">N400*O400</f>
        <v>0</v>
      </c>
      <c r="S400" s="12" t="n">
        <f aca="false">N400*Q400</f>
        <v>0</v>
      </c>
      <c r="T400" s="24" t="n">
        <f aca="false">N400^2</f>
        <v>0.10779918419975</v>
      </c>
    </row>
    <row r="401" customFormat="false" ht="15" hidden="false" customHeight="false" outlineLevel="0" collapsed="false">
      <c r="A401" s="5" t="s">
        <v>653</v>
      </c>
      <c r="B401" s="5" t="s">
        <v>177</v>
      </c>
      <c r="C401" s="5" t="s">
        <v>56</v>
      </c>
      <c r="D401" s="5" t="s">
        <v>66</v>
      </c>
      <c r="E401" s="5" t="s">
        <v>73</v>
      </c>
      <c r="F401" s="26" t="n">
        <v>94.75</v>
      </c>
      <c r="G401" s="26" t="n">
        <v>94.71</v>
      </c>
      <c r="H401" s="30" t="n">
        <v>0.603</v>
      </c>
      <c r="I401" s="28" t="n">
        <f aca="false">H401*G401/3.6</f>
        <v>15.863925</v>
      </c>
      <c r="J401" s="30" t="n">
        <v>2.57</v>
      </c>
      <c r="K401" s="30" t="n">
        <v>1.719</v>
      </c>
      <c r="L401" s="30" t="n">
        <v>1.517</v>
      </c>
      <c r="M401" s="30" t="n">
        <v>7.81</v>
      </c>
      <c r="N401" s="25" t="n">
        <v>0.0689636209834905</v>
      </c>
      <c r="O401" s="17" t="n">
        <v>0</v>
      </c>
      <c r="P401" s="26" t="n">
        <v>0</v>
      </c>
      <c r="Q401" s="24" t="n">
        <f aca="false">IF(O401=1,1/(1+EXP(-(P401-Inputs!$B$12)/Inputs!$B$13)),0)</f>
        <v>0</v>
      </c>
      <c r="R401" s="24" t="n">
        <f aca="false">N401*O401</f>
        <v>0</v>
      </c>
      <c r="S401" s="12" t="n">
        <f aca="false">N401*Q401</f>
        <v>0</v>
      </c>
      <c r="T401" s="24" t="n">
        <f aca="false">N401^2</f>
        <v>0.00475598101915453</v>
      </c>
    </row>
    <row r="402" customFormat="false" ht="15" hidden="false" customHeight="false" outlineLevel="0" collapsed="false">
      <c r="A402" s="5" t="s">
        <v>654</v>
      </c>
      <c r="B402" s="5" t="s">
        <v>177</v>
      </c>
      <c r="C402" s="5" t="s">
        <v>56</v>
      </c>
      <c r="D402" s="5" t="s">
        <v>66</v>
      </c>
      <c r="E402" s="5" t="s">
        <v>73</v>
      </c>
      <c r="F402" s="26" t="n">
        <v>92.72</v>
      </c>
      <c r="G402" s="26" t="n">
        <v>92.93</v>
      </c>
      <c r="H402" s="30" t="n">
        <v>0.874</v>
      </c>
      <c r="I402" s="28" t="n">
        <f aca="false">H402*G402/3.6</f>
        <v>22.5613388888889</v>
      </c>
      <c r="J402" s="30" t="n">
        <v>2.62</v>
      </c>
      <c r="K402" s="30" t="n">
        <v>0.845</v>
      </c>
      <c r="L402" s="30" t="n">
        <v>1.286</v>
      </c>
      <c r="M402" s="30" t="n">
        <v>5.47</v>
      </c>
      <c r="N402" s="25" t="n">
        <v>2.17538341695219</v>
      </c>
      <c r="O402" s="17" t="n">
        <v>0</v>
      </c>
      <c r="P402" s="26" t="n">
        <v>0</v>
      </c>
      <c r="Q402" s="24" t="n">
        <f aca="false">IF(O402=1,1/(1+EXP(-(P402-Inputs!$B$12)/Inputs!$B$13)),0)</f>
        <v>0</v>
      </c>
      <c r="R402" s="24" t="n">
        <f aca="false">N402*O402</f>
        <v>0</v>
      </c>
      <c r="S402" s="12" t="n">
        <f aca="false">N402*Q402</f>
        <v>0</v>
      </c>
      <c r="T402" s="24" t="n">
        <f aca="false">N402^2</f>
        <v>4.73229301075056</v>
      </c>
    </row>
    <row r="403" customFormat="false" ht="15" hidden="false" customHeight="false" outlineLevel="0" collapsed="false">
      <c r="A403" s="5" t="s">
        <v>655</v>
      </c>
      <c r="B403" s="5" t="s">
        <v>177</v>
      </c>
      <c r="C403" s="5" t="s">
        <v>56</v>
      </c>
      <c r="D403" s="5" t="s">
        <v>66</v>
      </c>
      <c r="E403" s="5" t="s">
        <v>73</v>
      </c>
      <c r="F403" s="26" t="n">
        <v>76.91</v>
      </c>
      <c r="G403" s="26" t="n">
        <v>78.34</v>
      </c>
      <c r="H403" s="30" t="n">
        <v>0.785</v>
      </c>
      <c r="I403" s="28" t="n">
        <f aca="false">H403*G403/3.6</f>
        <v>17.0824722222222</v>
      </c>
      <c r="J403" s="30" t="n">
        <v>4.11</v>
      </c>
      <c r="K403" s="30" t="n">
        <v>0.904</v>
      </c>
      <c r="L403" s="30" t="n">
        <v>1.702</v>
      </c>
      <c r="M403" s="30" t="n">
        <v>5.9</v>
      </c>
      <c r="N403" s="25" t="n">
        <v>0.549799761471979</v>
      </c>
      <c r="O403" s="17" t="n">
        <v>0</v>
      </c>
      <c r="P403" s="26" t="n">
        <v>0</v>
      </c>
      <c r="Q403" s="24" t="n">
        <f aca="false">IF(O403=1,1/(1+EXP(-(P403-Inputs!$B$12)/Inputs!$B$13)),0)</f>
        <v>0</v>
      </c>
      <c r="R403" s="24" t="n">
        <f aca="false">N403*O403</f>
        <v>0</v>
      </c>
      <c r="S403" s="12" t="n">
        <f aca="false">N403*Q403</f>
        <v>0</v>
      </c>
      <c r="T403" s="24" t="n">
        <f aca="false">N403^2</f>
        <v>0.302279777714645</v>
      </c>
    </row>
    <row r="404" customFormat="false" ht="15" hidden="false" customHeight="false" outlineLevel="0" collapsed="false">
      <c r="A404" s="5" t="s">
        <v>656</v>
      </c>
      <c r="B404" s="5" t="s">
        <v>177</v>
      </c>
      <c r="C404" s="5" t="s">
        <v>56</v>
      </c>
      <c r="D404" s="5" t="s">
        <v>66</v>
      </c>
      <c r="E404" s="5" t="s">
        <v>73</v>
      </c>
      <c r="F404" s="26" t="n">
        <v>90.45</v>
      </c>
      <c r="G404" s="26" t="n">
        <v>91.81</v>
      </c>
      <c r="H404" s="30" t="n">
        <v>0.608</v>
      </c>
      <c r="I404" s="28" t="n">
        <f aca="false">H404*G404/3.6</f>
        <v>15.5056888888889</v>
      </c>
      <c r="J404" s="30" t="n">
        <v>4.89</v>
      </c>
      <c r="K404" s="30" t="n">
        <v>2.387</v>
      </c>
      <c r="L404" s="30" t="n">
        <v>1.746</v>
      </c>
      <c r="M404" s="30" t="n">
        <v>4.3</v>
      </c>
      <c r="N404" s="25" t="n">
        <v>0.0776825505744549</v>
      </c>
      <c r="O404" s="17" t="n">
        <v>1</v>
      </c>
      <c r="P404" s="26" t="n">
        <v>30.85</v>
      </c>
      <c r="Q404" s="24" t="n">
        <f aca="false">IF(O404=1,1/(1+EXP(-(P404-Inputs!$B$12)/Inputs!$B$13)),0)</f>
        <v>0.116971354321433</v>
      </c>
      <c r="R404" s="24" t="n">
        <f aca="false">N404*O404</f>
        <v>0.0776825505744549</v>
      </c>
      <c r="S404" s="12" t="n">
        <f aca="false">N404*Q404</f>
        <v>0.0090866331478372</v>
      </c>
      <c r="T404" s="24" t="n">
        <f aca="false">N404^2</f>
        <v>0.00603457866375274</v>
      </c>
    </row>
    <row r="405" customFormat="false" ht="15" hidden="false" customHeight="false" outlineLevel="0" collapsed="false">
      <c r="A405" s="5" t="s">
        <v>657</v>
      </c>
      <c r="B405" s="5" t="s">
        <v>177</v>
      </c>
      <c r="C405" s="5" t="s">
        <v>56</v>
      </c>
      <c r="D405" s="5" t="s">
        <v>66</v>
      </c>
      <c r="E405" s="5" t="s">
        <v>73</v>
      </c>
      <c r="F405" s="26" t="n">
        <v>83.37</v>
      </c>
      <c r="G405" s="26" t="n">
        <v>81.81</v>
      </c>
      <c r="H405" s="30" t="n">
        <v>0.584</v>
      </c>
      <c r="I405" s="28" t="n">
        <f aca="false">H405*G405/3.6</f>
        <v>13.2714</v>
      </c>
      <c r="J405" s="30" t="n">
        <v>4.1</v>
      </c>
      <c r="K405" s="30" t="n">
        <v>1.062</v>
      </c>
      <c r="L405" s="30" t="n">
        <v>1.327</v>
      </c>
      <c r="M405" s="30" t="n">
        <v>5.2</v>
      </c>
      <c r="N405" s="25" t="n">
        <v>0.814862811420846</v>
      </c>
      <c r="O405" s="17" t="n">
        <v>0</v>
      </c>
      <c r="P405" s="26" t="n">
        <v>0</v>
      </c>
      <c r="Q405" s="24" t="n">
        <f aca="false">IF(O405=1,1/(1+EXP(-(P405-Inputs!$B$12)/Inputs!$B$13)),0)</f>
        <v>0</v>
      </c>
      <c r="R405" s="24" t="n">
        <f aca="false">N405*O405</f>
        <v>0</v>
      </c>
      <c r="S405" s="12" t="n">
        <f aca="false">N405*Q405</f>
        <v>0</v>
      </c>
      <c r="T405" s="24" t="n">
        <f aca="false">N405^2</f>
        <v>0.664001401436686</v>
      </c>
    </row>
    <row r="406" customFormat="false" ht="15" hidden="false" customHeight="false" outlineLevel="0" collapsed="false">
      <c r="A406" s="5" t="s">
        <v>658</v>
      </c>
      <c r="B406" s="5" t="s">
        <v>178</v>
      </c>
      <c r="C406" s="5" t="s">
        <v>57</v>
      </c>
      <c r="D406" s="5" t="s">
        <v>62</v>
      </c>
      <c r="E406" s="5" t="s">
        <v>68</v>
      </c>
      <c r="F406" s="26" t="n">
        <v>28.96</v>
      </c>
      <c r="G406" s="26" t="n">
        <v>28.06</v>
      </c>
      <c r="H406" s="30" t="n">
        <v>4.02</v>
      </c>
      <c r="I406" s="28" t="n">
        <f aca="false">H406*G406/3.6</f>
        <v>31.3336666666667</v>
      </c>
      <c r="J406" s="30" t="n">
        <v>4</v>
      </c>
      <c r="K406" s="30" t="n">
        <v>0.562</v>
      </c>
      <c r="L406" s="30" t="n">
        <v>2.354</v>
      </c>
      <c r="M406" s="30" t="n">
        <v>4.76</v>
      </c>
      <c r="N406" s="25" t="n">
        <v>0.266241397967501</v>
      </c>
      <c r="O406" s="17" t="n">
        <v>0</v>
      </c>
      <c r="P406" s="26" t="n">
        <v>0</v>
      </c>
      <c r="Q406" s="24" t="n">
        <f aca="false">IF(O406=1,1/(1+EXP(-(P406-Inputs!$B$12)/Inputs!$B$13)),0)</f>
        <v>0</v>
      </c>
      <c r="R406" s="24" t="n">
        <f aca="false">N406*O406</f>
        <v>0</v>
      </c>
      <c r="S406" s="12" t="n">
        <f aca="false">N406*Q406</f>
        <v>0</v>
      </c>
      <c r="T406" s="24" t="n">
        <f aca="false">N406^2</f>
        <v>0.0708844819916894</v>
      </c>
    </row>
    <row r="407" customFormat="false" ht="15" hidden="false" customHeight="false" outlineLevel="0" collapsed="false">
      <c r="A407" s="5" t="s">
        <v>659</v>
      </c>
      <c r="B407" s="5" t="s">
        <v>178</v>
      </c>
      <c r="C407" s="5" t="s">
        <v>57</v>
      </c>
      <c r="D407" s="5" t="s">
        <v>62</v>
      </c>
      <c r="E407" s="5" t="s">
        <v>68</v>
      </c>
      <c r="F407" s="26" t="n">
        <v>34.02</v>
      </c>
      <c r="G407" s="26" t="n">
        <v>34.42</v>
      </c>
      <c r="H407" s="30" t="n">
        <v>3.209</v>
      </c>
      <c r="I407" s="28" t="n">
        <f aca="false">H407*G407/3.6</f>
        <v>30.6816055555556</v>
      </c>
      <c r="J407" s="30" t="n">
        <v>5.51</v>
      </c>
      <c r="K407" s="30" t="n">
        <v>1.3</v>
      </c>
      <c r="L407" s="30" t="n">
        <v>2.731</v>
      </c>
      <c r="M407" s="30" t="n">
        <v>5.84</v>
      </c>
      <c r="N407" s="25" t="n">
        <v>0.0162954444377929</v>
      </c>
      <c r="O407" s="17" t="n">
        <v>0</v>
      </c>
      <c r="P407" s="26" t="n">
        <v>0</v>
      </c>
      <c r="Q407" s="24" t="n">
        <f aca="false">IF(O407=1,1/(1+EXP(-(P407-Inputs!$B$12)/Inputs!$B$13)),0)</f>
        <v>0</v>
      </c>
      <c r="R407" s="24" t="n">
        <f aca="false">N407*O407</f>
        <v>0</v>
      </c>
      <c r="S407" s="12" t="n">
        <f aca="false">N407*Q407</f>
        <v>0</v>
      </c>
      <c r="T407" s="24" t="n">
        <f aca="false">N407^2</f>
        <v>0.000265541509425197</v>
      </c>
    </row>
    <row r="408" customFormat="false" ht="15" hidden="false" customHeight="false" outlineLevel="0" collapsed="false">
      <c r="A408" s="5" t="s">
        <v>660</v>
      </c>
      <c r="B408" s="5" t="s">
        <v>178</v>
      </c>
      <c r="C408" s="5" t="s">
        <v>57</v>
      </c>
      <c r="D408" s="5" t="s">
        <v>62</v>
      </c>
      <c r="E408" s="5" t="s">
        <v>68</v>
      </c>
      <c r="F408" s="26" t="n">
        <v>29.05</v>
      </c>
      <c r="G408" s="26" t="n">
        <v>25.66</v>
      </c>
      <c r="H408" s="30" t="n">
        <v>3.871</v>
      </c>
      <c r="I408" s="28" t="n">
        <f aca="false">H408*G408/3.6</f>
        <v>27.5916277777778</v>
      </c>
      <c r="J408" s="30" t="n">
        <v>3.86</v>
      </c>
      <c r="K408" s="30" t="n">
        <v>1.565</v>
      </c>
      <c r="L408" s="30" t="n">
        <v>1.02</v>
      </c>
      <c r="M408" s="30" t="n">
        <v>7</v>
      </c>
      <c r="N408" s="25" t="n">
        <v>0.5285064316565</v>
      </c>
      <c r="O408" s="17" t="n">
        <v>0</v>
      </c>
      <c r="P408" s="26" t="n">
        <v>0</v>
      </c>
      <c r="Q408" s="24" t="n">
        <f aca="false">IF(O408=1,1/(1+EXP(-(P408-Inputs!$B$12)/Inputs!$B$13)),0)</f>
        <v>0</v>
      </c>
      <c r="R408" s="24" t="n">
        <f aca="false">N408*O408</f>
        <v>0</v>
      </c>
      <c r="S408" s="12" t="n">
        <f aca="false">N408*Q408</f>
        <v>0</v>
      </c>
      <c r="T408" s="24" t="n">
        <f aca="false">N408^2</f>
        <v>0.279319048302286</v>
      </c>
    </row>
    <row r="409" customFormat="false" ht="15" hidden="false" customHeight="false" outlineLevel="0" collapsed="false">
      <c r="A409" s="5" t="s">
        <v>661</v>
      </c>
      <c r="B409" s="5" t="s">
        <v>178</v>
      </c>
      <c r="C409" s="5" t="s">
        <v>57</v>
      </c>
      <c r="D409" s="5" t="s">
        <v>62</v>
      </c>
      <c r="E409" s="5" t="s">
        <v>68</v>
      </c>
      <c r="F409" s="26" t="n">
        <v>32.28</v>
      </c>
      <c r="G409" s="26" t="n">
        <v>27.04</v>
      </c>
      <c r="H409" s="30" t="n">
        <v>4.923</v>
      </c>
      <c r="I409" s="28" t="n">
        <f aca="false">H409*G409/3.6</f>
        <v>36.9772</v>
      </c>
      <c r="J409" s="30" t="n">
        <v>3.83</v>
      </c>
      <c r="K409" s="30" t="n">
        <v>1.18</v>
      </c>
      <c r="L409" s="30" t="n">
        <v>1.356</v>
      </c>
      <c r="M409" s="30" t="n">
        <v>6.33</v>
      </c>
      <c r="N409" s="25" t="n">
        <v>0.640460808939995</v>
      </c>
      <c r="O409" s="17" t="n">
        <v>0</v>
      </c>
      <c r="P409" s="26" t="n">
        <v>0</v>
      </c>
      <c r="Q409" s="24" t="n">
        <f aca="false">IF(O409=1,1/(1+EXP(-(P409-Inputs!$B$12)/Inputs!$B$13)),0)</f>
        <v>0</v>
      </c>
      <c r="R409" s="24" t="n">
        <f aca="false">N409*O409</f>
        <v>0</v>
      </c>
      <c r="S409" s="12" t="n">
        <f aca="false">N409*Q409</f>
        <v>0</v>
      </c>
      <c r="T409" s="24" t="n">
        <f aca="false">N409^2</f>
        <v>0.410190047788073</v>
      </c>
    </row>
    <row r="410" customFormat="false" ht="15" hidden="false" customHeight="false" outlineLevel="0" collapsed="false">
      <c r="A410" s="5" t="s">
        <v>662</v>
      </c>
      <c r="B410" s="5" t="s">
        <v>178</v>
      </c>
      <c r="C410" s="5" t="s">
        <v>57</v>
      </c>
      <c r="D410" s="5" t="s">
        <v>62</v>
      </c>
      <c r="E410" s="5" t="s">
        <v>68</v>
      </c>
      <c r="F410" s="26" t="n">
        <v>24.95</v>
      </c>
      <c r="G410" s="26" t="n">
        <v>27.91</v>
      </c>
      <c r="H410" s="30" t="n">
        <v>3.809</v>
      </c>
      <c r="I410" s="28" t="n">
        <f aca="false">H410*G410/3.6</f>
        <v>29.5303305555556</v>
      </c>
      <c r="J410" s="30" t="n">
        <v>4.24</v>
      </c>
      <c r="K410" s="30" t="n">
        <v>0.922</v>
      </c>
      <c r="L410" s="30" t="n">
        <v>1.319</v>
      </c>
      <c r="M410" s="30" t="n">
        <v>6.16</v>
      </c>
      <c r="N410" s="25" t="n">
        <v>0.881282925114507</v>
      </c>
      <c r="O410" s="17" t="n">
        <v>0</v>
      </c>
      <c r="P410" s="26" t="n">
        <v>0</v>
      </c>
      <c r="Q410" s="24" t="n">
        <f aca="false">IF(O410=1,1/(1+EXP(-(P410-Inputs!$B$12)/Inputs!$B$13)),0)</f>
        <v>0</v>
      </c>
      <c r="R410" s="24" t="n">
        <f aca="false">N410*O410</f>
        <v>0</v>
      </c>
      <c r="S410" s="12" t="n">
        <f aca="false">N410*Q410</f>
        <v>0</v>
      </c>
      <c r="T410" s="24" t="n">
        <f aca="false">N410^2</f>
        <v>0.776659594098382</v>
      </c>
    </row>
    <row r="411" customFormat="false" ht="15" hidden="false" customHeight="false" outlineLevel="0" collapsed="false">
      <c r="A411" s="5" t="s">
        <v>663</v>
      </c>
      <c r="B411" s="5" t="s">
        <v>178</v>
      </c>
      <c r="C411" s="5" t="s">
        <v>57</v>
      </c>
      <c r="D411" s="5" t="s">
        <v>62</v>
      </c>
      <c r="E411" s="5" t="s">
        <v>68</v>
      </c>
      <c r="F411" s="26" t="n">
        <v>31.34</v>
      </c>
      <c r="G411" s="26" t="n">
        <v>27.79</v>
      </c>
      <c r="H411" s="30" t="n">
        <v>5.127</v>
      </c>
      <c r="I411" s="28" t="n">
        <f aca="false">H411*G411/3.6</f>
        <v>39.5775916666667</v>
      </c>
      <c r="J411" s="30" t="n">
        <v>4.31</v>
      </c>
      <c r="K411" s="30" t="n">
        <v>1.601</v>
      </c>
      <c r="L411" s="30" t="n">
        <v>1.503</v>
      </c>
      <c r="M411" s="30" t="n">
        <v>4.68</v>
      </c>
      <c r="N411" s="25" t="n">
        <v>0.440396360240624</v>
      </c>
      <c r="O411" s="17" t="n">
        <v>0</v>
      </c>
      <c r="P411" s="26" t="n">
        <v>0</v>
      </c>
      <c r="Q411" s="24" t="n">
        <f aca="false">IF(O411=1,1/(1+EXP(-(P411-Inputs!$B$12)/Inputs!$B$13)),0)</f>
        <v>0</v>
      </c>
      <c r="R411" s="24" t="n">
        <f aca="false">N411*O411</f>
        <v>0</v>
      </c>
      <c r="S411" s="12" t="n">
        <f aca="false">N411*Q411</f>
        <v>0</v>
      </c>
      <c r="T411" s="24" t="n">
        <f aca="false">N411^2</f>
        <v>0.193948954113189</v>
      </c>
    </row>
    <row r="412" customFormat="false" ht="15" hidden="false" customHeight="false" outlineLevel="0" collapsed="false">
      <c r="A412" s="5" t="s">
        <v>664</v>
      </c>
      <c r="B412" s="5" t="s">
        <v>178</v>
      </c>
      <c r="C412" s="5" t="s">
        <v>57</v>
      </c>
      <c r="D412" s="5" t="s">
        <v>62</v>
      </c>
      <c r="E412" s="5" t="s">
        <v>68</v>
      </c>
      <c r="F412" s="26" t="n">
        <v>20.85</v>
      </c>
      <c r="G412" s="26" t="n">
        <v>22.98</v>
      </c>
      <c r="H412" s="30" t="n">
        <v>4.073</v>
      </c>
      <c r="I412" s="28" t="n">
        <f aca="false">H412*G412/3.6</f>
        <v>25.9993166666667</v>
      </c>
      <c r="J412" s="30" t="n">
        <v>4.02</v>
      </c>
      <c r="K412" s="30" t="n">
        <v>1.693</v>
      </c>
      <c r="L412" s="30" t="n">
        <v>1.574</v>
      </c>
      <c r="M412" s="30" t="n">
        <v>7.08</v>
      </c>
      <c r="N412" s="25" t="n">
        <v>0.11945968044029</v>
      </c>
      <c r="O412" s="17" t="n">
        <v>0</v>
      </c>
      <c r="P412" s="26" t="n">
        <v>0</v>
      </c>
      <c r="Q412" s="24" t="n">
        <f aca="false">IF(O412=1,1/(1+EXP(-(P412-Inputs!$B$12)/Inputs!$B$13)),0)</f>
        <v>0</v>
      </c>
      <c r="R412" s="24" t="n">
        <f aca="false">N412*O412</f>
        <v>0</v>
      </c>
      <c r="S412" s="12" t="n">
        <f aca="false">N412*Q412</f>
        <v>0</v>
      </c>
      <c r="T412" s="24" t="n">
        <f aca="false">N412^2</f>
        <v>0.0142706152508963</v>
      </c>
    </row>
    <row r="413" customFormat="false" ht="15" hidden="false" customHeight="false" outlineLevel="0" collapsed="false">
      <c r="A413" s="5" t="s">
        <v>665</v>
      </c>
      <c r="B413" s="5" t="s">
        <v>178</v>
      </c>
      <c r="C413" s="5" t="s">
        <v>57</v>
      </c>
      <c r="D413" s="5" t="s">
        <v>62</v>
      </c>
      <c r="E413" s="5" t="s">
        <v>68</v>
      </c>
      <c r="F413" s="26" t="n">
        <v>33.17</v>
      </c>
      <c r="G413" s="26" t="n">
        <v>31.06</v>
      </c>
      <c r="H413" s="30" t="n">
        <v>4.411</v>
      </c>
      <c r="I413" s="28" t="n">
        <f aca="false">H413*G413/3.6</f>
        <v>38.0571277777778</v>
      </c>
      <c r="J413" s="30" t="n">
        <v>4.38</v>
      </c>
      <c r="K413" s="30" t="n">
        <v>2.802</v>
      </c>
      <c r="L413" s="30" t="n">
        <v>1.7</v>
      </c>
      <c r="M413" s="30" t="n">
        <v>6.27</v>
      </c>
      <c r="N413" s="25" t="n">
        <v>0.0384470041376327</v>
      </c>
      <c r="O413" s="17" t="n">
        <v>0</v>
      </c>
      <c r="P413" s="26" t="n">
        <v>0</v>
      </c>
      <c r="Q413" s="24" t="n">
        <f aca="false">IF(O413=1,1/(1+EXP(-(P413-Inputs!$B$12)/Inputs!$B$13)),0)</f>
        <v>0</v>
      </c>
      <c r="R413" s="24" t="n">
        <f aca="false">N413*O413</f>
        <v>0</v>
      </c>
      <c r="S413" s="12" t="n">
        <f aca="false">N413*Q413</f>
        <v>0</v>
      </c>
      <c r="T413" s="24" t="n">
        <f aca="false">N413^2</f>
        <v>0.00147817212715915</v>
      </c>
    </row>
    <row r="414" customFormat="false" ht="15" hidden="false" customHeight="false" outlineLevel="0" collapsed="false">
      <c r="A414" s="5" t="s">
        <v>666</v>
      </c>
      <c r="B414" s="5" t="s">
        <v>178</v>
      </c>
      <c r="C414" s="5" t="s">
        <v>57</v>
      </c>
      <c r="D414" s="5" t="s">
        <v>62</v>
      </c>
      <c r="E414" s="5" t="s">
        <v>68</v>
      </c>
      <c r="F414" s="26" t="n">
        <v>20.75</v>
      </c>
      <c r="G414" s="26" t="n">
        <v>19.29</v>
      </c>
      <c r="H414" s="30" t="n">
        <v>3.912</v>
      </c>
      <c r="I414" s="28" t="n">
        <f aca="false">H414*G414/3.6</f>
        <v>20.9618</v>
      </c>
      <c r="J414" s="30" t="n">
        <v>2.59</v>
      </c>
      <c r="K414" s="30" t="n">
        <v>0.636</v>
      </c>
      <c r="L414" s="30" t="n">
        <v>0.946</v>
      </c>
      <c r="M414" s="30" t="n">
        <v>7.06</v>
      </c>
      <c r="N414" s="25" t="n">
        <v>4.17028274810518</v>
      </c>
      <c r="O414" s="17" t="n">
        <v>0</v>
      </c>
      <c r="P414" s="26" t="n">
        <v>0</v>
      </c>
      <c r="Q414" s="24" t="n">
        <f aca="false">IF(O414=1,1/(1+EXP(-(P414-Inputs!$B$12)/Inputs!$B$13)),0)</f>
        <v>0</v>
      </c>
      <c r="R414" s="24" t="n">
        <f aca="false">N414*O414</f>
        <v>0</v>
      </c>
      <c r="S414" s="12" t="n">
        <f aca="false">N414*Q414</f>
        <v>0</v>
      </c>
      <c r="T414" s="24" t="n">
        <f aca="false">N414^2</f>
        <v>17.3912581991437</v>
      </c>
    </row>
    <row r="415" customFormat="false" ht="15" hidden="false" customHeight="false" outlineLevel="0" collapsed="false">
      <c r="A415" s="5" t="s">
        <v>667</v>
      </c>
      <c r="B415" s="5" t="s">
        <v>178</v>
      </c>
      <c r="C415" s="5" t="s">
        <v>57</v>
      </c>
      <c r="D415" s="5" t="s">
        <v>62</v>
      </c>
      <c r="E415" s="5" t="s">
        <v>68</v>
      </c>
      <c r="F415" s="26" t="n">
        <v>31.54</v>
      </c>
      <c r="G415" s="26" t="n">
        <v>28.85</v>
      </c>
      <c r="H415" s="30" t="n">
        <v>3.109</v>
      </c>
      <c r="I415" s="28" t="n">
        <f aca="false">H415*G415/3.6</f>
        <v>24.9151805555556</v>
      </c>
      <c r="J415" s="30" t="n">
        <v>5.85</v>
      </c>
      <c r="K415" s="30" t="n">
        <v>1.768</v>
      </c>
      <c r="L415" s="30" t="n">
        <v>1.088</v>
      </c>
      <c r="M415" s="30" t="n">
        <v>6.7</v>
      </c>
      <c r="N415" s="25" t="n">
        <v>0.449253393758467</v>
      </c>
      <c r="O415" s="17" t="n">
        <v>0</v>
      </c>
      <c r="P415" s="26" t="n">
        <v>0</v>
      </c>
      <c r="Q415" s="24" t="n">
        <f aca="false">IF(O415=1,1/(1+EXP(-(P415-Inputs!$B$12)/Inputs!$B$13)),0)</f>
        <v>0</v>
      </c>
      <c r="R415" s="24" t="n">
        <f aca="false">N415*O415</f>
        <v>0</v>
      </c>
      <c r="S415" s="12" t="n">
        <f aca="false">N415*Q415</f>
        <v>0</v>
      </c>
      <c r="T415" s="24" t="n">
        <f aca="false">N415^2</f>
        <v>0.2018286118035</v>
      </c>
    </row>
    <row r="416" customFormat="false" ht="15" hidden="false" customHeight="false" outlineLevel="0" collapsed="false">
      <c r="A416" s="5" t="s">
        <v>668</v>
      </c>
      <c r="B416" s="5" t="s">
        <v>179</v>
      </c>
      <c r="C416" s="5" t="s">
        <v>57</v>
      </c>
      <c r="D416" s="5" t="s">
        <v>62</v>
      </c>
      <c r="E416" s="5" t="s">
        <v>70</v>
      </c>
      <c r="F416" s="26" t="n">
        <v>27.62</v>
      </c>
      <c r="G416" s="26" t="n">
        <v>27.71</v>
      </c>
      <c r="H416" s="30" t="n">
        <v>2.209</v>
      </c>
      <c r="I416" s="28" t="n">
        <f aca="false">H416*G416/3.6</f>
        <v>17.0031638888889</v>
      </c>
      <c r="J416" s="30" t="n">
        <v>3.81</v>
      </c>
      <c r="K416" s="30" t="n">
        <v>1.751</v>
      </c>
      <c r="L416" s="30" t="n">
        <v>1.882</v>
      </c>
      <c r="M416" s="30" t="n">
        <v>6.38</v>
      </c>
      <c r="N416" s="25" t="n">
        <v>0.0528957163579939</v>
      </c>
      <c r="O416" s="17" t="n">
        <v>0</v>
      </c>
      <c r="P416" s="26" t="n">
        <v>0</v>
      </c>
      <c r="Q416" s="24" t="n">
        <f aca="false">IF(O416=1,1/(1+EXP(-(P416-Inputs!$B$12)/Inputs!$B$13)),0)</f>
        <v>0</v>
      </c>
      <c r="R416" s="24" t="n">
        <f aca="false">N416*O416</f>
        <v>0</v>
      </c>
      <c r="S416" s="12" t="n">
        <f aca="false">N416*Q416</f>
        <v>0</v>
      </c>
      <c r="T416" s="24" t="n">
        <f aca="false">N416^2</f>
        <v>0.00279795680902534</v>
      </c>
    </row>
    <row r="417" customFormat="false" ht="15" hidden="false" customHeight="false" outlineLevel="0" collapsed="false">
      <c r="A417" s="5" t="s">
        <v>669</v>
      </c>
      <c r="B417" s="5" t="s">
        <v>179</v>
      </c>
      <c r="C417" s="5" t="s">
        <v>57</v>
      </c>
      <c r="D417" s="5" t="s">
        <v>62</v>
      </c>
      <c r="E417" s="5" t="s">
        <v>70</v>
      </c>
      <c r="F417" s="26" t="n">
        <v>31.38</v>
      </c>
      <c r="G417" s="26" t="n">
        <v>34.46</v>
      </c>
      <c r="H417" s="30" t="n">
        <v>2.323</v>
      </c>
      <c r="I417" s="28" t="n">
        <f aca="false">H417*G417/3.6</f>
        <v>22.2362722222222</v>
      </c>
      <c r="J417" s="30" t="n">
        <v>2.56</v>
      </c>
      <c r="K417" s="30" t="n">
        <v>2.002</v>
      </c>
      <c r="L417" s="30" t="n">
        <v>1.436</v>
      </c>
      <c r="M417" s="30" t="n">
        <v>3.6</v>
      </c>
      <c r="N417" s="25" t="n">
        <v>0.381023869690577</v>
      </c>
      <c r="O417" s="17" t="n">
        <v>0</v>
      </c>
      <c r="P417" s="26" t="n">
        <v>0</v>
      </c>
      <c r="Q417" s="24" t="n">
        <f aca="false">IF(O417=1,1/(1+EXP(-(P417-Inputs!$B$12)/Inputs!$B$13)),0)</f>
        <v>0</v>
      </c>
      <c r="R417" s="24" t="n">
        <f aca="false">N417*O417</f>
        <v>0</v>
      </c>
      <c r="S417" s="12" t="n">
        <f aca="false">N417*Q417</f>
        <v>0</v>
      </c>
      <c r="T417" s="24" t="n">
        <f aca="false">N417^2</f>
        <v>0.145179189273981</v>
      </c>
    </row>
    <row r="418" customFormat="false" ht="15" hidden="false" customHeight="false" outlineLevel="0" collapsed="false">
      <c r="A418" s="5" t="s">
        <v>670</v>
      </c>
      <c r="B418" s="5" t="s">
        <v>179</v>
      </c>
      <c r="C418" s="5" t="s">
        <v>57</v>
      </c>
      <c r="D418" s="5" t="s">
        <v>62</v>
      </c>
      <c r="E418" s="5" t="s">
        <v>70</v>
      </c>
      <c r="F418" s="26" t="n">
        <v>29.87</v>
      </c>
      <c r="G418" s="26" t="n">
        <v>26.59</v>
      </c>
      <c r="H418" s="30" t="n">
        <v>2.248</v>
      </c>
      <c r="I418" s="28" t="n">
        <f aca="false">H418*G418/3.6</f>
        <v>16.6039777777778</v>
      </c>
      <c r="J418" s="30" t="n">
        <v>4.15</v>
      </c>
      <c r="K418" s="30" t="n">
        <v>1.298</v>
      </c>
      <c r="L418" s="30" t="n">
        <v>1.528</v>
      </c>
      <c r="M418" s="30" t="n">
        <v>4.04</v>
      </c>
      <c r="N418" s="25" t="n">
        <v>0.486700068493831</v>
      </c>
      <c r="O418" s="17" t="n">
        <v>0</v>
      </c>
      <c r="P418" s="26" t="n">
        <v>0</v>
      </c>
      <c r="Q418" s="24" t="n">
        <f aca="false">IF(O418=1,1/(1+EXP(-(P418-Inputs!$B$12)/Inputs!$B$13)),0)</f>
        <v>0</v>
      </c>
      <c r="R418" s="24" t="n">
        <f aca="false">N418*O418</f>
        <v>0</v>
      </c>
      <c r="S418" s="12" t="n">
        <f aca="false">N418*Q418</f>
        <v>0</v>
      </c>
      <c r="T418" s="24" t="n">
        <f aca="false">N418^2</f>
        <v>0.2368769566719</v>
      </c>
    </row>
    <row r="419" customFormat="false" ht="15" hidden="false" customHeight="false" outlineLevel="0" collapsed="false">
      <c r="A419" s="5" t="s">
        <v>671</v>
      </c>
      <c r="B419" s="5" t="s">
        <v>179</v>
      </c>
      <c r="C419" s="5" t="s">
        <v>57</v>
      </c>
      <c r="D419" s="5" t="s">
        <v>62</v>
      </c>
      <c r="E419" s="5" t="s">
        <v>70</v>
      </c>
      <c r="F419" s="26" t="n">
        <v>23.64</v>
      </c>
      <c r="G419" s="26" t="n">
        <v>22.45</v>
      </c>
      <c r="H419" s="30" t="n">
        <v>2.057</v>
      </c>
      <c r="I419" s="28" t="n">
        <f aca="false">H419*G419/3.6</f>
        <v>12.8276805555556</v>
      </c>
      <c r="J419" s="30" t="n">
        <v>3.38</v>
      </c>
      <c r="K419" s="30" t="n">
        <v>2.127</v>
      </c>
      <c r="L419" s="30" t="n">
        <v>1.022</v>
      </c>
      <c r="M419" s="30" t="n">
        <v>5.18</v>
      </c>
      <c r="N419" s="25" t="n">
        <v>0.499314602646533</v>
      </c>
      <c r="O419" s="17" t="n">
        <v>0</v>
      </c>
      <c r="P419" s="26" t="n">
        <v>0</v>
      </c>
      <c r="Q419" s="24" t="n">
        <f aca="false">IF(O419=1,1/(1+EXP(-(P419-Inputs!$B$12)/Inputs!$B$13)),0)</f>
        <v>0</v>
      </c>
      <c r="R419" s="24" t="n">
        <f aca="false">N419*O419</f>
        <v>0</v>
      </c>
      <c r="S419" s="12" t="n">
        <f aca="false">N419*Q419</f>
        <v>0</v>
      </c>
      <c r="T419" s="24" t="n">
        <f aca="false">N419^2</f>
        <v>0.249315072416065</v>
      </c>
    </row>
    <row r="420" customFormat="false" ht="15" hidden="false" customHeight="false" outlineLevel="0" collapsed="false">
      <c r="A420" s="5" t="s">
        <v>672</v>
      </c>
      <c r="B420" s="5" t="s">
        <v>179</v>
      </c>
      <c r="C420" s="5" t="s">
        <v>57</v>
      </c>
      <c r="D420" s="5" t="s">
        <v>62</v>
      </c>
      <c r="E420" s="5" t="s">
        <v>70</v>
      </c>
      <c r="F420" s="26" t="n">
        <v>22.97</v>
      </c>
      <c r="G420" s="26" t="n">
        <v>22.96</v>
      </c>
      <c r="H420" s="30" t="n">
        <v>2.082</v>
      </c>
      <c r="I420" s="28" t="n">
        <f aca="false">H420*G420/3.6</f>
        <v>13.2785333333333</v>
      </c>
      <c r="J420" s="30" t="n">
        <v>5.45</v>
      </c>
      <c r="K420" s="30" t="n">
        <v>0.985</v>
      </c>
      <c r="L420" s="30" t="n">
        <v>1.029</v>
      </c>
      <c r="M420" s="30" t="n">
        <v>7.17</v>
      </c>
      <c r="N420" s="25" t="n">
        <v>1.30536935119876</v>
      </c>
      <c r="O420" s="17" t="n">
        <v>0</v>
      </c>
      <c r="P420" s="26" t="n">
        <v>0</v>
      </c>
      <c r="Q420" s="24" t="n">
        <f aca="false">IF(O420=1,1/(1+EXP(-(P420-Inputs!$B$12)/Inputs!$B$13)),0)</f>
        <v>0</v>
      </c>
      <c r="R420" s="24" t="n">
        <f aca="false">N420*O420</f>
        <v>0</v>
      </c>
      <c r="S420" s="12" t="n">
        <f aca="false">N420*Q420</f>
        <v>0</v>
      </c>
      <c r="T420" s="24" t="n">
        <f aca="false">N420^2</f>
        <v>1.70398914304907</v>
      </c>
    </row>
    <row r="421" customFormat="false" ht="15" hidden="false" customHeight="false" outlineLevel="0" collapsed="false">
      <c r="A421" s="5" t="s">
        <v>673</v>
      </c>
      <c r="B421" s="5" t="s">
        <v>179</v>
      </c>
      <c r="C421" s="5" t="s">
        <v>57</v>
      </c>
      <c r="D421" s="5" t="s">
        <v>62</v>
      </c>
      <c r="E421" s="5" t="s">
        <v>70</v>
      </c>
      <c r="F421" s="26" t="n">
        <v>22.43</v>
      </c>
      <c r="G421" s="26" t="n">
        <v>22.22</v>
      </c>
      <c r="H421" s="30" t="n">
        <v>2.119</v>
      </c>
      <c r="I421" s="28" t="n">
        <f aca="false">H421*G421/3.6</f>
        <v>13.0789388888889</v>
      </c>
      <c r="J421" s="30" t="n">
        <v>3.03</v>
      </c>
      <c r="K421" s="30" t="n">
        <v>0.811</v>
      </c>
      <c r="L421" s="30" t="n">
        <v>1.43</v>
      </c>
      <c r="M421" s="30" t="n">
        <v>7.38</v>
      </c>
      <c r="N421" s="25" t="n">
        <v>0.571825288004038</v>
      </c>
      <c r="O421" s="17" t="n">
        <v>0</v>
      </c>
      <c r="P421" s="26" t="n">
        <v>0</v>
      </c>
      <c r="Q421" s="24" t="n">
        <f aca="false">IF(O421=1,1/(1+EXP(-(P421-Inputs!$B$12)/Inputs!$B$13)),0)</f>
        <v>0</v>
      </c>
      <c r="R421" s="24" t="n">
        <f aca="false">N421*O421</f>
        <v>0</v>
      </c>
      <c r="S421" s="12" t="n">
        <f aca="false">N421*Q421</f>
        <v>0</v>
      </c>
      <c r="T421" s="24" t="n">
        <f aca="false">N421^2</f>
        <v>0.326984160000901</v>
      </c>
    </row>
    <row r="422" customFormat="false" ht="15" hidden="false" customHeight="false" outlineLevel="0" collapsed="false">
      <c r="A422" s="5" t="s">
        <v>674</v>
      </c>
      <c r="B422" s="5" t="s">
        <v>179</v>
      </c>
      <c r="C422" s="5" t="s">
        <v>57</v>
      </c>
      <c r="D422" s="5" t="s">
        <v>62</v>
      </c>
      <c r="E422" s="5" t="s">
        <v>70</v>
      </c>
      <c r="F422" s="26" t="n">
        <v>20.82</v>
      </c>
      <c r="G422" s="26" t="n">
        <v>20.22</v>
      </c>
      <c r="H422" s="30" t="n">
        <v>2.133</v>
      </c>
      <c r="I422" s="28" t="n">
        <f aca="false">H422*G422/3.6</f>
        <v>11.98035</v>
      </c>
      <c r="J422" s="30" t="n">
        <v>3.02</v>
      </c>
      <c r="K422" s="30" t="n">
        <v>1.022</v>
      </c>
      <c r="L422" s="30" t="n">
        <v>2.342</v>
      </c>
      <c r="M422" s="30" t="n">
        <v>7.27</v>
      </c>
      <c r="N422" s="25" t="n">
        <v>0.032819087956535</v>
      </c>
      <c r="O422" s="17" t="n">
        <v>0</v>
      </c>
      <c r="P422" s="26" t="n">
        <v>0</v>
      </c>
      <c r="Q422" s="24" t="n">
        <f aca="false">IF(O422=1,1/(1+EXP(-(P422-Inputs!$B$12)/Inputs!$B$13)),0)</f>
        <v>0</v>
      </c>
      <c r="R422" s="24" t="n">
        <f aca="false">N422*O422</f>
        <v>0</v>
      </c>
      <c r="S422" s="12" t="n">
        <f aca="false">N422*Q422</f>
        <v>0</v>
      </c>
      <c r="T422" s="24" t="n">
        <f aca="false">N422^2</f>
        <v>0.00107709253429878</v>
      </c>
    </row>
    <row r="423" customFormat="false" ht="15" hidden="false" customHeight="false" outlineLevel="0" collapsed="false">
      <c r="A423" s="5" t="s">
        <v>675</v>
      </c>
      <c r="B423" s="5" t="s">
        <v>179</v>
      </c>
      <c r="C423" s="5" t="s">
        <v>57</v>
      </c>
      <c r="D423" s="5" t="s">
        <v>62</v>
      </c>
      <c r="E423" s="5" t="s">
        <v>70</v>
      </c>
      <c r="F423" s="26" t="n">
        <v>32.44</v>
      </c>
      <c r="G423" s="26" t="n">
        <v>34.15</v>
      </c>
      <c r="H423" s="30" t="n">
        <v>2.202</v>
      </c>
      <c r="I423" s="28" t="n">
        <f aca="false">H423*G423/3.6</f>
        <v>20.8884166666667</v>
      </c>
      <c r="J423" s="30" t="n">
        <v>4.96</v>
      </c>
      <c r="K423" s="30" t="n">
        <v>1.629</v>
      </c>
      <c r="L423" s="30" t="n">
        <v>1.109</v>
      </c>
      <c r="M423" s="30" t="n">
        <v>6.28</v>
      </c>
      <c r="N423" s="25" t="n">
        <v>0.446168634540982</v>
      </c>
      <c r="O423" s="17" t="n">
        <v>0</v>
      </c>
      <c r="P423" s="26" t="n">
        <v>0</v>
      </c>
      <c r="Q423" s="24" t="n">
        <f aca="false">IF(O423=1,1/(1+EXP(-(P423-Inputs!$B$12)/Inputs!$B$13)),0)</f>
        <v>0</v>
      </c>
      <c r="R423" s="24" t="n">
        <f aca="false">N423*O423</f>
        <v>0</v>
      </c>
      <c r="S423" s="12" t="n">
        <f aca="false">N423*Q423</f>
        <v>0</v>
      </c>
      <c r="T423" s="24" t="n">
        <f aca="false">N423^2</f>
        <v>0.199066450448165</v>
      </c>
    </row>
    <row r="424" customFormat="false" ht="15" hidden="false" customHeight="false" outlineLevel="0" collapsed="false">
      <c r="A424" s="5" t="s">
        <v>676</v>
      </c>
      <c r="B424" s="5" t="s">
        <v>179</v>
      </c>
      <c r="C424" s="5" t="s">
        <v>57</v>
      </c>
      <c r="D424" s="5" t="s">
        <v>62</v>
      </c>
      <c r="E424" s="5" t="s">
        <v>70</v>
      </c>
      <c r="F424" s="26" t="n">
        <v>20.62</v>
      </c>
      <c r="G424" s="26" t="n">
        <v>25.88</v>
      </c>
      <c r="H424" s="30" t="n">
        <v>2.288</v>
      </c>
      <c r="I424" s="28" t="n">
        <f aca="false">H424*G424/3.6</f>
        <v>16.4481777777778</v>
      </c>
      <c r="J424" s="30" t="n">
        <v>3.71</v>
      </c>
      <c r="K424" s="30" t="n">
        <v>1.396</v>
      </c>
      <c r="L424" s="30" t="n">
        <v>1.239</v>
      </c>
      <c r="M424" s="30" t="n">
        <v>6.57</v>
      </c>
      <c r="N424" s="25" t="n">
        <v>0.479692341962613</v>
      </c>
      <c r="O424" s="17" t="n">
        <v>0</v>
      </c>
      <c r="P424" s="26" t="n">
        <v>0</v>
      </c>
      <c r="Q424" s="24" t="n">
        <f aca="false">IF(O424=1,1/(1+EXP(-(P424-Inputs!$B$12)/Inputs!$B$13)),0)</f>
        <v>0</v>
      </c>
      <c r="R424" s="24" t="n">
        <f aca="false">N424*O424</f>
        <v>0</v>
      </c>
      <c r="S424" s="12" t="n">
        <f aca="false">N424*Q424</f>
        <v>0</v>
      </c>
      <c r="T424" s="24" t="n">
        <f aca="false">N424^2</f>
        <v>0.230104742937576</v>
      </c>
    </row>
    <row r="425" customFormat="false" ht="15" hidden="false" customHeight="false" outlineLevel="0" collapsed="false">
      <c r="A425" s="5" t="s">
        <v>677</v>
      </c>
      <c r="B425" s="5" t="s">
        <v>179</v>
      </c>
      <c r="C425" s="5" t="s">
        <v>57</v>
      </c>
      <c r="D425" s="5" t="s">
        <v>62</v>
      </c>
      <c r="E425" s="5" t="s">
        <v>70</v>
      </c>
      <c r="F425" s="26" t="n">
        <v>21.87</v>
      </c>
      <c r="G425" s="26" t="n">
        <v>20.08</v>
      </c>
      <c r="H425" s="30" t="n">
        <v>2.277</v>
      </c>
      <c r="I425" s="28" t="n">
        <f aca="false">H425*G425/3.6</f>
        <v>12.7006</v>
      </c>
      <c r="J425" s="30" t="n">
        <v>5.6</v>
      </c>
      <c r="K425" s="30" t="n">
        <v>1.972</v>
      </c>
      <c r="L425" s="30" t="n">
        <v>2.06</v>
      </c>
      <c r="M425" s="30" t="n">
        <v>4.97</v>
      </c>
      <c r="N425" s="25" t="n">
        <v>0.0439822331150825</v>
      </c>
      <c r="O425" s="17" t="n">
        <v>0</v>
      </c>
      <c r="P425" s="26" t="n">
        <v>0</v>
      </c>
      <c r="Q425" s="24" t="n">
        <f aca="false">IF(O425=1,1/(1+EXP(-(P425-Inputs!$B$12)/Inputs!$B$13)),0)</f>
        <v>0</v>
      </c>
      <c r="R425" s="24" t="n">
        <f aca="false">N425*O425</f>
        <v>0</v>
      </c>
      <c r="S425" s="12" t="n">
        <f aca="false">N425*Q425</f>
        <v>0</v>
      </c>
      <c r="T425" s="24" t="n">
        <f aca="false">N425^2</f>
        <v>0.00193443682978946</v>
      </c>
    </row>
    <row r="426" customFormat="false" ht="15" hidden="false" customHeight="false" outlineLevel="0" collapsed="false">
      <c r="A426" s="5" t="s">
        <v>678</v>
      </c>
      <c r="B426" s="5" t="s">
        <v>180</v>
      </c>
      <c r="C426" s="5" t="s">
        <v>57</v>
      </c>
      <c r="D426" s="5" t="s">
        <v>62</v>
      </c>
      <c r="E426" s="5" t="s">
        <v>71</v>
      </c>
      <c r="F426" s="26" t="n">
        <v>22.99</v>
      </c>
      <c r="G426" s="26" t="n">
        <v>22.13</v>
      </c>
      <c r="H426" s="30" t="n">
        <v>1.677</v>
      </c>
      <c r="I426" s="28" t="n">
        <f aca="false">H426*G426/3.6</f>
        <v>10.3088916666667</v>
      </c>
      <c r="J426" s="30" t="n">
        <v>3.19</v>
      </c>
      <c r="K426" s="30" t="n">
        <v>1.469</v>
      </c>
      <c r="L426" s="30" t="n">
        <v>1.326</v>
      </c>
      <c r="M426" s="30" t="n">
        <v>4.58</v>
      </c>
      <c r="N426" s="25" t="n">
        <v>0.566535441043729</v>
      </c>
      <c r="O426" s="17" t="n">
        <v>0</v>
      </c>
      <c r="P426" s="26" t="n">
        <v>0</v>
      </c>
      <c r="Q426" s="24" t="n">
        <f aca="false">IF(O426=1,1/(1+EXP(-(P426-Inputs!$B$12)/Inputs!$B$13)),0)</f>
        <v>0</v>
      </c>
      <c r="R426" s="24" t="n">
        <f aca="false">N426*O426</f>
        <v>0</v>
      </c>
      <c r="S426" s="12" t="n">
        <f aca="false">N426*Q426</f>
        <v>0</v>
      </c>
      <c r="T426" s="24" t="n">
        <f aca="false">N426^2</f>
        <v>0.320962405958613</v>
      </c>
    </row>
    <row r="427" customFormat="false" ht="15" hidden="false" customHeight="false" outlineLevel="0" collapsed="false">
      <c r="A427" s="5" t="s">
        <v>679</v>
      </c>
      <c r="B427" s="5" t="s">
        <v>180</v>
      </c>
      <c r="C427" s="5" t="s">
        <v>57</v>
      </c>
      <c r="D427" s="5" t="s">
        <v>62</v>
      </c>
      <c r="E427" s="5" t="s">
        <v>71</v>
      </c>
      <c r="F427" s="26" t="n">
        <v>27</v>
      </c>
      <c r="G427" s="26" t="n">
        <v>25.31</v>
      </c>
      <c r="H427" s="30" t="n">
        <v>1.582</v>
      </c>
      <c r="I427" s="28" t="n">
        <f aca="false">H427*G427/3.6</f>
        <v>11.1223388888889</v>
      </c>
      <c r="J427" s="30" t="n">
        <v>2.78</v>
      </c>
      <c r="K427" s="30" t="n">
        <v>0.947</v>
      </c>
      <c r="L427" s="30" t="n">
        <v>1.578</v>
      </c>
      <c r="M427" s="30" t="n">
        <v>5.71</v>
      </c>
      <c r="N427" s="25" t="n">
        <v>0.46797505787319</v>
      </c>
      <c r="O427" s="17" t="n">
        <v>0</v>
      </c>
      <c r="P427" s="26" t="n">
        <v>0</v>
      </c>
      <c r="Q427" s="24" t="n">
        <f aca="false">IF(O427=1,1/(1+EXP(-(P427-Inputs!$B$12)/Inputs!$B$13)),0)</f>
        <v>0</v>
      </c>
      <c r="R427" s="24" t="n">
        <f aca="false">N427*O427</f>
        <v>0</v>
      </c>
      <c r="S427" s="12" t="n">
        <f aca="false">N427*Q427</f>
        <v>0</v>
      </c>
      <c r="T427" s="24" t="n">
        <f aca="false">N427^2</f>
        <v>0.219000654791416</v>
      </c>
    </row>
    <row r="428" customFormat="false" ht="15" hidden="false" customHeight="false" outlineLevel="0" collapsed="false">
      <c r="A428" s="5" t="s">
        <v>680</v>
      </c>
      <c r="B428" s="5" t="s">
        <v>180</v>
      </c>
      <c r="C428" s="5" t="s">
        <v>57</v>
      </c>
      <c r="D428" s="5" t="s">
        <v>62</v>
      </c>
      <c r="E428" s="5" t="s">
        <v>71</v>
      </c>
      <c r="F428" s="26" t="n">
        <v>28.03</v>
      </c>
      <c r="G428" s="26" t="n">
        <v>27.36</v>
      </c>
      <c r="H428" s="30" t="n">
        <v>1.704</v>
      </c>
      <c r="I428" s="28" t="n">
        <f aca="false">H428*G428/3.6</f>
        <v>12.9504</v>
      </c>
      <c r="J428" s="30" t="n">
        <v>3.97</v>
      </c>
      <c r="K428" s="30" t="n">
        <v>1.068</v>
      </c>
      <c r="L428" s="30" t="n">
        <v>2.194</v>
      </c>
      <c r="M428" s="30" t="n">
        <v>3.72</v>
      </c>
      <c r="N428" s="25" t="n">
        <v>0.213396276615122</v>
      </c>
      <c r="O428" s="17" t="n">
        <v>0</v>
      </c>
      <c r="P428" s="26" t="n">
        <v>0</v>
      </c>
      <c r="Q428" s="24" t="n">
        <f aca="false">IF(O428=1,1/(1+EXP(-(P428-Inputs!$B$12)/Inputs!$B$13)),0)</f>
        <v>0</v>
      </c>
      <c r="R428" s="24" t="n">
        <f aca="false">N428*O428</f>
        <v>0</v>
      </c>
      <c r="S428" s="12" t="n">
        <f aca="false">N428*Q428</f>
        <v>0</v>
      </c>
      <c r="T428" s="24" t="n">
        <f aca="false">N428^2</f>
        <v>0.0455379708731976</v>
      </c>
    </row>
    <row r="429" customFormat="false" ht="15" hidden="false" customHeight="false" outlineLevel="0" collapsed="false">
      <c r="A429" s="5" t="s">
        <v>681</v>
      </c>
      <c r="B429" s="5" t="s">
        <v>180</v>
      </c>
      <c r="C429" s="5" t="s">
        <v>57</v>
      </c>
      <c r="D429" s="5" t="s">
        <v>62</v>
      </c>
      <c r="E429" s="5" t="s">
        <v>71</v>
      </c>
      <c r="F429" s="26" t="n">
        <v>23.05</v>
      </c>
      <c r="G429" s="26" t="n">
        <v>23.36</v>
      </c>
      <c r="H429" s="30" t="n">
        <v>1.596</v>
      </c>
      <c r="I429" s="28" t="n">
        <f aca="false">H429*G429/3.6</f>
        <v>10.3562666666667</v>
      </c>
      <c r="J429" s="30" t="n">
        <v>4.38</v>
      </c>
      <c r="K429" s="30" t="n">
        <v>2.184</v>
      </c>
      <c r="L429" s="30" t="n">
        <v>1.271</v>
      </c>
      <c r="M429" s="30" t="n">
        <v>7.59</v>
      </c>
      <c r="N429" s="25" t="n">
        <v>0.116376973486957</v>
      </c>
      <c r="O429" s="17" t="n">
        <v>0</v>
      </c>
      <c r="P429" s="26" t="n">
        <v>0</v>
      </c>
      <c r="Q429" s="24" t="n">
        <f aca="false">IF(O429=1,1/(1+EXP(-(P429-Inputs!$B$12)/Inputs!$B$13)),0)</f>
        <v>0</v>
      </c>
      <c r="R429" s="24" t="n">
        <f aca="false">N429*O429</f>
        <v>0</v>
      </c>
      <c r="S429" s="12" t="n">
        <f aca="false">N429*Q429</f>
        <v>0</v>
      </c>
      <c r="T429" s="24" t="n">
        <f aca="false">N429^2</f>
        <v>0.0135435999579838</v>
      </c>
    </row>
    <row r="430" customFormat="false" ht="15" hidden="false" customHeight="false" outlineLevel="0" collapsed="false">
      <c r="A430" s="5" t="s">
        <v>682</v>
      </c>
      <c r="B430" s="5" t="s">
        <v>180</v>
      </c>
      <c r="C430" s="5" t="s">
        <v>57</v>
      </c>
      <c r="D430" s="5" t="s">
        <v>62</v>
      </c>
      <c r="E430" s="5" t="s">
        <v>71</v>
      </c>
      <c r="F430" s="26" t="n">
        <v>24.52</v>
      </c>
      <c r="G430" s="26" t="n">
        <v>24.46</v>
      </c>
      <c r="H430" s="30" t="n">
        <v>1.647</v>
      </c>
      <c r="I430" s="28" t="n">
        <f aca="false">H430*G430/3.6</f>
        <v>11.19045</v>
      </c>
      <c r="J430" s="30" t="n">
        <v>3.4</v>
      </c>
      <c r="K430" s="30" t="n">
        <v>1.493</v>
      </c>
      <c r="L430" s="30" t="n">
        <v>4.134</v>
      </c>
      <c r="M430" s="30" t="n">
        <v>3.7</v>
      </c>
      <c r="N430" s="25" t="n">
        <v>0.00214646197978103</v>
      </c>
      <c r="O430" s="17" t="n">
        <v>1</v>
      </c>
      <c r="P430" s="26" t="n">
        <v>18.29</v>
      </c>
      <c r="Q430" s="24" t="n">
        <f aca="false">IF(O430=1,1/(1+EXP(-(P430-Inputs!$B$12)/Inputs!$B$13)),0)</f>
        <v>0.0215474611165914</v>
      </c>
      <c r="R430" s="24" t="n">
        <f aca="false">N430*O430</f>
        <v>0.00214646197978103</v>
      </c>
      <c r="S430" s="12" t="n">
        <f aca="false">N430*Q430</f>
        <v>4.62508060475735E-005</v>
      </c>
      <c r="T430" s="24" t="n">
        <f aca="false">N430^2</f>
        <v>4.60729903064548E-006</v>
      </c>
    </row>
    <row r="431" customFormat="false" ht="15" hidden="false" customHeight="false" outlineLevel="0" collapsed="false">
      <c r="A431" s="5" t="s">
        <v>683</v>
      </c>
      <c r="B431" s="5" t="s">
        <v>180</v>
      </c>
      <c r="C431" s="5" t="s">
        <v>57</v>
      </c>
      <c r="D431" s="5" t="s">
        <v>62</v>
      </c>
      <c r="E431" s="5" t="s">
        <v>71</v>
      </c>
      <c r="F431" s="26" t="n">
        <v>31.51</v>
      </c>
      <c r="G431" s="26" t="n">
        <v>31.76</v>
      </c>
      <c r="H431" s="30" t="n">
        <v>1.648</v>
      </c>
      <c r="I431" s="28" t="n">
        <f aca="false">H431*G431/3.6</f>
        <v>14.5390222222222</v>
      </c>
      <c r="J431" s="30" t="n">
        <v>3.52</v>
      </c>
      <c r="K431" s="30" t="n">
        <v>2</v>
      </c>
      <c r="L431" s="30" t="n">
        <v>1.061</v>
      </c>
      <c r="M431" s="30" t="n">
        <v>7.95</v>
      </c>
      <c r="N431" s="25" t="n">
        <v>0.163469434760131</v>
      </c>
      <c r="O431" s="17" t="n">
        <v>0</v>
      </c>
      <c r="P431" s="26" t="n">
        <v>0</v>
      </c>
      <c r="Q431" s="24" t="n">
        <f aca="false">IF(O431=1,1/(1+EXP(-(P431-Inputs!$B$12)/Inputs!$B$13)),0)</f>
        <v>0</v>
      </c>
      <c r="R431" s="24" t="n">
        <f aca="false">N431*O431</f>
        <v>0</v>
      </c>
      <c r="S431" s="12" t="n">
        <f aca="false">N431*Q431</f>
        <v>0</v>
      </c>
      <c r="T431" s="24" t="n">
        <f aca="false">N431^2</f>
        <v>0.0267222561007968</v>
      </c>
    </row>
    <row r="432" customFormat="false" ht="15" hidden="false" customHeight="false" outlineLevel="0" collapsed="false">
      <c r="A432" s="5" t="s">
        <v>684</v>
      </c>
      <c r="B432" s="5" t="s">
        <v>180</v>
      </c>
      <c r="C432" s="5" t="s">
        <v>57</v>
      </c>
      <c r="D432" s="5" t="s">
        <v>62</v>
      </c>
      <c r="E432" s="5" t="s">
        <v>71</v>
      </c>
      <c r="F432" s="26" t="n">
        <v>34.98</v>
      </c>
      <c r="G432" s="26" t="n">
        <v>32.37</v>
      </c>
      <c r="H432" s="30" t="n">
        <v>1.809</v>
      </c>
      <c r="I432" s="28" t="n">
        <f aca="false">H432*G432/3.6</f>
        <v>16.265925</v>
      </c>
      <c r="J432" s="30" t="n">
        <v>2.51</v>
      </c>
      <c r="K432" s="30" t="n">
        <v>2.012</v>
      </c>
      <c r="L432" s="30" t="n">
        <v>1.982</v>
      </c>
      <c r="M432" s="30" t="n">
        <v>4.42</v>
      </c>
      <c r="N432" s="25" t="n">
        <v>0.0641084135934006</v>
      </c>
      <c r="O432" s="17" t="n">
        <v>0</v>
      </c>
      <c r="P432" s="26" t="n">
        <v>0</v>
      </c>
      <c r="Q432" s="24" t="n">
        <f aca="false">IF(O432=1,1/(1+EXP(-(P432-Inputs!$B$12)/Inputs!$B$13)),0)</f>
        <v>0</v>
      </c>
      <c r="R432" s="24" t="n">
        <f aca="false">N432*O432</f>
        <v>0</v>
      </c>
      <c r="S432" s="12" t="n">
        <f aca="false">N432*Q432</f>
        <v>0</v>
      </c>
      <c r="T432" s="24" t="n">
        <f aca="false">N432^2</f>
        <v>0.00410988869346251</v>
      </c>
    </row>
    <row r="433" customFormat="false" ht="15" hidden="false" customHeight="false" outlineLevel="0" collapsed="false">
      <c r="A433" s="5" t="s">
        <v>685</v>
      </c>
      <c r="B433" s="5" t="s">
        <v>180</v>
      </c>
      <c r="C433" s="5" t="s">
        <v>57</v>
      </c>
      <c r="D433" s="5" t="s">
        <v>62</v>
      </c>
      <c r="E433" s="5" t="s">
        <v>71</v>
      </c>
      <c r="F433" s="26" t="n">
        <v>29.54</v>
      </c>
      <c r="G433" s="26" t="n">
        <v>30.03</v>
      </c>
      <c r="H433" s="30" t="n">
        <v>1.757</v>
      </c>
      <c r="I433" s="28" t="n">
        <f aca="false">H433*G433/3.6</f>
        <v>14.6563083333333</v>
      </c>
      <c r="J433" s="30" t="n">
        <v>4.97</v>
      </c>
      <c r="K433" s="30" t="n">
        <v>1.292</v>
      </c>
      <c r="L433" s="30" t="n">
        <v>1.355</v>
      </c>
      <c r="M433" s="30" t="n">
        <v>7.24</v>
      </c>
      <c r="N433" s="25" t="n">
        <v>0.359659624290917</v>
      </c>
      <c r="O433" s="17" t="n">
        <v>0</v>
      </c>
      <c r="P433" s="26" t="n">
        <v>0</v>
      </c>
      <c r="Q433" s="24" t="n">
        <f aca="false">IF(O433=1,1/(1+EXP(-(P433-Inputs!$B$12)/Inputs!$B$13)),0)</f>
        <v>0</v>
      </c>
      <c r="R433" s="24" t="n">
        <f aca="false">N433*O433</f>
        <v>0</v>
      </c>
      <c r="S433" s="12" t="n">
        <f aca="false">N433*Q433</f>
        <v>0</v>
      </c>
      <c r="T433" s="24" t="n">
        <f aca="false">N433^2</f>
        <v>0.129355045345084</v>
      </c>
    </row>
    <row r="434" customFormat="false" ht="15" hidden="false" customHeight="false" outlineLevel="0" collapsed="false">
      <c r="A434" s="5" t="s">
        <v>686</v>
      </c>
      <c r="B434" s="5" t="s">
        <v>180</v>
      </c>
      <c r="C434" s="5" t="s">
        <v>57</v>
      </c>
      <c r="D434" s="5" t="s">
        <v>62</v>
      </c>
      <c r="E434" s="5" t="s">
        <v>71</v>
      </c>
      <c r="F434" s="26" t="n">
        <v>29.25</v>
      </c>
      <c r="G434" s="26" t="n">
        <v>28.7</v>
      </c>
      <c r="H434" s="30" t="n">
        <v>1.893</v>
      </c>
      <c r="I434" s="28" t="n">
        <f aca="false">H434*G434/3.6</f>
        <v>15.0914166666667</v>
      </c>
      <c r="J434" s="30" t="n">
        <v>5.58</v>
      </c>
      <c r="K434" s="30" t="n">
        <v>2.565</v>
      </c>
      <c r="L434" s="30" t="n">
        <v>1.024</v>
      </c>
      <c r="M434" s="30" t="n">
        <v>4.19</v>
      </c>
      <c r="N434" s="25" t="n">
        <v>0.779258958847157</v>
      </c>
      <c r="O434" s="17" t="n">
        <v>0</v>
      </c>
      <c r="P434" s="26" t="n">
        <v>0</v>
      </c>
      <c r="Q434" s="24" t="n">
        <f aca="false">IF(O434=1,1/(1+EXP(-(P434-Inputs!$B$12)/Inputs!$B$13)),0)</f>
        <v>0</v>
      </c>
      <c r="R434" s="24" t="n">
        <f aca="false">N434*O434</f>
        <v>0</v>
      </c>
      <c r="S434" s="12" t="n">
        <f aca="false">N434*Q434</f>
        <v>0</v>
      </c>
      <c r="T434" s="24" t="n">
        <f aca="false">N434^2</f>
        <v>0.607244524943555</v>
      </c>
    </row>
    <row r="435" customFormat="false" ht="15" hidden="false" customHeight="false" outlineLevel="0" collapsed="false">
      <c r="A435" s="5" t="s">
        <v>687</v>
      </c>
      <c r="B435" s="5" t="s">
        <v>180</v>
      </c>
      <c r="C435" s="5" t="s">
        <v>57</v>
      </c>
      <c r="D435" s="5" t="s">
        <v>62</v>
      </c>
      <c r="E435" s="5" t="s">
        <v>71</v>
      </c>
      <c r="F435" s="26" t="n">
        <v>26.63</v>
      </c>
      <c r="G435" s="26" t="n">
        <v>25.28</v>
      </c>
      <c r="H435" s="30" t="n">
        <v>1.686</v>
      </c>
      <c r="I435" s="28" t="n">
        <f aca="false">H435*G435/3.6</f>
        <v>11.8394666666667</v>
      </c>
      <c r="J435" s="30" t="n">
        <v>3.8</v>
      </c>
      <c r="K435" s="30" t="n">
        <v>1.433</v>
      </c>
      <c r="L435" s="30" t="n">
        <v>1.877</v>
      </c>
      <c r="M435" s="30" t="n">
        <v>6.08</v>
      </c>
      <c r="N435" s="25" t="n">
        <v>0.0948134395445311</v>
      </c>
      <c r="O435" s="17" t="n">
        <v>0</v>
      </c>
      <c r="P435" s="26" t="n">
        <v>0</v>
      </c>
      <c r="Q435" s="24" t="n">
        <f aca="false">IF(O435=1,1/(1+EXP(-(P435-Inputs!$B$12)/Inputs!$B$13)),0)</f>
        <v>0</v>
      </c>
      <c r="R435" s="24" t="n">
        <f aca="false">N435*O435</f>
        <v>0</v>
      </c>
      <c r="S435" s="12" t="n">
        <f aca="false">N435*Q435</f>
        <v>0</v>
      </c>
      <c r="T435" s="24" t="n">
        <f aca="false">N435^2</f>
        <v>0.00898958831826446</v>
      </c>
    </row>
    <row r="436" customFormat="false" ht="15" hidden="false" customHeight="false" outlineLevel="0" collapsed="false">
      <c r="A436" s="5" t="s">
        <v>688</v>
      </c>
      <c r="B436" s="5" t="s">
        <v>181</v>
      </c>
      <c r="C436" s="5" t="s">
        <v>57</v>
      </c>
      <c r="D436" s="5" t="s">
        <v>62</v>
      </c>
      <c r="E436" s="5" t="s">
        <v>72</v>
      </c>
      <c r="F436" s="26" t="n">
        <v>26.22</v>
      </c>
      <c r="G436" s="26" t="n">
        <v>27.65</v>
      </c>
      <c r="H436" s="30" t="n">
        <v>1.055</v>
      </c>
      <c r="I436" s="28" t="n">
        <f aca="false">H436*G436/3.6</f>
        <v>8.10298611111111</v>
      </c>
      <c r="J436" s="30" t="n">
        <v>3.33</v>
      </c>
      <c r="K436" s="30" t="n">
        <v>2.681</v>
      </c>
      <c r="L436" s="30" t="n">
        <v>1.014</v>
      </c>
      <c r="M436" s="30" t="n">
        <v>6.24</v>
      </c>
      <c r="N436" s="25" t="n">
        <v>0.235905104686254</v>
      </c>
      <c r="O436" s="17" t="n">
        <v>0</v>
      </c>
      <c r="P436" s="26" t="n">
        <v>0</v>
      </c>
      <c r="Q436" s="24" t="n">
        <f aca="false">IF(O436=1,1/(1+EXP(-(P436-Inputs!$B$12)/Inputs!$B$13)),0)</f>
        <v>0</v>
      </c>
      <c r="R436" s="24" t="n">
        <f aca="false">N436*O436</f>
        <v>0</v>
      </c>
      <c r="S436" s="12" t="n">
        <f aca="false">N436*Q436</f>
        <v>0</v>
      </c>
      <c r="T436" s="24" t="n">
        <f aca="false">N436^2</f>
        <v>0.0556512184170324</v>
      </c>
    </row>
    <row r="437" customFormat="false" ht="15" hidden="false" customHeight="false" outlineLevel="0" collapsed="false">
      <c r="A437" s="5" t="s">
        <v>689</v>
      </c>
      <c r="B437" s="5" t="s">
        <v>181</v>
      </c>
      <c r="C437" s="5" t="s">
        <v>57</v>
      </c>
      <c r="D437" s="5" t="s">
        <v>62</v>
      </c>
      <c r="E437" s="5" t="s">
        <v>72</v>
      </c>
      <c r="F437" s="26" t="n">
        <v>31.9</v>
      </c>
      <c r="G437" s="26" t="n">
        <v>30.94</v>
      </c>
      <c r="H437" s="30" t="n">
        <v>1.326</v>
      </c>
      <c r="I437" s="28" t="n">
        <f aca="false">H437*G437/3.6</f>
        <v>11.3962333333333</v>
      </c>
      <c r="J437" s="30" t="n">
        <v>3.09</v>
      </c>
      <c r="K437" s="30" t="n">
        <v>1.132</v>
      </c>
      <c r="L437" s="30" t="n">
        <v>0.772</v>
      </c>
      <c r="M437" s="30" t="n">
        <v>7.83</v>
      </c>
      <c r="N437" s="25" t="n">
        <v>1.79840839084306</v>
      </c>
      <c r="O437" s="17" t="n">
        <v>0</v>
      </c>
      <c r="P437" s="26" t="n">
        <v>0</v>
      </c>
      <c r="Q437" s="24" t="n">
        <f aca="false">IF(O437=1,1/(1+EXP(-(P437-Inputs!$B$12)/Inputs!$B$13)),0)</f>
        <v>0</v>
      </c>
      <c r="R437" s="24" t="n">
        <f aca="false">N437*O437</f>
        <v>0</v>
      </c>
      <c r="S437" s="12" t="n">
        <f aca="false">N437*Q437</f>
        <v>0</v>
      </c>
      <c r="T437" s="24" t="n">
        <f aca="false">N437^2</f>
        <v>3.23427274025471</v>
      </c>
    </row>
    <row r="438" customFormat="false" ht="15" hidden="false" customHeight="false" outlineLevel="0" collapsed="false">
      <c r="A438" s="5" t="s">
        <v>690</v>
      </c>
      <c r="B438" s="5" t="s">
        <v>181</v>
      </c>
      <c r="C438" s="5" t="s">
        <v>57</v>
      </c>
      <c r="D438" s="5" t="s">
        <v>62</v>
      </c>
      <c r="E438" s="5" t="s">
        <v>72</v>
      </c>
      <c r="F438" s="26" t="n">
        <v>21.85</v>
      </c>
      <c r="G438" s="26" t="n">
        <v>20.96</v>
      </c>
      <c r="H438" s="30" t="n">
        <v>1.067</v>
      </c>
      <c r="I438" s="28" t="n">
        <f aca="false">H438*G438/3.6</f>
        <v>6.21231111111111</v>
      </c>
      <c r="J438" s="30" t="n">
        <v>3.14</v>
      </c>
      <c r="K438" s="30" t="n">
        <v>2.458</v>
      </c>
      <c r="L438" s="30" t="n">
        <v>0.995</v>
      </c>
      <c r="M438" s="30" t="n">
        <v>7.47</v>
      </c>
      <c r="N438" s="25" t="n">
        <v>0.211809852443287</v>
      </c>
      <c r="O438" s="17" t="n">
        <v>0</v>
      </c>
      <c r="P438" s="26" t="n">
        <v>0</v>
      </c>
      <c r="Q438" s="24" t="n">
        <f aca="false">IF(O438=1,1/(1+EXP(-(P438-Inputs!$B$12)/Inputs!$B$13)),0)</f>
        <v>0</v>
      </c>
      <c r="R438" s="24" t="n">
        <f aca="false">N438*O438</f>
        <v>0</v>
      </c>
      <c r="S438" s="12" t="n">
        <f aca="false">N438*Q438</f>
        <v>0</v>
      </c>
      <c r="T438" s="24" t="n">
        <f aca="false">N438^2</f>
        <v>0.0448634135920468</v>
      </c>
    </row>
    <row r="439" customFormat="false" ht="15" hidden="false" customHeight="false" outlineLevel="0" collapsed="false">
      <c r="A439" s="5" t="s">
        <v>691</v>
      </c>
      <c r="B439" s="5" t="s">
        <v>181</v>
      </c>
      <c r="C439" s="5" t="s">
        <v>57</v>
      </c>
      <c r="D439" s="5" t="s">
        <v>62</v>
      </c>
      <c r="E439" s="5" t="s">
        <v>72</v>
      </c>
      <c r="F439" s="26" t="n">
        <v>30.95</v>
      </c>
      <c r="G439" s="26" t="n">
        <v>32.85</v>
      </c>
      <c r="H439" s="30" t="n">
        <v>1.162</v>
      </c>
      <c r="I439" s="28" t="n">
        <f aca="false">H439*G439/3.6</f>
        <v>10.60325</v>
      </c>
      <c r="J439" s="30" t="n">
        <v>5.66</v>
      </c>
      <c r="K439" s="30" t="n">
        <v>4.018</v>
      </c>
      <c r="L439" s="30" t="n">
        <v>1.071</v>
      </c>
      <c r="M439" s="30" t="n">
        <v>6.48</v>
      </c>
      <c r="N439" s="25" t="n">
        <v>0.0839722789932831</v>
      </c>
      <c r="O439" s="17" t="n">
        <v>0</v>
      </c>
      <c r="P439" s="26" t="n">
        <v>0</v>
      </c>
      <c r="Q439" s="24" t="n">
        <f aca="false">IF(O439=1,1/(1+EXP(-(P439-Inputs!$B$12)/Inputs!$B$13)),0)</f>
        <v>0</v>
      </c>
      <c r="R439" s="24" t="n">
        <f aca="false">N439*O439</f>
        <v>0</v>
      </c>
      <c r="S439" s="12" t="n">
        <f aca="false">N439*Q439</f>
        <v>0</v>
      </c>
      <c r="T439" s="24" t="n">
        <f aca="false">N439^2</f>
        <v>0.00705134363932577</v>
      </c>
    </row>
    <row r="440" customFormat="false" ht="15" hidden="false" customHeight="false" outlineLevel="0" collapsed="false">
      <c r="A440" s="5" t="s">
        <v>692</v>
      </c>
      <c r="B440" s="5" t="s">
        <v>181</v>
      </c>
      <c r="C440" s="5" t="s">
        <v>57</v>
      </c>
      <c r="D440" s="5" t="s">
        <v>62</v>
      </c>
      <c r="E440" s="5" t="s">
        <v>72</v>
      </c>
      <c r="F440" s="26" t="n">
        <v>26.22</v>
      </c>
      <c r="G440" s="26" t="n">
        <v>25.69</v>
      </c>
      <c r="H440" s="30" t="n">
        <v>1.222</v>
      </c>
      <c r="I440" s="28" t="n">
        <f aca="false">H440*G440/3.6</f>
        <v>8.72032777777778</v>
      </c>
      <c r="J440" s="30" t="n">
        <v>5.9</v>
      </c>
      <c r="K440" s="30" t="n">
        <v>0.928</v>
      </c>
      <c r="L440" s="30" t="n">
        <v>1.428</v>
      </c>
      <c r="M440" s="30" t="n">
        <v>5.74</v>
      </c>
      <c r="N440" s="25" t="n">
        <v>0.821185233274788</v>
      </c>
      <c r="O440" s="17" t="n">
        <v>0</v>
      </c>
      <c r="P440" s="26" t="n">
        <v>0</v>
      </c>
      <c r="Q440" s="24" t="n">
        <f aca="false">IF(O440=1,1/(1+EXP(-(P440-Inputs!$B$12)/Inputs!$B$13)),0)</f>
        <v>0</v>
      </c>
      <c r="R440" s="24" t="n">
        <f aca="false">N440*O440</f>
        <v>0</v>
      </c>
      <c r="S440" s="12" t="n">
        <f aca="false">N440*Q440</f>
        <v>0</v>
      </c>
      <c r="T440" s="24" t="n">
        <f aca="false">N440^2</f>
        <v>0.674345187348568</v>
      </c>
    </row>
    <row r="441" customFormat="false" ht="15" hidden="false" customHeight="false" outlineLevel="0" collapsed="false">
      <c r="A441" s="5" t="s">
        <v>693</v>
      </c>
      <c r="B441" s="5" t="s">
        <v>181</v>
      </c>
      <c r="C441" s="5" t="s">
        <v>57</v>
      </c>
      <c r="D441" s="5" t="s">
        <v>62</v>
      </c>
      <c r="E441" s="5" t="s">
        <v>72</v>
      </c>
      <c r="F441" s="26" t="n">
        <v>27.36</v>
      </c>
      <c r="G441" s="26" t="n">
        <v>28.4</v>
      </c>
      <c r="H441" s="30" t="n">
        <v>1.007</v>
      </c>
      <c r="I441" s="28" t="n">
        <f aca="false">H441*G441/3.6</f>
        <v>7.94411111111111</v>
      </c>
      <c r="J441" s="30" t="n">
        <v>2.95</v>
      </c>
      <c r="K441" s="30" t="n">
        <v>1.134</v>
      </c>
      <c r="L441" s="30" t="n">
        <v>1.81</v>
      </c>
      <c r="M441" s="30" t="n">
        <v>6.12</v>
      </c>
      <c r="N441" s="25" t="n">
        <v>0.224789352724521</v>
      </c>
      <c r="O441" s="17" t="n">
        <v>0</v>
      </c>
      <c r="P441" s="26" t="n">
        <v>0</v>
      </c>
      <c r="Q441" s="24" t="n">
        <f aca="false">IF(O441=1,1/(1+EXP(-(P441-Inputs!$B$12)/Inputs!$B$13)),0)</f>
        <v>0</v>
      </c>
      <c r="R441" s="24" t="n">
        <f aca="false">N441*O441</f>
        <v>0</v>
      </c>
      <c r="S441" s="12" t="n">
        <f aca="false">N441*Q441</f>
        <v>0</v>
      </c>
      <c r="T441" s="24" t="n">
        <f aca="false">N441^2</f>
        <v>0.050530253098309</v>
      </c>
    </row>
    <row r="442" customFormat="false" ht="15" hidden="false" customHeight="false" outlineLevel="0" collapsed="false">
      <c r="A442" s="5" t="s">
        <v>694</v>
      </c>
      <c r="B442" s="5" t="s">
        <v>181</v>
      </c>
      <c r="C442" s="5" t="s">
        <v>57</v>
      </c>
      <c r="D442" s="5" t="s">
        <v>62</v>
      </c>
      <c r="E442" s="5" t="s">
        <v>72</v>
      </c>
      <c r="F442" s="26" t="n">
        <v>34.65</v>
      </c>
      <c r="G442" s="26" t="n">
        <v>33.93</v>
      </c>
      <c r="H442" s="30" t="n">
        <v>1.407</v>
      </c>
      <c r="I442" s="28" t="n">
        <f aca="false">H442*G442/3.6</f>
        <v>13.260975</v>
      </c>
      <c r="J442" s="30" t="n">
        <v>4.97</v>
      </c>
      <c r="K442" s="30" t="n">
        <v>1.248</v>
      </c>
      <c r="L442" s="30" t="n">
        <v>1.024</v>
      </c>
      <c r="M442" s="30" t="n">
        <v>4.26</v>
      </c>
      <c r="N442" s="25" t="n">
        <v>2.52617783406666</v>
      </c>
      <c r="O442" s="17" t="n">
        <v>0</v>
      </c>
      <c r="P442" s="26" t="n">
        <v>0</v>
      </c>
      <c r="Q442" s="24" t="n">
        <f aca="false">IF(O442=1,1/(1+EXP(-(P442-Inputs!$B$12)/Inputs!$B$13)),0)</f>
        <v>0</v>
      </c>
      <c r="R442" s="24" t="n">
        <f aca="false">N442*O442</f>
        <v>0</v>
      </c>
      <c r="S442" s="12" t="n">
        <f aca="false">N442*Q442</f>
        <v>0</v>
      </c>
      <c r="T442" s="24" t="n">
        <f aca="false">N442^2</f>
        <v>6.38157444932971</v>
      </c>
    </row>
    <row r="443" customFormat="false" ht="15" hidden="false" customHeight="false" outlineLevel="0" collapsed="false">
      <c r="A443" s="5" t="s">
        <v>695</v>
      </c>
      <c r="B443" s="5" t="s">
        <v>181</v>
      </c>
      <c r="C443" s="5" t="s">
        <v>57</v>
      </c>
      <c r="D443" s="5" t="s">
        <v>62</v>
      </c>
      <c r="E443" s="5" t="s">
        <v>72</v>
      </c>
      <c r="F443" s="26" t="n">
        <v>23.36</v>
      </c>
      <c r="G443" s="26" t="n">
        <v>21.75</v>
      </c>
      <c r="H443" s="30" t="n">
        <v>1.1</v>
      </c>
      <c r="I443" s="28" t="n">
        <f aca="false">H443*G443/3.6</f>
        <v>6.64583333333333</v>
      </c>
      <c r="J443" s="30" t="n">
        <v>5.73</v>
      </c>
      <c r="K443" s="30" t="n">
        <v>0.836</v>
      </c>
      <c r="L443" s="30" t="n">
        <v>1.276</v>
      </c>
      <c r="M443" s="30" t="n">
        <v>4.7</v>
      </c>
      <c r="N443" s="25" t="n">
        <v>1.71801246676503</v>
      </c>
      <c r="O443" s="17" t="n">
        <v>0</v>
      </c>
      <c r="P443" s="26" t="n">
        <v>0</v>
      </c>
      <c r="Q443" s="24" t="n">
        <f aca="false">IF(O443=1,1/(1+EXP(-(P443-Inputs!$B$12)/Inputs!$B$13)),0)</f>
        <v>0</v>
      </c>
      <c r="R443" s="24" t="n">
        <f aca="false">N443*O443</f>
        <v>0</v>
      </c>
      <c r="S443" s="12" t="n">
        <f aca="false">N443*Q443</f>
        <v>0</v>
      </c>
      <c r="T443" s="24" t="n">
        <f aca="false">N443^2</f>
        <v>2.95156683596007</v>
      </c>
    </row>
    <row r="444" customFormat="false" ht="15" hidden="false" customHeight="false" outlineLevel="0" collapsed="false">
      <c r="A444" s="5" t="s">
        <v>696</v>
      </c>
      <c r="B444" s="5" t="s">
        <v>181</v>
      </c>
      <c r="C444" s="5" t="s">
        <v>57</v>
      </c>
      <c r="D444" s="5" t="s">
        <v>62</v>
      </c>
      <c r="E444" s="5" t="s">
        <v>72</v>
      </c>
      <c r="F444" s="26" t="n">
        <v>30.68</v>
      </c>
      <c r="G444" s="26" t="n">
        <v>31.25</v>
      </c>
      <c r="H444" s="30" t="n">
        <v>1.284</v>
      </c>
      <c r="I444" s="28" t="n">
        <f aca="false">H444*G444/3.6</f>
        <v>11.1458333333333</v>
      </c>
      <c r="J444" s="30" t="n">
        <v>5.35</v>
      </c>
      <c r="K444" s="30" t="n">
        <v>1.218</v>
      </c>
      <c r="L444" s="30" t="n">
        <v>1.377</v>
      </c>
      <c r="M444" s="30" t="n">
        <v>7.39</v>
      </c>
      <c r="N444" s="25" t="n">
        <v>0.380718446304432</v>
      </c>
      <c r="O444" s="17" t="n">
        <v>0</v>
      </c>
      <c r="P444" s="26" t="n">
        <v>0</v>
      </c>
      <c r="Q444" s="24" t="n">
        <f aca="false">IF(O444=1,1/(1+EXP(-(P444-Inputs!$B$12)/Inputs!$B$13)),0)</f>
        <v>0</v>
      </c>
      <c r="R444" s="24" t="n">
        <f aca="false">N444*O444</f>
        <v>0</v>
      </c>
      <c r="S444" s="12" t="n">
        <f aca="false">N444*Q444</f>
        <v>0</v>
      </c>
      <c r="T444" s="24" t="n">
        <f aca="false">N444^2</f>
        <v>0.144946535356461</v>
      </c>
    </row>
    <row r="445" customFormat="false" ht="15" hidden="false" customHeight="false" outlineLevel="0" collapsed="false">
      <c r="A445" s="5" t="s">
        <v>697</v>
      </c>
      <c r="B445" s="5" t="s">
        <v>181</v>
      </c>
      <c r="C445" s="5" t="s">
        <v>57</v>
      </c>
      <c r="D445" s="5" t="s">
        <v>62</v>
      </c>
      <c r="E445" s="5" t="s">
        <v>72</v>
      </c>
      <c r="F445" s="26" t="n">
        <v>25.17</v>
      </c>
      <c r="G445" s="26" t="n">
        <v>24.64</v>
      </c>
      <c r="H445" s="30" t="n">
        <v>1.03</v>
      </c>
      <c r="I445" s="28" t="n">
        <f aca="false">H445*G445/3.6</f>
        <v>7.04977777777778</v>
      </c>
      <c r="J445" s="30" t="n">
        <v>2.66</v>
      </c>
      <c r="K445" s="30" t="n">
        <v>0.804</v>
      </c>
      <c r="L445" s="30" t="n">
        <v>1.4</v>
      </c>
      <c r="M445" s="30" t="n">
        <v>6.61</v>
      </c>
      <c r="N445" s="25" t="n">
        <v>0.88351983839842</v>
      </c>
      <c r="O445" s="17" t="n">
        <v>0</v>
      </c>
      <c r="P445" s="26" t="n">
        <v>0</v>
      </c>
      <c r="Q445" s="24" t="n">
        <f aca="false">IF(O445=1,1/(1+EXP(-(P445-Inputs!$B$12)/Inputs!$B$13)),0)</f>
        <v>0</v>
      </c>
      <c r="R445" s="24" t="n">
        <f aca="false">N445*O445</f>
        <v>0</v>
      </c>
      <c r="S445" s="12" t="n">
        <f aca="false">N445*Q445</f>
        <v>0</v>
      </c>
      <c r="T445" s="24" t="n">
        <f aca="false">N445^2</f>
        <v>0.78060730484357</v>
      </c>
    </row>
    <row r="446" customFormat="false" ht="15" hidden="false" customHeight="false" outlineLevel="0" collapsed="false">
      <c r="A446" s="5" t="s">
        <v>698</v>
      </c>
      <c r="B446" s="5" t="s">
        <v>182</v>
      </c>
      <c r="C446" s="5" t="s">
        <v>57</v>
      </c>
      <c r="D446" s="5" t="s">
        <v>62</v>
      </c>
      <c r="E446" s="5" t="s">
        <v>73</v>
      </c>
      <c r="F446" s="26" t="n">
        <v>20.32</v>
      </c>
      <c r="G446" s="26" t="n">
        <v>19.77</v>
      </c>
      <c r="H446" s="30" t="n">
        <v>0.768</v>
      </c>
      <c r="I446" s="28" t="n">
        <f aca="false">H446*G446/3.6</f>
        <v>4.2176</v>
      </c>
      <c r="J446" s="30" t="n">
        <v>3.16</v>
      </c>
      <c r="K446" s="30" t="n">
        <v>1.059</v>
      </c>
      <c r="L446" s="30" t="n">
        <v>0.984</v>
      </c>
      <c r="M446" s="30" t="n">
        <v>7.56</v>
      </c>
      <c r="N446" s="25" t="n">
        <v>1.69564898758181</v>
      </c>
      <c r="O446" s="17" t="n">
        <v>0</v>
      </c>
      <c r="P446" s="26" t="n">
        <v>0</v>
      </c>
      <c r="Q446" s="24" t="n">
        <f aca="false">IF(O446=1,1/(1+EXP(-(P446-Inputs!$B$12)/Inputs!$B$13)),0)</f>
        <v>0</v>
      </c>
      <c r="R446" s="24" t="n">
        <f aca="false">N446*O446</f>
        <v>0</v>
      </c>
      <c r="S446" s="12" t="n">
        <f aca="false">N446*Q446</f>
        <v>0</v>
      </c>
      <c r="T446" s="24" t="n">
        <f aca="false">N446^2</f>
        <v>2.87522548908721</v>
      </c>
    </row>
    <row r="447" customFormat="false" ht="15" hidden="false" customHeight="false" outlineLevel="0" collapsed="false">
      <c r="A447" s="5" t="s">
        <v>699</v>
      </c>
      <c r="B447" s="5" t="s">
        <v>182</v>
      </c>
      <c r="C447" s="5" t="s">
        <v>57</v>
      </c>
      <c r="D447" s="5" t="s">
        <v>62</v>
      </c>
      <c r="E447" s="5" t="s">
        <v>73</v>
      </c>
      <c r="F447" s="26" t="n">
        <v>30.95</v>
      </c>
      <c r="G447" s="26" t="n">
        <v>34.14</v>
      </c>
      <c r="H447" s="30" t="n">
        <v>0.744</v>
      </c>
      <c r="I447" s="28" t="n">
        <f aca="false">H447*G447/3.6</f>
        <v>7.0556</v>
      </c>
      <c r="J447" s="30" t="n">
        <v>3.08</v>
      </c>
      <c r="K447" s="30" t="n">
        <v>1.255</v>
      </c>
      <c r="L447" s="30" t="n">
        <v>1.178</v>
      </c>
      <c r="M447" s="30" t="n">
        <v>5.48</v>
      </c>
      <c r="N447" s="25" t="n">
        <v>0.869437537013049</v>
      </c>
      <c r="O447" s="17" t="n">
        <v>0</v>
      </c>
      <c r="P447" s="26" t="n">
        <v>0</v>
      </c>
      <c r="Q447" s="24" t="n">
        <f aca="false">IF(O447=1,1/(1+EXP(-(P447-Inputs!$B$12)/Inputs!$B$13)),0)</f>
        <v>0</v>
      </c>
      <c r="R447" s="24" t="n">
        <f aca="false">N447*O447</f>
        <v>0</v>
      </c>
      <c r="S447" s="12" t="n">
        <f aca="false">N447*Q447</f>
        <v>0</v>
      </c>
      <c r="T447" s="24" t="n">
        <f aca="false">N447^2</f>
        <v>0.755921630767317</v>
      </c>
    </row>
    <row r="448" customFormat="false" ht="15" hidden="false" customHeight="false" outlineLevel="0" collapsed="false">
      <c r="A448" s="5" t="s">
        <v>700</v>
      </c>
      <c r="B448" s="5" t="s">
        <v>182</v>
      </c>
      <c r="C448" s="5" t="s">
        <v>57</v>
      </c>
      <c r="D448" s="5" t="s">
        <v>62</v>
      </c>
      <c r="E448" s="5" t="s">
        <v>73</v>
      </c>
      <c r="F448" s="26" t="n">
        <v>29.37</v>
      </c>
      <c r="G448" s="26" t="n">
        <v>27.74</v>
      </c>
      <c r="H448" s="30" t="n">
        <v>0.575</v>
      </c>
      <c r="I448" s="28" t="n">
        <f aca="false">H448*G448/3.6</f>
        <v>4.43069444444444</v>
      </c>
      <c r="J448" s="30" t="n">
        <v>3.07</v>
      </c>
      <c r="K448" s="30" t="n">
        <v>0.356</v>
      </c>
      <c r="L448" s="30" t="n">
        <v>1.303</v>
      </c>
      <c r="M448" s="30" t="n">
        <v>7.65</v>
      </c>
      <c r="N448" s="25" t="n">
        <v>3.32709508513019</v>
      </c>
      <c r="O448" s="17" t="n">
        <v>0</v>
      </c>
      <c r="P448" s="26" t="n">
        <v>0</v>
      </c>
      <c r="Q448" s="24" t="n">
        <f aca="false">IF(O448=1,1/(1+EXP(-(P448-Inputs!$B$12)/Inputs!$B$13)),0)</f>
        <v>0</v>
      </c>
      <c r="R448" s="24" t="n">
        <f aca="false">N448*O448</f>
        <v>0</v>
      </c>
      <c r="S448" s="12" t="n">
        <f aca="false">N448*Q448</f>
        <v>0</v>
      </c>
      <c r="T448" s="24" t="n">
        <f aca="false">N448^2</f>
        <v>11.0695617054975</v>
      </c>
    </row>
    <row r="449" customFormat="false" ht="15" hidden="false" customHeight="false" outlineLevel="0" collapsed="false">
      <c r="A449" s="5" t="s">
        <v>701</v>
      </c>
      <c r="B449" s="5" t="s">
        <v>182</v>
      </c>
      <c r="C449" s="5" t="s">
        <v>57</v>
      </c>
      <c r="D449" s="5" t="s">
        <v>62</v>
      </c>
      <c r="E449" s="5" t="s">
        <v>73</v>
      </c>
      <c r="F449" s="26" t="n">
        <v>34.05</v>
      </c>
      <c r="G449" s="26" t="n">
        <v>34.39</v>
      </c>
      <c r="H449" s="30" t="n">
        <v>0.687</v>
      </c>
      <c r="I449" s="28" t="n">
        <f aca="false">H449*G449/3.6</f>
        <v>6.56275833333333</v>
      </c>
      <c r="J449" s="30" t="n">
        <v>2.82</v>
      </c>
      <c r="K449" s="30" t="n">
        <v>1.187</v>
      </c>
      <c r="L449" s="30" t="n">
        <v>1.595</v>
      </c>
      <c r="M449" s="30" t="n">
        <v>5.88</v>
      </c>
      <c r="N449" s="25" t="n">
        <v>0.267328327146844</v>
      </c>
      <c r="O449" s="17" t="n">
        <v>0</v>
      </c>
      <c r="P449" s="26" t="n">
        <v>0</v>
      </c>
      <c r="Q449" s="24" t="n">
        <f aca="false">IF(O449=1,1/(1+EXP(-(P449-Inputs!$B$12)/Inputs!$B$13)),0)</f>
        <v>0</v>
      </c>
      <c r="R449" s="24" t="n">
        <f aca="false">N449*O449</f>
        <v>0</v>
      </c>
      <c r="S449" s="12" t="n">
        <f aca="false">N449*Q449</f>
        <v>0</v>
      </c>
      <c r="T449" s="24" t="n">
        <f aca="false">N449^2</f>
        <v>0.0714644344951302</v>
      </c>
    </row>
    <row r="450" customFormat="false" ht="15" hidden="false" customHeight="false" outlineLevel="0" collapsed="false">
      <c r="A450" s="5" t="s">
        <v>702</v>
      </c>
      <c r="B450" s="5" t="s">
        <v>182</v>
      </c>
      <c r="C450" s="5" t="s">
        <v>57</v>
      </c>
      <c r="D450" s="5" t="s">
        <v>62</v>
      </c>
      <c r="E450" s="5" t="s">
        <v>73</v>
      </c>
      <c r="F450" s="26" t="n">
        <v>25.57</v>
      </c>
      <c r="G450" s="26" t="n">
        <v>26.32</v>
      </c>
      <c r="H450" s="30" t="n">
        <v>0.626</v>
      </c>
      <c r="I450" s="28" t="n">
        <f aca="false">H450*G450/3.6</f>
        <v>4.57675555555556</v>
      </c>
      <c r="J450" s="30" t="n">
        <v>3.53</v>
      </c>
      <c r="K450" s="30" t="n">
        <v>2.415</v>
      </c>
      <c r="L450" s="30" t="n">
        <v>1.758</v>
      </c>
      <c r="M450" s="30" t="n">
        <v>6.68</v>
      </c>
      <c r="N450" s="25" t="n">
        <v>0.0364446319118916</v>
      </c>
      <c r="O450" s="17" t="n">
        <v>1</v>
      </c>
      <c r="P450" s="26" t="n">
        <v>20.45</v>
      </c>
      <c r="Q450" s="24" t="n">
        <f aca="false">IF(O450=1,1/(1+EXP(-(P450-Inputs!$B$12)/Inputs!$B$13)),0)</f>
        <v>0.0291096767255748</v>
      </c>
      <c r="R450" s="24" t="n">
        <f aca="false">N450*O450</f>
        <v>0.0364446319118916</v>
      </c>
      <c r="S450" s="12" t="n">
        <f aca="false">N450*Q450</f>
        <v>0.00106089145333773</v>
      </c>
      <c r="T450" s="24" t="n">
        <f aca="false">N450^2</f>
        <v>0.00132821119519326</v>
      </c>
    </row>
    <row r="451" customFormat="false" ht="15" hidden="false" customHeight="false" outlineLevel="0" collapsed="false">
      <c r="A451" s="5" t="s">
        <v>703</v>
      </c>
      <c r="B451" s="5" t="s">
        <v>182</v>
      </c>
      <c r="C451" s="5" t="s">
        <v>57</v>
      </c>
      <c r="D451" s="5" t="s">
        <v>62</v>
      </c>
      <c r="E451" s="5" t="s">
        <v>73</v>
      </c>
      <c r="F451" s="26" t="n">
        <v>31.33</v>
      </c>
      <c r="G451" s="26" t="n">
        <v>31.99</v>
      </c>
      <c r="H451" s="30" t="n">
        <v>0.928</v>
      </c>
      <c r="I451" s="28" t="n">
        <f aca="false">H451*G451/3.6</f>
        <v>8.24631111111111</v>
      </c>
      <c r="J451" s="30" t="n">
        <v>4.3</v>
      </c>
      <c r="K451" s="30" t="n">
        <v>2.042</v>
      </c>
      <c r="L451" s="30" t="n">
        <v>1.391</v>
      </c>
      <c r="M451" s="30" t="n">
        <v>6.99</v>
      </c>
      <c r="N451" s="25" t="n">
        <v>0.377744981084319</v>
      </c>
      <c r="O451" s="17" t="n">
        <v>1</v>
      </c>
      <c r="P451" s="26" t="n">
        <v>13.63</v>
      </c>
      <c r="Q451" s="24" t="n">
        <f aca="false">IF(O451=1,1/(1+EXP(-(P451-Inputs!$B$12)/Inputs!$B$13)),0)</f>
        <v>0.011190587623532</v>
      </c>
      <c r="R451" s="24" t="n">
        <f aca="false">N451*O451</f>
        <v>0.377744981084319</v>
      </c>
      <c r="S451" s="12" t="n">
        <f aca="false">N451*Q451</f>
        <v>0.0042271883101735</v>
      </c>
      <c r="T451" s="24" t="n">
        <f aca="false">N451^2</f>
        <v>0.142691270734392</v>
      </c>
    </row>
    <row r="452" customFormat="false" ht="15" hidden="false" customHeight="false" outlineLevel="0" collapsed="false">
      <c r="A452" s="5" t="s">
        <v>704</v>
      </c>
      <c r="B452" s="5" t="s">
        <v>182</v>
      </c>
      <c r="C452" s="5" t="s">
        <v>57</v>
      </c>
      <c r="D452" s="5" t="s">
        <v>62</v>
      </c>
      <c r="E452" s="5" t="s">
        <v>73</v>
      </c>
      <c r="F452" s="26" t="n">
        <v>25.74</v>
      </c>
      <c r="G452" s="26" t="n">
        <v>24.95</v>
      </c>
      <c r="H452" s="30" t="n">
        <v>0.709</v>
      </c>
      <c r="I452" s="28" t="n">
        <f aca="false">H452*G452/3.6</f>
        <v>4.91376388888889</v>
      </c>
      <c r="J452" s="30" t="n">
        <v>4.4</v>
      </c>
      <c r="K452" s="30" t="n">
        <v>1.344</v>
      </c>
      <c r="L452" s="30" t="n">
        <v>1.631</v>
      </c>
      <c r="M452" s="30" t="n">
        <v>5.7</v>
      </c>
      <c r="N452" s="25" t="n">
        <v>0.235921221394816</v>
      </c>
      <c r="O452" s="17" t="n">
        <v>1</v>
      </c>
      <c r="P452" s="26" t="n">
        <v>20.58</v>
      </c>
      <c r="Q452" s="24" t="n">
        <f aca="false">IF(O452=1,1/(1+EXP(-(P452-Inputs!$B$12)/Inputs!$B$13)),0)</f>
        <v>0.0296391632731332</v>
      </c>
      <c r="R452" s="24" t="n">
        <f aca="false">N452*O452</f>
        <v>0.235921221394816</v>
      </c>
      <c r="S452" s="12" t="n">
        <f aca="false">N452*Q452</f>
        <v>0.00699250760051795</v>
      </c>
      <c r="T452" s="24" t="n">
        <f aca="false">N452^2</f>
        <v>0.0556588227044217</v>
      </c>
    </row>
    <row r="453" customFormat="false" ht="15" hidden="false" customHeight="false" outlineLevel="0" collapsed="false">
      <c r="A453" s="5" t="s">
        <v>705</v>
      </c>
      <c r="B453" s="5" t="s">
        <v>182</v>
      </c>
      <c r="C453" s="5" t="s">
        <v>57</v>
      </c>
      <c r="D453" s="5" t="s">
        <v>62</v>
      </c>
      <c r="E453" s="5" t="s">
        <v>73</v>
      </c>
      <c r="F453" s="26" t="n">
        <v>21.64</v>
      </c>
      <c r="G453" s="26" t="n">
        <v>19.8</v>
      </c>
      <c r="H453" s="30" t="n">
        <v>0.534</v>
      </c>
      <c r="I453" s="28" t="n">
        <f aca="false">H453*G453/3.6</f>
        <v>2.937</v>
      </c>
      <c r="J453" s="30" t="n">
        <v>3.17</v>
      </c>
      <c r="K453" s="30" t="n">
        <v>0.588</v>
      </c>
      <c r="L453" s="30" t="n">
        <v>2.256</v>
      </c>
      <c r="M453" s="30" t="n">
        <v>5.16</v>
      </c>
      <c r="N453" s="25" t="n">
        <v>0.276909639983418</v>
      </c>
      <c r="O453" s="17" t="n">
        <v>0</v>
      </c>
      <c r="P453" s="26" t="n">
        <v>0</v>
      </c>
      <c r="Q453" s="24" t="n">
        <f aca="false">IF(O453=1,1/(1+EXP(-(P453-Inputs!$B$12)/Inputs!$B$13)),0)</f>
        <v>0</v>
      </c>
      <c r="R453" s="24" t="n">
        <f aca="false">N453*O453</f>
        <v>0</v>
      </c>
      <c r="S453" s="12" t="n">
        <f aca="false">N453*Q453</f>
        <v>0</v>
      </c>
      <c r="T453" s="24" t="n">
        <f aca="false">N453^2</f>
        <v>0.076678948715746</v>
      </c>
    </row>
    <row r="454" customFormat="false" ht="15" hidden="false" customHeight="false" outlineLevel="0" collapsed="false">
      <c r="A454" s="5" t="s">
        <v>706</v>
      </c>
      <c r="B454" s="5" t="s">
        <v>182</v>
      </c>
      <c r="C454" s="5" t="s">
        <v>57</v>
      </c>
      <c r="D454" s="5" t="s">
        <v>62</v>
      </c>
      <c r="E454" s="5" t="s">
        <v>73</v>
      </c>
      <c r="F454" s="26" t="n">
        <v>21.28</v>
      </c>
      <c r="G454" s="26" t="n">
        <v>20.56</v>
      </c>
      <c r="H454" s="30" t="n">
        <v>0.507</v>
      </c>
      <c r="I454" s="28" t="n">
        <f aca="false">H454*G454/3.6</f>
        <v>2.89553333333333</v>
      </c>
      <c r="J454" s="30" t="n">
        <v>5.96</v>
      </c>
      <c r="K454" s="30" t="n">
        <v>0.438</v>
      </c>
      <c r="L454" s="30" t="n">
        <v>1.158</v>
      </c>
      <c r="M454" s="30" t="n">
        <v>5.57</v>
      </c>
      <c r="N454" s="25" t="n">
        <v>8.53945995881865</v>
      </c>
      <c r="O454" s="17" t="n">
        <v>0</v>
      </c>
      <c r="P454" s="26" t="n">
        <v>0</v>
      </c>
      <c r="Q454" s="24" t="n">
        <f aca="false">IF(O454=1,1/(1+EXP(-(P454-Inputs!$B$12)/Inputs!$B$13)),0)</f>
        <v>0</v>
      </c>
      <c r="R454" s="24" t="n">
        <f aca="false">N454*O454</f>
        <v>0</v>
      </c>
      <c r="S454" s="12" t="n">
        <f aca="false">N454*Q454</f>
        <v>0</v>
      </c>
      <c r="T454" s="24" t="n">
        <f aca="false">N454^2</f>
        <v>72.922376388267</v>
      </c>
    </row>
    <row r="455" customFormat="false" ht="15" hidden="false" customHeight="false" outlineLevel="0" collapsed="false">
      <c r="A455" s="5" t="s">
        <v>707</v>
      </c>
      <c r="B455" s="5" t="s">
        <v>182</v>
      </c>
      <c r="C455" s="5" t="s">
        <v>57</v>
      </c>
      <c r="D455" s="5" t="s">
        <v>62</v>
      </c>
      <c r="E455" s="5" t="s">
        <v>73</v>
      </c>
      <c r="F455" s="26" t="n">
        <v>24.78</v>
      </c>
      <c r="G455" s="26" t="n">
        <v>22.55</v>
      </c>
      <c r="H455" s="30" t="n">
        <v>0.538</v>
      </c>
      <c r="I455" s="28" t="n">
        <f aca="false">H455*G455/3.6</f>
        <v>3.36997222222222</v>
      </c>
      <c r="J455" s="30" t="n">
        <v>3.51</v>
      </c>
      <c r="K455" s="30" t="n">
        <v>2.153</v>
      </c>
      <c r="L455" s="30" t="n">
        <v>1.175</v>
      </c>
      <c r="M455" s="30" t="n">
        <v>5.44</v>
      </c>
      <c r="N455" s="25" t="n">
        <v>0.307142373849761</v>
      </c>
      <c r="O455" s="17" t="n">
        <v>1</v>
      </c>
      <c r="P455" s="26" t="n">
        <v>8.87</v>
      </c>
      <c r="Q455" s="24" t="n">
        <f aca="false">IF(O455=1,1/(1+EXP(-(P455-Inputs!$B$12)/Inputs!$B$13)),0)</f>
        <v>0.00570081745896894</v>
      </c>
      <c r="R455" s="24" t="n">
        <f aca="false">N455*O455</f>
        <v>0.307142373849761</v>
      </c>
      <c r="S455" s="12" t="n">
        <f aca="false">N455*Q455</f>
        <v>0.00175096260723188</v>
      </c>
      <c r="T455" s="24" t="n">
        <f aca="false">N455^2</f>
        <v>0.0943364378140662</v>
      </c>
    </row>
    <row r="456" customFormat="false" ht="15" hidden="false" customHeight="false" outlineLevel="0" collapsed="false">
      <c r="A456" s="5" t="s">
        <v>708</v>
      </c>
      <c r="B456" s="5" t="s">
        <v>183</v>
      </c>
      <c r="C456" s="5" t="s">
        <v>57</v>
      </c>
      <c r="D456" s="5" t="s">
        <v>64</v>
      </c>
      <c r="E456" s="5" t="s">
        <v>68</v>
      </c>
      <c r="F456" s="26" t="n">
        <v>51.82</v>
      </c>
      <c r="G456" s="26" t="n">
        <v>50.72</v>
      </c>
      <c r="H456" s="30" t="n">
        <v>3.921</v>
      </c>
      <c r="I456" s="28" t="n">
        <f aca="false">H456*G456/3.6</f>
        <v>55.2425333333333</v>
      </c>
      <c r="J456" s="30" t="n">
        <v>5.66</v>
      </c>
      <c r="K456" s="30" t="n">
        <v>3.157</v>
      </c>
      <c r="L456" s="30" t="n">
        <v>1.139</v>
      </c>
      <c r="M456" s="30" t="n">
        <v>7.33</v>
      </c>
      <c r="N456" s="25" t="n">
        <v>0.0859812153188202</v>
      </c>
      <c r="O456" s="17" t="n">
        <v>0</v>
      </c>
      <c r="P456" s="26" t="n">
        <v>0</v>
      </c>
      <c r="Q456" s="24" t="n">
        <f aca="false">IF(O456=1,1/(1+EXP(-(P456-Inputs!$B$12)/Inputs!$B$13)),0)</f>
        <v>0</v>
      </c>
      <c r="R456" s="24" t="n">
        <f aca="false">N456*O456</f>
        <v>0</v>
      </c>
      <c r="S456" s="12" t="n">
        <f aca="false">N456*Q456</f>
        <v>0</v>
      </c>
      <c r="T456" s="24" t="n">
        <f aca="false">N456^2</f>
        <v>0.00739276938770132</v>
      </c>
    </row>
    <row r="457" customFormat="false" ht="15" hidden="false" customHeight="false" outlineLevel="0" collapsed="false">
      <c r="A457" s="5" t="s">
        <v>709</v>
      </c>
      <c r="B457" s="5" t="s">
        <v>183</v>
      </c>
      <c r="C457" s="5" t="s">
        <v>57</v>
      </c>
      <c r="D457" s="5" t="s">
        <v>64</v>
      </c>
      <c r="E457" s="5" t="s">
        <v>68</v>
      </c>
      <c r="F457" s="26" t="n">
        <v>40.2</v>
      </c>
      <c r="G457" s="26" t="n">
        <v>42.08</v>
      </c>
      <c r="H457" s="30" t="n">
        <v>3.538</v>
      </c>
      <c r="I457" s="28" t="n">
        <f aca="false">H457*G457/3.6</f>
        <v>41.3552888888889</v>
      </c>
      <c r="J457" s="30" t="n">
        <v>4.94</v>
      </c>
      <c r="K457" s="30" t="n">
        <v>1.494</v>
      </c>
      <c r="L457" s="30" t="n">
        <v>2.281</v>
      </c>
      <c r="M457" s="30" t="n">
        <v>6.91</v>
      </c>
      <c r="N457" s="25" t="n">
        <v>0.0216752846727609</v>
      </c>
      <c r="O457" s="17" t="n">
        <v>0</v>
      </c>
      <c r="P457" s="26" t="n">
        <v>0</v>
      </c>
      <c r="Q457" s="24" t="n">
        <f aca="false">IF(O457=1,1/(1+EXP(-(P457-Inputs!$B$12)/Inputs!$B$13)),0)</f>
        <v>0</v>
      </c>
      <c r="R457" s="24" t="n">
        <f aca="false">N457*O457</f>
        <v>0</v>
      </c>
      <c r="S457" s="12" t="n">
        <f aca="false">N457*Q457</f>
        <v>0</v>
      </c>
      <c r="T457" s="24" t="n">
        <f aca="false">N457^2</f>
        <v>0.000469817965645224</v>
      </c>
    </row>
    <row r="458" customFormat="false" ht="15" hidden="false" customHeight="false" outlineLevel="0" collapsed="false">
      <c r="A458" s="5" t="s">
        <v>710</v>
      </c>
      <c r="B458" s="5" t="s">
        <v>183</v>
      </c>
      <c r="C458" s="5" t="s">
        <v>57</v>
      </c>
      <c r="D458" s="5" t="s">
        <v>64</v>
      </c>
      <c r="E458" s="5" t="s">
        <v>68</v>
      </c>
      <c r="F458" s="26" t="n">
        <v>52.28</v>
      </c>
      <c r="G458" s="26" t="n">
        <v>50.17</v>
      </c>
      <c r="H458" s="30" t="n">
        <v>4.311</v>
      </c>
      <c r="I458" s="28" t="n">
        <f aca="false">H458*G458/3.6</f>
        <v>60.078575</v>
      </c>
      <c r="J458" s="30" t="n">
        <v>3.1</v>
      </c>
      <c r="K458" s="30" t="n">
        <v>1.465</v>
      </c>
      <c r="L458" s="30" t="n">
        <v>1.116</v>
      </c>
      <c r="M458" s="30" t="n">
        <v>4.75</v>
      </c>
      <c r="N458" s="25" t="n">
        <v>0.798053131389036</v>
      </c>
      <c r="O458" s="17" t="n">
        <v>0</v>
      </c>
      <c r="P458" s="26" t="n">
        <v>0</v>
      </c>
      <c r="Q458" s="24" t="n">
        <f aca="false">IF(O458=1,1/(1+EXP(-(P458-Inputs!$B$12)/Inputs!$B$13)),0)</f>
        <v>0</v>
      </c>
      <c r="R458" s="24" t="n">
        <f aca="false">N458*O458</f>
        <v>0</v>
      </c>
      <c r="S458" s="12" t="n">
        <f aca="false">N458*Q458</f>
        <v>0</v>
      </c>
      <c r="T458" s="24" t="n">
        <f aca="false">N458^2</f>
        <v>0.636888800519847</v>
      </c>
    </row>
    <row r="459" customFormat="false" ht="15" hidden="false" customHeight="false" outlineLevel="0" collapsed="false">
      <c r="A459" s="5" t="s">
        <v>711</v>
      </c>
      <c r="B459" s="5" t="s">
        <v>183</v>
      </c>
      <c r="C459" s="5" t="s">
        <v>57</v>
      </c>
      <c r="D459" s="5" t="s">
        <v>64</v>
      </c>
      <c r="E459" s="5" t="s">
        <v>68</v>
      </c>
      <c r="F459" s="26" t="n">
        <v>52.93</v>
      </c>
      <c r="G459" s="26" t="n">
        <v>52.57</v>
      </c>
      <c r="H459" s="30" t="n">
        <v>3.281</v>
      </c>
      <c r="I459" s="28" t="n">
        <f aca="false">H459*G459/3.6</f>
        <v>47.9117138888889</v>
      </c>
      <c r="J459" s="30" t="n">
        <v>4.43</v>
      </c>
      <c r="K459" s="30" t="n">
        <v>1.474</v>
      </c>
      <c r="L459" s="30" t="n">
        <v>1.692</v>
      </c>
      <c r="M459" s="30" t="n">
        <v>7.91</v>
      </c>
      <c r="N459" s="25" t="n">
        <v>0.0530955371047094</v>
      </c>
      <c r="O459" s="17" t="n">
        <v>0</v>
      </c>
      <c r="P459" s="26" t="n">
        <v>0</v>
      </c>
      <c r="Q459" s="24" t="n">
        <f aca="false">IF(O459=1,1/(1+EXP(-(P459-Inputs!$B$12)/Inputs!$B$13)),0)</f>
        <v>0</v>
      </c>
      <c r="R459" s="24" t="n">
        <f aca="false">N459*O459</f>
        <v>0</v>
      </c>
      <c r="S459" s="12" t="n">
        <f aca="false">N459*Q459</f>
        <v>0</v>
      </c>
      <c r="T459" s="24" t="n">
        <f aca="false">N459^2</f>
        <v>0.00281913606043757</v>
      </c>
    </row>
    <row r="460" customFormat="false" ht="15" hidden="false" customHeight="false" outlineLevel="0" collapsed="false">
      <c r="A460" s="5" t="s">
        <v>712</v>
      </c>
      <c r="B460" s="5" t="s">
        <v>183</v>
      </c>
      <c r="C460" s="5" t="s">
        <v>57</v>
      </c>
      <c r="D460" s="5" t="s">
        <v>64</v>
      </c>
      <c r="E460" s="5" t="s">
        <v>68</v>
      </c>
      <c r="F460" s="26" t="n">
        <v>35.06</v>
      </c>
      <c r="G460" s="26" t="n">
        <v>35.63</v>
      </c>
      <c r="H460" s="30" t="n">
        <v>3.336</v>
      </c>
      <c r="I460" s="28" t="n">
        <f aca="false">H460*G460/3.6</f>
        <v>33.0171333333333</v>
      </c>
      <c r="J460" s="30" t="n">
        <v>4.82</v>
      </c>
      <c r="K460" s="30" t="n">
        <v>0.707</v>
      </c>
      <c r="L460" s="30" t="n">
        <v>1.295</v>
      </c>
      <c r="M460" s="30" t="n">
        <v>7.24</v>
      </c>
      <c r="N460" s="25" t="n">
        <v>1.20710270826253</v>
      </c>
      <c r="O460" s="17" t="n">
        <v>0</v>
      </c>
      <c r="P460" s="26" t="n">
        <v>0</v>
      </c>
      <c r="Q460" s="24" t="n">
        <f aca="false">IF(O460=1,1/(1+EXP(-(P460-Inputs!$B$12)/Inputs!$B$13)),0)</f>
        <v>0</v>
      </c>
      <c r="R460" s="24" t="n">
        <f aca="false">N460*O460</f>
        <v>0</v>
      </c>
      <c r="S460" s="12" t="n">
        <f aca="false">N460*Q460</f>
        <v>0</v>
      </c>
      <c r="T460" s="24" t="n">
        <f aca="false">N460^2</f>
        <v>1.45709694829474</v>
      </c>
    </row>
    <row r="461" customFormat="false" ht="15" hidden="false" customHeight="false" outlineLevel="0" collapsed="false">
      <c r="A461" s="5" t="s">
        <v>713</v>
      </c>
      <c r="B461" s="5" t="s">
        <v>183</v>
      </c>
      <c r="C461" s="5" t="s">
        <v>57</v>
      </c>
      <c r="D461" s="5" t="s">
        <v>64</v>
      </c>
      <c r="E461" s="5" t="s">
        <v>68</v>
      </c>
      <c r="F461" s="26" t="n">
        <v>54</v>
      </c>
      <c r="G461" s="26" t="n">
        <v>51.46</v>
      </c>
      <c r="H461" s="30" t="n">
        <v>4.172</v>
      </c>
      <c r="I461" s="28" t="n">
        <f aca="false">H461*G461/3.6</f>
        <v>59.6364222222222</v>
      </c>
      <c r="J461" s="30" t="n">
        <v>5.66</v>
      </c>
      <c r="K461" s="30" t="n">
        <v>0.704</v>
      </c>
      <c r="L461" s="30" t="n">
        <v>1.122</v>
      </c>
      <c r="M461" s="30" t="n">
        <v>4.97</v>
      </c>
      <c r="N461" s="25" t="n">
        <v>2.87484585452599</v>
      </c>
      <c r="O461" s="17" t="n">
        <v>0</v>
      </c>
      <c r="P461" s="26" t="n">
        <v>0</v>
      </c>
      <c r="Q461" s="24" t="n">
        <f aca="false">IF(O461=1,1/(1+EXP(-(P461-Inputs!$B$12)/Inputs!$B$13)),0)</f>
        <v>0</v>
      </c>
      <c r="R461" s="24" t="n">
        <f aca="false">N461*O461</f>
        <v>0</v>
      </c>
      <c r="S461" s="12" t="n">
        <f aca="false">N461*Q461</f>
        <v>0</v>
      </c>
      <c r="T461" s="24" t="n">
        <f aca="false">N461^2</f>
        <v>8.26473868728528</v>
      </c>
    </row>
    <row r="462" customFormat="false" ht="15" hidden="false" customHeight="false" outlineLevel="0" collapsed="false">
      <c r="A462" s="5" t="s">
        <v>714</v>
      </c>
      <c r="B462" s="5" t="s">
        <v>183</v>
      </c>
      <c r="C462" s="5" t="s">
        <v>57</v>
      </c>
      <c r="D462" s="5" t="s">
        <v>64</v>
      </c>
      <c r="E462" s="5" t="s">
        <v>68</v>
      </c>
      <c r="F462" s="26" t="n">
        <v>45.85</v>
      </c>
      <c r="G462" s="26" t="n">
        <v>46.43</v>
      </c>
      <c r="H462" s="30" t="n">
        <v>3.374</v>
      </c>
      <c r="I462" s="28" t="n">
        <f aca="false">H462*G462/3.6</f>
        <v>43.5152277777778</v>
      </c>
      <c r="J462" s="30" t="n">
        <v>4.9</v>
      </c>
      <c r="K462" s="30" t="n">
        <v>1.901</v>
      </c>
      <c r="L462" s="30" t="n">
        <v>1.247</v>
      </c>
      <c r="M462" s="30" t="n">
        <v>6.35</v>
      </c>
      <c r="N462" s="25" t="n">
        <v>0.244453343173218</v>
      </c>
      <c r="O462" s="17" t="n">
        <v>0</v>
      </c>
      <c r="P462" s="26" t="n">
        <v>0</v>
      </c>
      <c r="Q462" s="24" t="n">
        <f aca="false">IF(O462=1,1/(1+EXP(-(P462-Inputs!$B$12)/Inputs!$B$13)),0)</f>
        <v>0</v>
      </c>
      <c r="R462" s="24" t="n">
        <f aca="false">N462*O462</f>
        <v>0</v>
      </c>
      <c r="S462" s="12" t="n">
        <f aca="false">N462*Q462</f>
        <v>0</v>
      </c>
      <c r="T462" s="24" t="n">
        <f aca="false">N462^2</f>
        <v>0.0597574369885629</v>
      </c>
    </row>
    <row r="463" customFormat="false" ht="15" hidden="false" customHeight="false" outlineLevel="0" collapsed="false">
      <c r="A463" s="5" t="s">
        <v>715</v>
      </c>
      <c r="B463" s="5" t="s">
        <v>183</v>
      </c>
      <c r="C463" s="5" t="s">
        <v>57</v>
      </c>
      <c r="D463" s="5" t="s">
        <v>64</v>
      </c>
      <c r="E463" s="5" t="s">
        <v>68</v>
      </c>
      <c r="F463" s="26" t="n">
        <v>45.69</v>
      </c>
      <c r="G463" s="26" t="n">
        <v>43.9</v>
      </c>
      <c r="H463" s="30" t="n">
        <v>4.133</v>
      </c>
      <c r="I463" s="28" t="n">
        <f aca="false">H463*G463/3.6</f>
        <v>50.3996388888889</v>
      </c>
      <c r="J463" s="30" t="n">
        <v>3.9</v>
      </c>
      <c r="K463" s="30" t="n">
        <v>0.627</v>
      </c>
      <c r="L463" s="30" t="n">
        <v>1.143</v>
      </c>
      <c r="M463" s="30" t="n">
        <v>7.62</v>
      </c>
      <c r="N463" s="25" t="n">
        <v>1.93430314387624</v>
      </c>
      <c r="O463" s="17" t="n">
        <v>0</v>
      </c>
      <c r="P463" s="26" t="n">
        <v>0</v>
      </c>
      <c r="Q463" s="24" t="n">
        <f aca="false">IF(O463=1,1/(1+EXP(-(P463-Inputs!$B$12)/Inputs!$B$13)),0)</f>
        <v>0</v>
      </c>
      <c r="R463" s="24" t="n">
        <f aca="false">N463*O463</f>
        <v>0</v>
      </c>
      <c r="S463" s="12" t="n">
        <f aca="false">N463*Q463</f>
        <v>0</v>
      </c>
      <c r="T463" s="24" t="n">
        <f aca="false">N463^2</f>
        <v>3.74152865240951</v>
      </c>
    </row>
    <row r="464" customFormat="false" ht="15" hidden="false" customHeight="false" outlineLevel="0" collapsed="false">
      <c r="A464" s="5" t="s">
        <v>716</v>
      </c>
      <c r="B464" s="5" t="s">
        <v>183</v>
      </c>
      <c r="C464" s="5" t="s">
        <v>57</v>
      </c>
      <c r="D464" s="5" t="s">
        <v>64</v>
      </c>
      <c r="E464" s="5" t="s">
        <v>68</v>
      </c>
      <c r="F464" s="26" t="n">
        <v>38.27</v>
      </c>
      <c r="G464" s="26" t="n">
        <v>36.97</v>
      </c>
      <c r="H464" s="30" t="n">
        <v>3.102</v>
      </c>
      <c r="I464" s="28" t="n">
        <f aca="false">H464*G464/3.6</f>
        <v>31.8558166666667</v>
      </c>
      <c r="J464" s="30" t="n">
        <v>3.41</v>
      </c>
      <c r="K464" s="30" t="n">
        <v>0.662</v>
      </c>
      <c r="L464" s="30" t="n">
        <v>1.156</v>
      </c>
      <c r="M464" s="30" t="n">
        <v>7.52</v>
      </c>
      <c r="N464" s="25" t="n">
        <v>1.91725457364652</v>
      </c>
      <c r="O464" s="17" t="n">
        <v>0</v>
      </c>
      <c r="P464" s="26" t="n">
        <v>0</v>
      </c>
      <c r="Q464" s="24" t="n">
        <f aca="false">IF(O464=1,1/(1+EXP(-(P464-Inputs!$B$12)/Inputs!$B$13)),0)</f>
        <v>0</v>
      </c>
      <c r="R464" s="24" t="n">
        <f aca="false">N464*O464</f>
        <v>0</v>
      </c>
      <c r="S464" s="12" t="n">
        <f aca="false">N464*Q464</f>
        <v>0</v>
      </c>
      <c r="T464" s="24" t="n">
        <f aca="false">N464^2</f>
        <v>3.67586510016849</v>
      </c>
    </row>
    <row r="465" customFormat="false" ht="15" hidden="false" customHeight="false" outlineLevel="0" collapsed="false">
      <c r="A465" s="5" t="s">
        <v>717</v>
      </c>
      <c r="B465" s="5" t="s">
        <v>183</v>
      </c>
      <c r="C465" s="5" t="s">
        <v>57</v>
      </c>
      <c r="D465" s="5" t="s">
        <v>64</v>
      </c>
      <c r="E465" s="5" t="s">
        <v>68</v>
      </c>
      <c r="F465" s="26" t="n">
        <v>42.23</v>
      </c>
      <c r="G465" s="26" t="n">
        <v>40.88</v>
      </c>
      <c r="H465" s="30" t="n">
        <v>4.752</v>
      </c>
      <c r="I465" s="28" t="n">
        <f aca="false">H465*G465/3.6</f>
        <v>53.9616</v>
      </c>
      <c r="J465" s="30" t="n">
        <v>2.74</v>
      </c>
      <c r="K465" s="30" t="n">
        <v>2.335</v>
      </c>
      <c r="L465" s="30" t="n">
        <v>0.706</v>
      </c>
      <c r="M465" s="30" t="n">
        <v>5.63</v>
      </c>
      <c r="N465" s="25" t="n">
        <v>0.813592749780829</v>
      </c>
      <c r="O465" s="17" t="n">
        <v>0</v>
      </c>
      <c r="P465" s="26" t="n">
        <v>0</v>
      </c>
      <c r="Q465" s="24" t="n">
        <f aca="false">IF(O465=1,1/(1+EXP(-(P465-Inputs!$B$12)/Inputs!$B$13)),0)</f>
        <v>0</v>
      </c>
      <c r="R465" s="24" t="n">
        <f aca="false">N465*O465</f>
        <v>0</v>
      </c>
      <c r="S465" s="12" t="n">
        <f aca="false">N465*Q465</f>
        <v>0</v>
      </c>
      <c r="T465" s="24" t="n">
        <f aca="false">N465^2</f>
        <v>0.661933162495931</v>
      </c>
    </row>
    <row r="466" customFormat="false" ht="15" hidden="false" customHeight="false" outlineLevel="0" collapsed="false">
      <c r="A466" s="5" t="s">
        <v>718</v>
      </c>
      <c r="B466" s="5" t="s">
        <v>184</v>
      </c>
      <c r="C466" s="5" t="s">
        <v>57</v>
      </c>
      <c r="D466" s="5" t="s">
        <v>64</v>
      </c>
      <c r="E466" s="5" t="s">
        <v>70</v>
      </c>
      <c r="F466" s="26" t="n">
        <v>44.6</v>
      </c>
      <c r="G466" s="26" t="n">
        <v>42.98</v>
      </c>
      <c r="H466" s="30" t="n">
        <v>2.576</v>
      </c>
      <c r="I466" s="28" t="n">
        <f aca="false">H466*G466/3.6</f>
        <v>30.7545777777778</v>
      </c>
      <c r="J466" s="30" t="n">
        <v>4.54</v>
      </c>
      <c r="K466" s="30" t="n">
        <v>2.762</v>
      </c>
      <c r="L466" s="30" t="n">
        <v>1.496</v>
      </c>
      <c r="M466" s="30" t="n">
        <v>4.49</v>
      </c>
      <c r="N466" s="25" t="n">
        <v>0.136461386551352</v>
      </c>
      <c r="O466" s="17" t="n">
        <v>0</v>
      </c>
      <c r="P466" s="26" t="n">
        <v>0</v>
      </c>
      <c r="Q466" s="24" t="n">
        <f aca="false">IF(O466=1,1/(1+EXP(-(P466-Inputs!$B$12)/Inputs!$B$13)),0)</f>
        <v>0</v>
      </c>
      <c r="R466" s="24" t="n">
        <f aca="false">N466*O466</f>
        <v>0</v>
      </c>
      <c r="S466" s="12" t="n">
        <f aca="false">N466*Q466</f>
        <v>0</v>
      </c>
      <c r="T466" s="24" t="n">
        <f aca="false">N466^2</f>
        <v>0.0186217100195174</v>
      </c>
    </row>
    <row r="467" customFormat="false" ht="15" hidden="false" customHeight="false" outlineLevel="0" collapsed="false">
      <c r="A467" s="5" t="s">
        <v>719</v>
      </c>
      <c r="B467" s="5" t="s">
        <v>184</v>
      </c>
      <c r="C467" s="5" t="s">
        <v>57</v>
      </c>
      <c r="D467" s="5" t="s">
        <v>64</v>
      </c>
      <c r="E467" s="5" t="s">
        <v>70</v>
      </c>
      <c r="F467" s="26" t="n">
        <v>36.52</v>
      </c>
      <c r="G467" s="26" t="n">
        <v>35.45</v>
      </c>
      <c r="H467" s="30" t="n">
        <v>2.071</v>
      </c>
      <c r="I467" s="28" t="n">
        <f aca="false">H467*G467/3.6</f>
        <v>20.3935972222222</v>
      </c>
      <c r="J467" s="30" t="n">
        <v>3.68</v>
      </c>
      <c r="K467" s="30" t="n">
        <v>1.022</v>
      </c>
      <c r="L467" s="30" t="n">
        <v>1.797</v>
      </c>
      <c r="M467" s="30" t="n">
        <v>5.3</v>
      </c>
      <c r="N467" s="25" t="n">
        <v>0.279692702291075</v>
      </c>
      <c r="O467" s="17" t="n">
        <v>0</v>
      </c>
      <c r="P467" s="26" t="n">
        <v>0</v>
      </c>
      <c r="Q467" s="24" t="n">
        <f aca="false">IF(O467=1,1/(1+EXP(-(P467-Inputs!$B$12)/Inputs!$B$13)),0)</f>
        <v>0</v>
      </c>
      <c r="R467" s="24" t="n">
        <f aca="false">N467*O467</f>
        <v>0</v>
      </c>
      <c r="S467" s="12" t="n">
        <f aca="false">N467*Q467</f>
        <v>0</v>
      </c>
      <c r="T467" s="24" t="n">
        <f aca="false">N467^2</f>
        <v>0.0782280077148839</v>
      </c>
    </row>
    <row r="468" customFormat="false" ht="15" hidden="false" customHeight="false" outlineLevel="0" collapsed="false">
      <c r="A468" s="5" t="s">
        <v>720</v>
      </c>
      <c r="B468" s="5" t="s">
        <v>184</v>
      </c>
      <c r="C468" s="5" t="s">
        <v>57</v>
      </c>
      <c r="D468" s="5" t="s">
        <v>64</v>
      </c>
      <c r="E468" s="5" t="s">
        <v>70</v>
      </c>
      <c r="F468" s="26" t="n">
        <v>38.24</v>
      </c>
      <c r="G468" s="26" t="n">
        <v>40.82</v>
      </c>
      <c r="H468" s="30" t="n">
        <v>2.109</v>
      </c>
      <c r="I468" s="28" t="n">
        <f aca="false">H468*G468/3.6</f>
        <v>23.9137166666667</v>
      </c>
      <c r="J468" s="30" t="n">
        <v>4.46</v>
      </c>
      <c r="K468" s="30" t="n">
        <v>1.158</v>
      </c>
      <c r="L468" s="30" t="n">
        <v>1.618</v>
      </c>
      <c r="M468" s="30" t="n">
        <v>6.78</v>
      </c>
      <c r="N468" s="25" t="n">
        <v>0.216192700304969</v>
      </c>
      <c r="O468" s="17" t="n">
        <v>0</v>
      </c>
      <c r="P468" s="26" t="n">
        <v>0</v>
      </c>
      <c r="Q468" s="24" t="n">
        <f aca="false">IF(O468=1,1/(1+EXP(-(P468-Inputs!$B$12)/Inputs!$B$13)),0)</f>
        <v>0</v>
      </c>
      <c r="R468" s="24" t="n">
        <f aca="false">N468*O468</f>
        <v>0</v>
      </c>
      <c r="S468" s="12" t="n">
        <f aca="false">N468*Q468</f>
        <v>0</v>
      </c>
      <c r="T468" s="24" t="n">
        <f aca="false">N468^2</f>
        <v>0.0467392836651542</v>
      </c>
    </row>
    <row r="469" customFormat="false" ht="15" hidden="false" customHeight="false" outlineLevel="0" collapsed="false">
      <c r="A469" s="5" t="s">
        <v>721</v>
      </c>
      <c r="B469" s="5" t="s">
        <v>184</v>
      </c>
      <c r="C469" s="5" t="s">
        <v>57</v>
      </c>
      <c r="D469" s="5" t="s">
        <v>64</v>
      </c>
      <c r="E469" s="5" t="s">
        <v>70</v>
      </c>
      <c r="F469" s="26" t="n">
        <v>50.75</v>
      </c>
      <c r="G469" s="26" t="n">
        <v>51.17</v>
      </c>
      <c r="H469" s="30" t="n">
        <v>2.072</v>
      </c>
      <c r="I469" s="28" t="n">
        <f aca="false">H469*G469/3.6</f>
        <v>29.4511777777778</v>
      </c>
      <c r="J469" s="30" t="n">
        <v>5.59</v>
      </c>
      <c r="K469" s="30" t="n">
        <v>1.022</v>
      </c>
      <c r="L469" s="30" t="n">
        <v>0.792</v>
      </c>
      <c r="M469" s="30" t="n">
        <v>5.33</v>
      </c>
      <c r="N469" s="25" t="n">
        <v>2.94770410335537</v>
      </c>
      <c r="O469" s="17" t="n">
        <v>0</v>
      </c>
      <c r="P469" s="26" t="n">
        <v>0</v>
      </c>
      <c r="Q469" s="24" t="n">
        <f aca="false">IF(O469=1,1/(1+EXP(-(P469-Inputs!$B$12)/Inputs!$B$13)),0)</f>
        <v>0</v>
      </c>
      <c r="R469" s="24" t="n">
        <f aca="false">N469*O469</f>
        <v>0</v>
      </c>
      <c r="S469" s="12" t="n">
        <f aca="false">N469*Q469</f>
        <v>0</v>
      </c>
      <c r="T469" s="24" t="n">
        <f aca="false">N469^2</f>
        <v>8.68895948093808</v>
      </c>
    </row>
    <row r="470" customFormat="false" ht="15" hidden="false" customHeight="false" outlineLevel="0" collapsed="false">
      <c r="A470" s="5" t="s">
        <v>722</v>
      </c>
      <c r="B470" s="5" t="s">
        <v>184</v>
      </c>
      <c r="C470" s="5" t="s">
        <v>57</v>
      </c>
      <c r="D470" s="5" t="s">
        <v>64</v>
      </c>
      <c r="E470" s="5" t="s">
        <v>70</v>
      </c>
      <c r="F470" s="26" t="n">
        <v>40.65</v>
      </c>
      <c r="G470" s="26" t="n">
        <v>39.82</v>
      </c>
      <c r="H470" s="30" t="n">
        <v>2.364</v>
      </c>
      <c r="I470" s="28" t="n">
        <f aca="false">H470*G470/3.6</f>
        <v>26.1484666666667</v>
      </c>
      <c r="J470" s="30" t="n">
        <v>3.1</v>
      </c>
      <c r="K470" s="30" t="n">
        <v>1.214</v>
      </c>
      <c r="L470" s="30" t="n">
        <v>1.35</v>
      </c>
      <c r="M470" s="30" t="n">
        <v>7.11</v>
      </c>
      <c r="N470" s="25" t="n">
        <v>0.393548478528856</v>
      </c>
      <c r="O470" s="17" t="n">
        <v>0</v>
      </c>
      <c r="P470" s="26" t="n">
        <v>0</v>
      </c>
      <c r="Q470" s="24" t="n">
        <f aca="false">IF(O470=1,1/(1+EXP(-(P470-Inputs!$B$12)/Inputs!$B$13)),0)</f>
        <v>0</v>
      </c>
      <c r="R470" s="24" t="n">
        <f aca="false">N470*O470</f>
        <v>0</v>
      </c>
      <c r="S470" s="12" t="n">
        <f aca="false">N470*Q470</f>
        <v>0</v>
      </c>
      <c r="T470" s="24" t="n">
        <f aca="false">N470^2</f>
        <v>0.154880404952378</v>
      </c>
    </row>
    <row r="471" customFormat="false" ht="15" hidden="false" customHeight="false" outlineLevel="0" collapsed="false">
      <c r="A471" s="5" t="s">
        <v>723</v>
      </c>
      <c r="B471" s="5" t="s">
        <v>184</v>
      </c>
      <c r="C471" s="5" t="s">
        <v>57</v>
      </c>
      <c r="D471" s="5" t="s">
        <v>64</v>
      </c>
      <c r="E471" s="5" t="s">
        <v>70</v>
      </c>
      <c r="F471" s="26" t="n">
        <v>38.96</v>
      </c>
      <c r="G471" s="26" t="n">
        <v>41.31</v>
      </c>
      <c r="H471" s="30" t="n">
        <v>2.599</v>
      </c>
      <c r="I471" s="28" t="n">
        <f aca="false">H471*G471/3.6</f>
        <v>29.823525</v>
      </c>
      <c r="J471" s="30" t="n">
        <v>3.36</v>
      </c>
      <c r="K471" s="30" t="n">
        <v>0.856</v>
      </c>
      <c r="L471" s="30" t="n">
        <v>1.067</v>
      </c>
      <c r="M471" s="30" t="n">
        <v>7.62</v>
      </c>
      <c r="N471" s="25" t="n">
        <v>1.95628947725748</v>
      </c>
      <c r="O471" s="17" t="n">
        <v>0</v>
      </c>
      <c r="P471" s="26" t="n">
        <v>0</v>
      </c>
      <c r="Q471" s="24" t="n">
        <f aca="false">IF(O471=1,1/(1+EXP(-(P471-Inputs!$B$12)/Inputs!$B$13)),0)</f>
        <v>0</v>
      </c>
      <c r="R471" s="24" t="n">
        <f aca="false">N471*O471</f>
        <v>0</v>
      </c>
      <c r="S471" s="12" t="n">
        <f aca="false">N471*Q471</f>
        <v>0</v>
      </c>
      <c r="T471" s="24" t="n">
        <f aca="false">N471^2</f>
        <v>3.82706851882833</v>
      </c>
    </row>
    <row r="472" customFormat="false" ht="15" hidden="false" customHeight="false" outlineLevel="0" collapsed="false">
      <c r="A472" s="5" t="s">
        <v>724</v>
      </c>
      <c r="B472" s="5" t="s">
        <v>184</v>
      </c>
      <c r="C472" s="5" t="s">
        <v>57</v>
      </c>
      <c r="D472" s="5" t="s">
        <v>64</v>
      </c>
      <c r="E472" s="5" t="s">
        <v>70</v>
      </c>
      <c r="F472" s="26" t="n">
        <v>54.66</v>
      </c>
      <c r="G472" s="26" t="n">
        <v>56.56</v>
      </c>
      <c r="H472" s="30" t="n">
        <v>2.151</v>
      </c>
      <c r="I472" s="28" t="n">
        <f aca="false">H472*G472/3.6</f>
        <v>33.7946</v>
      </c>
      <c r="J472" s="30" t="n">
        <v>3.59</v>
      </c>
      <c r="K472" s="30" t="n">
        <v>1.164</v>
      </c>
      <c r="L472" s="30" t="n">
        <v>4.503</v>
      </c>
      <c r="M472" s="30" t="n">
        <v>3.51</v>
      </c>
      <c r="N472" s="25" t="n">
        <v>0.00460191159551722</v>
      </c>
      <c r="O472" s="17" t="n">
        <v>0</v>
      </c>
      <c r="P472" s="26" t="n">
        <v>0</v>
      </c>
      <c r="Q472" s="24" t="n">
        <f aca="false">IF(O472=1,1/(1+EXP(-(P472-Inputs!$B$12)/Inputs!$B$13)),0)</f>
        <v>0</v>
      </c>
      <c r="R472" s="24" t="n">
        <f aca="false">N472*O472</f>
        <v>0</v>
      </c>
      <c r="S472" s="12" t="n">
        <f aca="false">N472*Q472</f>
        <v>0</v>
      </c>
      <c r="T472" s="24" t="n">
        <f aca="false">N472^2</f>
        <v>2.11775903329559E-005</v>
      </c>
    </row>
    <row r="473" customFormat="false" ht="15" hidden="false" customHeight="false" outlineLevel="0" collapsed="false">
      <c r="A473" s="5" t="s">
        <v>725</v>
      </c>
      <c r="B473" s="5" t="s">
        <v>184</v>
      </c>
      <c r="C473" s="5" t="s">
        <v>57</v>
      </c>
      <c r="D473" s="5" t="s">
        <v>64</v>
      </c>
      <c r="E473" s="5" t="s">
        <v>70</v>
      </c>
      <c r="F473" s="26" t="n">
        <v>38.65</v>
      </c>
      <c r="G473" s="26" t="n">
        <v>39.04</v>
      </c>
      <c r="H473" s="30" t="n">
        <v>2.059</v>
      </c>
      <c r="I473" s="28" t="n">
        <f aca="false">H473*G473/3.6</f>
        <v>22.3287111111111</v>
      </c>
      <c r="J473" s="30" t="n">
        <v>3.21</v>
      </c>
      <c r="K473" s="30" t="n">
        <v>0.86</v>
      </c>
      <c r="L473" s="30" t="n">
        <v>2.42</v>
      </c>
      <c r="M473" s="30" t="n">
        <v>4.79</v>
      </c>
      <c r="N473" s="25" t="n">
        <v>0.104881585094393</v>
      </c>
      <c r="O473" s="17" t="n">
        <v>0</v>
      </c>
      <c r="P473" s="26" t="n">
        <v>0</v>
      </c>
      <c r="Q473" s="24" t="n">
        <f aca="false">IF(O473=1,1/(1+EXP(-(P473-Inputs!$B$12)/Inputs!$B$13)),0)</f>
        <v>0</v>
      </c>
      <c r="R473" s="24" t="n">
        <f aca="false">N473*O473</f>
        <v>0</v>
      </c>
      <c r="S473" s="12" t="n">
        <f aca="false">N473*Q473</f>
        <v>0</v>
      </c>
      <c r="T473" s="24" t="n">
        <f aca="false">N473^2</f>
        <v>0.0110001468919124</v>
      </c>
    </row>
    <row r="474" customFormat="false" ht="15" hidden="false" customHeight="false" outlineLevel="0" collapsed="false">
      <c r="A474" s="5" t="s">
        <v>726</v>
      </c>
      <c r="B474" s="5" t="s">
        <v>184</v>
      </c>
      <c r="C474" s="5" t="s">
        <v>57</v>
      </c>
      <c r="D474" s="5" t="s">
        <v>64</v>
      </c>
      <c r="E474" s="5" t="s">
        <v>70</v>
      </c>
      <c r="F474" s="26" t="n">
        <v>35.87</v>
      </c>
      <c r="G474" s="26" t="n">
        <v>34.15</v>
      </c>
      <c r="H474" s="30" t="n">
        <v>2.1</v>
      </c>
      <c r="I474" s="28" t="n">
        <f aca="false">H474*G474/3.6</f>
        <v>19.9208333333333</v>
      </c>
      <c r="J474" s="30" t="n">
        <v>3.49</v>
      </c>
      <c r="K474" s="30" t="n">
        <v>2.129</v>
      </c>
      <c r="L474" s="30" t="n">
        <v>1.6</v>
      </c>
      <c r="M474" s="30" t="n">
        <v>5.03</v>
      </c>
      <c r="N474" s="25" t="n">
        <v>0.117994433918313</v>
      </c>
      <c r="O474" s="17" t="n">
        <v>0</v>
      </c>
      <c r="P474" s="26" t="n">
        <v>0</v>
      </c>
      <c r="Q474" s="24" t="n">
        <f aca="false">IF(O474=1,1/(1+EXP(-(P474-Inputs!$B$12)/Inputs!$B$13)),0)</f>
        <v>0</v>
      </c>
      <c r="R474" s="24" t="n">
        <f aca="false">N474*O474</f>
        <v>0</v>
      </c>
      <c r="S474" s="12" t="n">
        <f aca="false">N474*Q474</f>
        <v>0</v>
      </c>
      <c r="T474" s="24" t="n">
        <f aca="false">N474^2</f>
        <v>0.0139226864357031</v>
      </c>
    </row>
    <row r="475" customFormat="false" ht="15" hidden="false" customHeight="false" outlineLevel="0" collapsed="false">
      <c r="A475" s="5" t="s">
        <v>727</v>
      </c>
      <c r="B475" s="5" t="s">
        <v>184</v>
      </c>
      <c r="C475" s="5" t="s">
        <v>57</v>
      </c>
      <c r="D475" s="5" t="s">
        <v>64</v>
      </c>
      <c r="E475" s="5" t="s">
        <v>70</v>
      </c>
      <c r="F475" s="26" t="n">
        <v>54.69</v>
      </c>
      <c r="G475" s="26" t="n">
        <v>56.37</v>
      </c>
      <c r="H475" s="30" t="n">
        <v>2.687</v>
      </c>
      <c r="I475" s="28" t="n">
        <f aca="false">H475*G475/3.6</f>
        <v>42.0739416666667</v>
      </c>
      <c r="J475" s="30" t="n">
        <v>4.63</v>
      </c>
      <c r="K475" s="30" t="n">
        <v>1.367</v>
      </c>
      <c r="L475" s="30" t="n">
        <v>1.117</v>
      </c>
      <c r="M475" s="30" t="n">
        <v>6.38</v>
      </c>
      <c r="N475" s="25" t="n">
        <v>0.783928886676277</v>
      </c>
      <c r="O475" s="17" t="n">
        <v>0</v>
      </c>
      <c r="P475" s="26" t="n">
        <v>0</v>
      </c>
      <c r="Q475" s="24" t="n">
        <f aca="false">IF(O475=1,1/(1+EXP(-(P475-Inputs!$B$12)/Inputs!$B$13)),0)</f>
        <v>0</v>
      </c>
      <c r="R475" s="24" t="n">
        <f aca="false">N475*O475</f>
        <v>0</v>
      </c>
      <c r="S475" s="12" t="n">
        <f aca="false">N475*Q475</f>
        <v>0</v>
      </c>
      <c r="T475" s="24" t="n">
        <f aca="false">N475^2</f>
        <v>0.614544499365508</v>
      </c>
    </row>
    <row r="476" customFormat="false" ht="15" hidden="false" customHeight="false" outlineLevel="0" collapsed="false">
      <c r="A476" s="5" t="s">
        <v>728</v>
      </c>
      <c r="B476" s="5" t="s">
        <v>185</v>
      </c>
      <c r="C476" s="5" t="s">
        <v>57</v>
      </c>
      <c r="D476" s="5" t="s">
        <v>64</v>
      </c>
      <c r="E476" s="5" t="s">
        <v>71</v>
      </c>
      <c r="F476" s="26" t="n">
        <v>35.59</v>
      </c>
      <c r="G476" s="26" t="n">
        <v>37.22</v>
      </c>
      <c r="H476" s="30" t="n">
        <v>1.525</v>
      </c>
      <c r="I476" s="28" t="n">
        <f aca="false">H476*G476/3.6</f>
        <v>15.7668055555556</v>
      </c>
      <c r="J476" s="30" t="n">
        <v>4.63</v>
      </c>
      <c r="K476" s="30" t="n">
        <v>0.911</v>
      </c>
      <c r="L476" s="30" t="n">
        <v>1.974</v>
      </c>
      <c r="M476" s="30" t="n">
        <v>4.12</v>
      </c>
      <c r="N476" s="25" t="n">
        <v>0.370087554964755</v>
      </c>
      <c r="O476" s="17" t="n">
        <v>0</v>
      </c>
      <c r="P476" s="26" t="n">
        <v>0</v>
      </c>
      <c r="Q476" s="24" t="n">
        <f aca="false">IF(O476=1,1/(1+EXP(-(P476-Inputs!$B$12)/Inputs!$B$13)),0)</f>
        <v>0</v>
      </c>
      <c r="R476" s="24" t="n">
        <f aca="false">N476*O476</f>
        <v>0</v>
      </c>
      <c r="S476" s="12" t="n">
        <f aca="false">N476*Q476</f>
        <v>0</v>
      </c>
      <c r="T476" s="24" t="n">
        <f aca="false">N476^2</f>
        <v>0.13696479833979</v>
      </c>
    </row>
    <row r="477" customFormat="false" ht="15" hidden="false" customHeight="false" outlineLevel="0" collapsed="false">
      <c r="A477" s="5" t="s">
        <v>729</v>
      </c>
      <c r="B477" s="5" t="s">
        <v>185</v>
      </c>
      <c r="C477" s="5" t="s">
        <v>57</v>
      </c>
      <c r="D477" s="5" t="s">
        <v>64</v>
      </c>
      <c r="E477" s="5" t="s">
        <v>71</v>
      </c>
      <c r="F477" s="26" t="n">
        <v>35.91</v>
      </c>
      <c r="G477" s="26" t="n">
        <v>37.72</v>
      </c>
      <c r="H477" s="30" t="n">
        <v>1.52</v>
      </c>
      <c r="I477" s="28" t="n">
        <f aca="false">H477*G477/3.6</f>
        <v>15.9262222222222</v>
      </c>
      <c r="J477" s="30" t="n">
        <v>3.42</v>
      </c>
      <c r="K477" s="30" t="n">
        <v>0.587</v>
      </c>
      <c r="L477" s="30" t="n">
        <v>1.569</v>
      </c>
      <c r="M477" s="30" t="n">
        <v>5.57</v>
      </c>
      <c r="N477" s="25" t="n">
        <v>1.45250414819189</v>
      </c>
      <c r="O477" s="17" t="n">
        <v>0</v>
      </c>
      <c r="P477" s="26" t="n">
        <v>0</v>
      </c>
      <c r="Q477" s="24" t="n">
        <f aca="false">IF(O477=1,1/(1+EXP(-(P477-Inputs!$B$12)/Inputs!$B$13)),0)</f>
        <v>0</v>
      </c>
      <c r="R477" s="24" t="n">
        <f aca="false">N477*O477</f>
        <v>0</v>
      </c>
      <c r="S477" s="12" t="n">
        <f aca="false">N477*Q477</f>
        <v>0</v>
      </c>
      <c r="T477" s="24" t="n">
        <f aca="false">N477^2</f>
        <v>2.10976830051464</v>
      </c>
    </row>
    <row r="478" customFormat="false" ht="15" hidden="false" customHeight="false" outlineLevel="0" collapsed="false">
      <c r="A478" s="5" t="s">
        <v>730</v>
      </c>
      <c r="B478" s="5" t="s">
        <v>185</v>
      </c>
      <c r="C478" s="5" t="s">
        <v>57</v>
      </c>
      <c r="D478" s="5" t="s">
        <v>64</v>
      </c>
      <c r="E478" s="5" t="s">
        <v>71</v>
      </c>
      <c r="F478" s="26" t="n">
        <v>52.02</v>
      </c>
      <c r="G478" s="26" t="n">
        <v>51.9</v>
      </c>
      <c r="H478" s="30" t="n">
        <v>1.673</v>
      </c>
      <c r="I478" s="28" t="n">
        <f aca="false">H478*G478/3.6</f>
        <v>24.1190833333333</v>
      </c>
      <c r="J478" s="30" t="n">
        <v>2.9</v>
      </c>
      <c r="K478" s="30" t="n">
        <v>1.745</v>
      </c>
      <c r="L478" s="30" t="n">
        <v>0.912</v>
      </c>
      <c r="M478" s="30" t="n">
        <v>7.87</v>
      </c>
      <c r="N478" s="25" t="n">
        <v>0.365229950184452</v>
      </c>
      <c r="O478" s="17" t="n">
        <v>0</v>
      </c>
      <c r="P478" s="26" t="n">
        <v>0</v>
      </c>
      <c r="Q478" s="24" t="n">
        <f aca="false">IF(O478=1,1/(1+EXP(-(P478-Inputs!$B$12)/Inputs!$B$13)),0)</f>
        <v>0</v>
      </c>
      <c r="R478" s="24" t="n">
        <f aca="false">N478*O478</f>
        <v>0</v>
      </c>
      <c r="S478" s="12" t="n">
        <f aca="false">N478*Q478</f>
        <v>0</v>
      </c>
      <c r="T478" s="24" t="n">
        <f aca="false">N478^2</f>
        <v>0.133392916511737</v>
      </c>
    </row>
    <row r="479" customFormat="false" ht="15" hidden="false" customHeight="false" outlineLevel="0" collapsed="false">
      <c r="A479" s="5" t="s">
        <v>731</v>
      </c>
      <c r="B479" s="5" t="s">
        <v>185</v>
      </c>
      <c r="C479" s="5" t="s">
        <v>57</v>
      </c>
      <c r="D479" s="5" t="s">
        <v>64</v>
      </c>
      <c r="E479" s="5" t="s">
        <v>71</v>
      </c>
      <c r="F479" s="26" t="n">
        <v>45.99</v>
      </c>
      <c r="G479" s="26" t="n">
        <v>47.7</v>
      </c>
      <c r="H479" s="30" t="n">
        <v>1.606</v>
      </c>
      <c r="I479" s="28" t="n">
        <f aca="false">H479*G479/3.6</f>
        <v>21.2795</v>
      </c>
      <c r="J479" s="30" t="n">
        <v>4.2</v>
      </c>
      <c r="K479" s="30" t="n">
        <v>2.023</v>
      </c>
      <c r="L479" s="30" t="n">
        <v>1.656</v>
      </c>
      <c r="M479" s="30" t="n">
        <v>5.41</v>
      </c>
      <c r="N479" s="25" t="n">
        <v>0.0942850460048977</v>
      </c>
      <c r="O479" s="17" t="n">
        <v>0</v>
      </c>
      <c r="P479" s="26" t="n">
        <v>0</v>
      </c>
      <c r="Q479" s="24" t="n">
        <f aca="false">IF(O479=1,1/(1+EXP(-(P479-Inputs!$B$12)/Inputs!$B$13)),0)</f>
        <v>0</v>
      </c>
      <c r="R479" s="24" t="n">
        <f aca="false">N479*O479</f>
        <v>0</v>
      </c>
      <c r="S479" s="12" t="n">
        <f aca="false">N479*Q479</f>
        <v>0</v>
      </c>
      <c r="T479" s="24" t="n">
        <f aca="false">N479^2</f>
        <v>0.00888966990014567</v>
      </c>
    </row>
    <row r="480" customFormat="false" ht="15" hidden="false" customHeight="false" outlineLevel="0" collapsed="false">
      <c r="A480" s="5" t="s">
        <v>732</v>
      </c>
      <c r="B480" s="5" t="s">
        <v>185</v>
      </c>
      <c r="C480" s="5" t="s">
        <v>57</v>
      </c>
      <c r="D480" s="5" t="s">
        <v>64</v>
      </c>
      <c r="E480" s="5" t="s">
        <v>71</v>
      </c>
      <c r="F480" s="26" t="n">
        <v>37.07</v>
      </c>
      <c r="G480" s="26" t="n">
        <v>37.28</v>
      </c>
      <c r="H480" s="30" t="n">
        <v>1.733</v>
      </c>
      <c r="I480" s="28" t="n">
        <f aca="false">H480*G480/3.6</f>
        <v>17.9461777777778</v>
      </c>
      <c r="J480" s="30" t="n">
        <v>5.81</v>
      </c>
      <c r="K480" s="30" t="n">
        <v>1.104</v>
      </c>
      <c r="L480" s="30" t="n">
        <v>1.562</v>
      </c>
      <c r="M480" s="30" t="n">
        <v>5.99</v>
      </c>
      <c r="N480" s="25" t="n">
        <v>0.437003697121642</v>
      </c>
      <c r="O480" s="17" t="n">
        <v>0</v>
      </c>
      <c r="P480" s="26" t="n">
        <v>0</v>
      </c>
      <c r="Q480" s="24" t="n">
        <f aca="false">IF(O480=1,1/(1+EXP(-(P480-Inputs!$B$12)/Inputs!$B$13)),0)</f>
        <v>0</v>
      </c>
      <c r="R480" s="24" t="n">
        <f aca="false">N480*O480</f>
        <v>0</v>
      </c>
      <c r="S480" s="12" t="n">
        <f aca="false">N480*Q480</f>
        <v>0</v>
      </c>
      <c r="T480" s="24" t="n">
        <f aca="false">N480^2</f>
        <v>0.190972231297983</v>
      </c>
    </row>
    <row r="481" customFormat="false" ht="15" hidden="false" customHeight="false" outlineLevel="0" collapsed="false">
      <c r="A481" s="5" t="s">
        <v>733</v>
      </c>
      <c r="B481" s="5" t="s">
        <v>185</v>
      </c>
      <c r="C481" s="5" t="s">
        <v>57</v>
      </c>
      <c r="D481" s="5" t="s">
        <v>64</v>
      </c>
      <c r="E481" s="5" t="s">
        <v>71</v>
      </c>
      <c r="F481" s="26" t="n">
        <v>47.64</v>
      </c>
      <c r="G481" s="26" t="n">
        <v>46.77</v>
      </c>
      <c r="H481" s="30" t="n">
        <v>1.542</v>
      </c>
      <c r="I481" s="28" t="n">
        <f aca="false">H481*G481/3.6</f>
        <v>20.03315</v>
      </c>
      <c r="J481" s="30" t="n">
        <v>4.63</v>
      </c>
      <c r="K481" s="30" t="n">
        <v>1.66</v>
      </c>
      <c r="L481" s="30" t="n">
        <v>1.347</v>
      </c>
      <c r="M481" s="30" t="n">
        <v>5.85</v>
      </c>
      <c r="N481" s="25" t="n">
        <v>0.292704040444389</v>
      </c>
      <c r="O481" s="17" t="n">
        <v>0</v>
      </c>
      <c r="P481" s="26" t="n">
        <v>0</v>
      </c>
      <c r="Q481" s="24" t="n">
        <f aca="false">IF(O481=1,1/(1+EXP(-(P481-Inputs!$B$12)/Inputs!$B$13)),0)</f>
        <v>0</v>
      </c>
      <c r="R481" s="24" t="n">
        <f aca="false">N481*O481</f>
        <v>0</v>
      </c>
      <c r="S481" s="12" t="n">
        <f aca="false">N481*Q481</f>
        <v>0</v>
      </c>
      <c r="T481" s="24" t="n">
        <f aca="false">N481^2</f>
        <v>0.0856756552924704</v>
      </c>
    </row>
    <row r="482" customFormat="false" ht="15" hidden="false" customHeight="false" outlineLevel="0" collapsed="false">
      <c r="A482" s="5" t="s">
        <v>734</v>
      </c>
      <c r="B482" s="5" t="s">
        <v>185</v>
      </c>
      <c r="C482" s="5" t="s">
        <v>57</v>
      </c>
      <c r="D482" s="5" t="s">
        <v>64</v>
      </c>
      <c r="E482" s="5" t="s">
        <v>71</v>
      </c>
      <c r="F482" s="26" t="n">
        <v>48.39</v>
      </c>
      <c r="G482" s="26" t="n">
        <v>48.41</v>
      </c>
      <c r="H482" s="30" t="n">
        <v>1.513</v>
      </c>
      <c r="I482" s="28" t="n">
        <f aca="false">H482*G482/3.6</f>
        <v>20.3456472222222</v>
      </c>
      <c r="J482" s="30" t="n">
        <v>5.12</v>
      </c>
      <c r="K482" s="30" t="n">
        <v>2.568</v>
      </c>
      <c r="L482" s="30" t="n">
        <v>3.259</v>
      </c>
      <c r="M482" s="30" t="n">
        <v>4.49</v>
      </c>
      <c r="N482" s="25" t="n">
        <v>0.00278907246213917</v>
      </c>
      <c r="O482" s="17" t="n">
        <v>1</v>
      </c>
      <c r="P482" s="26" t="n">
        <v>47.4</v>
      </c>
      <c r="Q482" s="24" t="n">
        <f aca="false">IF(O482=1,1/(1+EXP(-(P482-Inputs!$B$12)/Inputs!$B$13)),0)</f>
        <v>0.58488438971722</v>
      </c>
      <c r="R482" s="24" t="n">
        <f aca="false">N482*O482</f>
        <v>0.00278907246213917</v>
      </c>
      <c r="S482" s="12" t="n">
        <f aca="false">N482*Q482</f>
        <v>0.00163128494489537</v>
      </c>
      <c r="T482" s="24" t="n">
        <f aca="false">N482^2</f>
        <v>7.77892519906306E-006</v>
      </c>
    </row>
    <row r="483" customFormat="false" ht="15" hidden="false" customHeight="false" outlineLevel="0" collapsed="false">
      <c r="A483" s="5" t="s">
        <v>735</v>
      </c>
      <c r="B483" s="5" t="s">
        <v>185</v>
      </c>
      <c r="C483" s="5" t="s">
        <v>57</v>
      </c>
      <c r="D483" s="5" t="s">
        <v>64</v>
      </c>
      <c r="E483" s="5" t="s">
        <v>71</v>
      </c>
      <c r="F483" s="26" t="n">
        <v>49.81</v>
      </c>
      <c r="G483" s="26" t="n">
        <v>48.65</v>
      </c>
      <c r="H483" s="30" t="n">
        <v>1.6</v>
      </c>
      <c r="I483" s="28" t="n">
        <f aca="false">H483*G483/3.6</f>
        <v>21.6222222222222</v>
      </c>
      <c r="J483" s="30" t="n">
        <v>2.99</v>
      </c>
      <c r="K483" s="30" t="n">
        <v>1.666</v>
      </c>
      <c r="L483" s="30" t="n">
        <v>1.252</v>
      </c>
      <c r="M483" s="30" t="n">
        <v>7.82</v>
      </c>
      <c r="N483" s="25" t="n">
        <v>0.163403256863236</v>
      </c>
      <c r="O483" s="17" t="n">
        <v>0</v>
      </c>
      <c r="P483" s="26" t="n">
        <v>0</v>
      </c>
      <c r="Q483" s="24" t="n">
        <f aca="false">IF(O483=1,1/(1+EXP(-(P483-Inputs!$B$12)/Inputs!$B$13)),0)</f>
        <v>0</v>
      </c>
      <c r="R483" s="24" t="n">
        <f aca="false">N483*O483</f>
        <v>0</v>
      </c>
      <c r="S483" s="12" t="n">
        <f aca="false">N483*Q483</f>
        <v>0</v>
      </c>
      <c r="T483" s="24" t="n">
        <f aca="false">N483^2</f>
        <v>0.0267006243535127</v>
      </c>
    </row>
    <row r="484" customFormat="false" ht="15" hidden="false" customHeight="false" outlineLevel="0" collapsed="false">
      <c r="A484" s="5" t="s">
        <v>736</v>
      </c>
      <c r="B484" s="5" t="s">
        <v>185</v>
      </c>
      <c r="C484" s="5" t="s">
        <v>57</v>
      </c>
      <c r="D484" s="5" t="s">
        <v>64</v>
      </c>
      <c r="E484" s="5" t="s">
        <v>71</v>
      </c>
      <c r="F484" s="26" t="n">
        <v>52.47</v>
      </c>
      <c r="G484" s="26" t="n">
        <v>51.44</v>
      </c>
      <c r="H484" s="30" t="n">
        <v>1.64</v>
      </c>
      <c r="I484" s="28" t="n">
        <f aca="false">H484*G484/3.6</f>
        <v>23.4337777777778</v>
      </c>
      <c r="J484" s="30" t="n">
        <v>5</v>
      </c>
      <c r="K484" s="30" t="n">
        <v>1.462</v>
      </c>
      <c r="L484" s="30" t="n">
        <v>1.036</v>
      </c>
      <c r="M484" s="30" t="n">
        <v>7.81</v>
      </c>
      <c r="N484" s="25" t="n">
        <v>0.379975773775432</v>
      </c>
      <c r="O484" s="17" t="n">
        <v>0</v>
      </c>
      <c r="P484" s="26" t="n">
        <v>0</v>
      </c>
      <c r="Q484" s="24" t="n">
        <f aca="false">IF(O484=1,1/(1+EXP(-(P484-Inputs!$B$12)/Inputs!$B$13)),0)</f>
        <v>0</v>
      </c>
      <c r="R484" s="24" t="n">
        <f aca="false">N484*O484</f>
        <v>0</v>
      </c>
      <c r="S484" s="12" t="n">
        <f aca="false">N484*Q484</f>
        <v>0</v>
      </c>
      <c r="T484" s="24" t="n">
        <f aca="false">N484^2</f>
        <v>0.144381588656238</v>
      </c>
    </row>
    <row r="485" customFormat="false" ht="15" hidden="false" customHeight="false" outlineLevel="0" collapsed="false">
      <c r="A485" s="5" t="s">
        <v>737</v>
      </c>
      <c r="B485" s="5" t="s">
        <v>185</v>
      </c>
      <c r="C485" s="5" t="s">
        <v>57</v>
      </c>
      <c r="D485" s="5" t="s">
        <v>64</v>
      </c>
      <c r="E485" s="5" t="s">
        <v>71</v>
      </c>
      <c r="F485" s="26" t="n">
        <v>39.85</v>
      </c>
      <c r="G485" s="26" t="n">
        <v>40.44</v>
      </c>
      <c r="H485" s="30" t="n">
        <v>1.656</v>
      </c>
      <c r="I485" s="28" t="n">
        <f aca="false">H485*G485/3.6</f>
        <v>18.6024</v>
      </c>
      <c r="J485" s="30" t="n">
        <v>4.21</v>
      </c>
      <c r="K485" s="30" t="n">
        <v>1.402</v>
      </c>
      <c r="L485" s="30" t="n">
        <v>0.957</v>
      </c>
      <c r="M485" s="30" t="n">
        <v>3.83</v>
      </c>
      <c r="N485" s="25" t="n">
        <v>1.77962402622169</v>
      </c>
      <c r="O485" s="17" t="n">
        <v>0</v>
      </c>
      <c r="P485" s="26" t="n">
        <v>0</v>
      </c>
      <c r="Q485" s="24" t="n">
        <f aca="false">IF(O485=1,1/(1+EXP(-(P485-Inputs!$B$12)/Inputs!$B$13)),0)</f>
        <v>0</v>
      </c>
      <c r="R485" s="24" t="n">
        <f aca="false">N485*O485</f>
        <v>0</v>
      </c>
      <c r="S485" s="12" t="n">
        <f aca="false">N485*Q485</f>
        <v>0</v>
      </c>
      <c r="T485" s="24" t="n">
        <f aca="false">N485^2</f>
        <v>3.16706167470548</v>
      </c>
    </row>
    <row r="486" customFormat="false" ht="15" hidden="false" customHeight="false" outlineLevel="0" collapsed="false">
      <c r="A486" s="5" t="s">
        <v>738</v>
      </c>
      <c r="B486" s="5" t="s">
        <v>186</v>
      </c>
      <c r="C486" s="5" t="s">
        <v>57</v>
      </c>
      <c r="D486" s="5" t="s">
        <v>64</v>
      </c>
      <c r="E486" s="5" t="s">
        <v>72</v>
      </c>
      <c r="F486" s="26" t="n">
        <v>48.6</v>
      </c>
      <c r="G486" s="26" t="n">
        <v>47.65</v>
      </c>
      <c r="H486" s="30" t="n">
        <v>1.227</v>
      </c>
      <c r="I486" s="28" t="n">
        <f aca="false">H486*G486/3.6</f>
        <v>16.2407083333333</v>
      </c>
      <c r="J486" s="30" t="n">
        <v>3.33</v>
      </c>
      <c r="K486" s="30" t="n">
        <v>1.883</v>
      </c>
      <c r="L486" s="30" t="n">
        <v>1.239</v>
      </c>
      <c r="M486" s="30" t="n">
        <v>6.28</v>
      </c>
      <c r="N486" s="25" t="n">
        <v>0.280300825853567</v>
      </c>
      <c r="O486" s="17" t="n">
        <v>0</v>
      </c>
      <c r="P486" s="26" t="n">
        <v>0</v>
      </c>
      <c r="Q486" s="24" t="n">
        <f aca="false">IF(O486=1,1/(1+EXP(-(P486-Inputs!$B$12)/Inputs!$B$13)),0)</f>
        <v>0</v>
      </c>
      <c r="R486" s="24" t="n">
        <f aca="false">N486*O486</f>
        <v>0</v>
      </c>
      <c r="S486" s="12" t="n">
        <f aca="false">N486*Q486</f>
        <v>0</v>
      </c>
      <c r="T486" s="24" t="n">
        <f aca="false">N486^2</f>
        <v>0.0785685529741914</v>
      </c>
    </row>
    <row r="487" customFormat="false" ht="15" hidden="false" customHeight="false" outlineLevel="0" collapsed="false">
      <c r="A487" s="5" t="s">
        <v>739</v>
      </c>
      <c r="B487" s="5" t="s">
        <v>186</v>
      </c>
      <c r="C487" s="5" t="s">
        <v>57</v>
      </c>
      <c r="D487" s="5" t="s">
        <v>64</v>
      </c>
      <c r="E487" s="5" t="s">
        <v>72</v>
      </c>
      <c r="F487" s="26" t="n">
        <v>47.73</v>
      </c>
      <c r="G487" s="26" t="n">
        <v>44.8</v>
      </c>
      <c r="H487" s="30" t="n">
        <v>1.023</v>
      </c>
      <c r="I487" s="28" t="n">
        <f aca="false">H487*G487/3.6</f>
        <v>12.7306666666667</v>
      </c>
      <c r="J487" s="30" t="n">
        <v>5.04</v>
      </c>
      <c r="K487" s="30" t="n">
        <v>1.024</v>
      </c>
      <c r="L487" s="30" t="n">
        <v>1.298</v>
      </c>
      <c r="M487" s="30" t="n">
        <v>4.34</v>
      </c>
      <c r="N487" s="25" t="n">
        <v>1.42493077627867</v>
      </c>
      <c r="O487" s="17" t="n">
        <v>0</v>
      </c>
      <c r="P487" s="26" t="n">
        <v>0</v>
      </c>
      <c r="Q487" s="24" t="n">
        <f aca="false">IF(O487=1,1/(1+EXP(-(P487-Inputs!$B$12)/Inputs!$B$13)),0)</f>
        <v>0</v>
      </c>
      <c r="R487" s="24" t="n">
        <f aca="false">N487*O487</f>
        <v>0</v>
      </c>
      <c r="S487" s="12" t="n">
        <f aca="false">N487*Q487</f>
        <v>0</v>
      </c>
      <c r="T487" s="24" t="n">
        <f aca="false">N487^2</f>
        <v>2.03042771718614</v>
      </c>
    </row>
    <row r="488" customFormat="false" ht="15" hidden="false" customHeight="false" outlineLevel="0" collapsed="false">
      <c r="A488" s="5" t="s">
        <v>740</v>
      </c>
      <c r="B488" s="5" t="s">
        <v>186</v>
      </c>
      <c r="C488" s="5" t="s">
        <v>57</v>
      </c>
      <c r="D488" s="5" t="s">
        <v>64</v>
      </c>
      <c r="E488" s="5" t="s">
        <v>72</v>
      </c>
      <c r="F488" s="26" t="n">
        <v>51.81</v>
      </c>
      <c r="G488" s="26" t="n">
        <v>53.97</v>
      </c>
      <c r="H488" s="30" t="n">
        <v>1.238</v>
      </c>
      <c r="I488" s="28" t="n">
        <f aca="false">H488*G488/3.6</f>
        <v>18.5596833333333</v>
      </c>
      <c r="J488" s="30" t="n">
        <v>5.93</v>
      </c>
      <c r="K488" s="30" t="n">
        <v>1.122</v>
      </c>
      <c r="L488" s="30" t="n">
        <v>0.872</v>
      </c>
      <c r="M488" s="30" t="n">
        <v>5.83</v>
      </c>
      <c r="N488" s="25" t="n">
        <v>1.86646452618637</v>
      </c>
      <c r="O488" s="17" t="n">
        <v>0</v>
      </c>
      <c r="P488" s="26" t="n">
        <v>0</v>
      </c>
      <c r="Q488" s="24" t="n">
        <f aca="false">IF(O488=1,1/(1+EXP(-(P488-Inputs!$B$12)/Inputs!$B$13)),0)</f>
        <v>0</v>
      </c>
      <c r="R488" s="24" t="n">
        <f aca="false">N488*O488</f>
        <v>0</v>
      </c>
      <c r="S488" s="12" t="n">
        <f aca="false">N488*Q488</f>
        <v>0</v>
      </c>
      <c r="T488" s="24" t="n">
        <f aca="false">N488^2</f>
        <v>3.48368982751213</v>
      </c>
    </row>
    <row r="489" customFormat="false" ht="15" hidden="false" customHeight="false" outlineLevel="0" collapsed="false">
      <c r="A489" s="5" t="s">
        <v>741</v>
      </c>
      <c r="B489" s="5" t="s">
        <v>186</v>
      </c>
      <c r="C489" s="5" t="s">
        <v>57</v>
      </c>
      <c r="D489" s="5" t="s">
        <v>64</v>
      </c>
      <c r="E489" s="5" t="s">
        <v>72</v>
      </c>
      <c r="F489" s="26" t="n">
        <v>46.79</v>
      </c>
      <c r="G489" s="26" t="n">
        <v>42.69</v>
      </c>
      <c r="H489" s="30" t="n">
        <v>1.043</v>
      </c>
      <c r="I489" s="28" t="n">
        <f aca="false">H489*G489/3.6</f>
        <v>12.3682416666667</v>
      </c>
      <c r="J489" s="30" t="n">
        <v>3.19</v>
      </c>
      <c r="K489" s="30" t="n">
        <v>2.019</v>
      </c>
      <c r="L489" s="30" t="n">
        <v>1.369</v>
      </c>
      <c r="M489" s="30" t="n">
        <v>6.66</v>
      </c>
      <c r="N489" s="25" t="n">
        <v>0.150727436271953</v>
      </c>
      <c r="O489" s="17" t="n">
        <v>0</v>
      </c>
      <c r="P489" s="26" t="n">
        <v>0</v>
      </c>
      <c r="Q489" s="24" t="n">
        <f aca="false">IF(O489=1,1/(1+EXP(-(P489-Inputs!$B$12)/Inputs!$B$13)),0)</f>
        <v>0</v>
      </c>
      <c r="R489" s="24" t="n">
        <f aca="false">N489*O489</f>
        <v>0</v>
      </c>
      <c r="S489" s="12" t="n">
        <f aca="false">N489*Q489</f>
        <v>0</v>
      </c>
      <c r="T489" s="24" t="n">
        <f aca="false">N489^2</f>
        <v>0.0227187600451156</v>
      </c>
    </row>
    <row r="490" customFormat="false" ht="15" hidden="false" customHeight="false" outlineLevel="0" collapsed="false">
      <c r="A490" s="5" t="s">
        <v>742</v>
      </c>
      <c r="B490" s="5" t="s">
        <v>186</v>
      </c>
      <c r="C490" s="5" t="s">
        <v>57</v>
      </c>
      <c r="D490" s="5" t="s">
        <v>64</v>
      </c>
      <c r="E490" s="5" t="s">
        <v>72</v>
      </c>
      <c r="F490" s="26" t="n">
        <v>52.81</v>
      </c>
      <c r="G490" s="26" t="n">
        <v>53.83</v>
      </c>
      <c r="H490" s="30" t="n">
        <v>1.058</v>
      </c>
      <c r="I490" s="28" t="n">
        <f aca="false">H490*G490/3.6</f>
        <v>15.8200388888889</v>
      </c>
      <c r="J490" s="30" t="n">
        <v>4.4</v>
      </c>
      <c r="K490" s="30" t="n">
        <v>1.235</v>
      </c>
      <c r="L490" s="30" t="n">
        <v>1.101</v>
      </c>
      <c r="M490" s="30" t="n">
        <v>6.15</v>
      </c>
      <c r="N490" s="25" t="n">
        <v>0.836476375075196</v>
      </c>
      <c r="O490" s="17" t="n">
        <v>0</v>
      </c>
      <c r="P490" s="26" t="n">
        <v>0</v>
      </c>
      <c r="Q490" s="24" t="n">
        <f aca="false">IF(O490=1,1/(1+EXP(-(P490-Inputs!$B$12)/Inputs!$B$13)),0)</f>
        <v>0</v>
      </c>
      <c r="R490" s="24" t="n">
        <f aca="false">N490*O490</f>
        <v>0</v>
      </c>
      <c r="S490" s="12" t="n">
        <f aca="false">N490*Q490</f>
        <v>0</v>
      </c>
      <c r="T490" s="24" t="n">
        <f aca="false">N490^2</f>
        <v>0.69969272605894</v>
      </c>
    </row>
    <row r="491" customFormat="false" ht="15" hidden="false" customHeight="false" outlineLevel="0" collapsed="false">
      <c r="A491" s="5" t="s">
        <v>743</v>
      </c>
      <c r="B491" s="5" t="s">
        <v>186</v>
      </c>
      <c r="C491" s="5" t="s">
        <v>57</v>
      </c>
      <c r="D491" s="5" t="s">
        <v>64</v>
      </c>
      <c r="E491" s="5" t="s">
        <v>72</v>
      </c>
      <c r="F491" s="26" t="n">
        <v>36.16</v>
      </c>
      <c r="G491" s="26" t="n">
        <v>36.34</v>
      </c>
      <c r="H491" s="30" t="n">
        <v>1.046</v>
      </c>
      <c r="I491" s="28" t="n">
        <f aca="false">H491*G491/3.6</f>
        <v>10.5587888888889</v>
      </c>
      <c r="J491" s="30" t="n">
        <v>4.12</v>
      </c>
      <c r="K491" s="30" t="n">
        <v>1.168</v>
      </c>
      <c r="L491" s="30" t="n">
        <v>1.689</v>
      </c>
      <c r="M491" s="30" t="n">
        <v>7.02</v>
      </c>
      <c r="N491" s="25" t="n">
        <v>0.163051243756977</v>
      </c>
      <c r="O491" s="17" t="n">
        <v>0</v>
      </c>
      <c r="P491" s="26" t="n">
        <v>0</v>
      </c>
      <c r="Q491" s="24" t="n">
        <f aca="false">IF(O491=1,1/(1+EXP(-(P491-Inputs!$B$12)/Inputs!$B$13)),0)</f>
        <v>0</v>
      </c>
      <c r="R491" s="24" t="n">
        <f aca="false">N491*O491</f>
        <v>0</v>
      </c>
      <c r="S491" s="12" t="n">
        <f aca="false">N491*Q491</f>
        <v>0</v>
      </c>
      <c r="T491" s="24" t="n">
        <f aca="false">N491^2</f>
        <v>0.026585708090697</v>
      </c>
    </row>
    <row r="492" customFormat="false" ht="15" hidden="false" customHeight="false" outlineLevel="0" collapsed="false">
      <c r="A492" s="5" t="s">
        <v>744</v>
      </c>
      <c r="B492" s="5" t="s">
        <v>186</v>
      </c>
      <c r="C492" s="5" t="s">
        <v>57</v>
      </c>
      <c r="D492" s="5" t="s">
        <v>64</v>
      </c>
      <c r="E492" s="5" t="s">
        <v>72</v>
      </c>
      <c r="F492" s="26" t="n">
        <v>40.14</v>
      </c>
      <c r="G492" s="26" t="n">
        <v>40.64</v>
      </c>
      <c r="H492" s="30" t="n">
        <v>1.064</v>
      </c>
      <c r="I492" s="28" t="n">
        <f aca="false">H492*G492/3.6</f>
        <v>12.0113777777778</v>
      </c>
      <c r="J492" s="30" t="n">
        <v>3.66</v>
      </c>
      <c r="K492" s="30" t="n">
        <v>1.144</v>
      </c>
      <c r="L492" s="30" t="n">
        <v>1.823</v>
      </c>
      <c r="M492" s="30" t="n">
        <v>7.11</v>
      </c>
      <c r="N492" s="25" t="n">
        <v>0.111231784748793</v>
      </c>
      <c r="O492" s="17" t="n">
        <v>0</v>
      </c>
      <c r="P492" s="26" t="n">
        <v>0</v>
      </c>
      <c r="Q492" s="24" t="n">
        <f aca="false">IF(O492=1,1/(1+EXP(-(P492-Inputs!$B$12)/Inputs!$B$13)),0)</f>
        <v>0</v>
      </c>
      <c r="R492" s="24" t="n">
        <f aca="false">N492*O492</f>
        <v>0</v>
      </c>
      <c r="S492" s="12" t="n">
        <f aca="false">N492*Q492</f>
        <v>0</v>
      </c>
      <c r="T492" s="24" t="n">
        <f aca="false">N492^2</f>
        <v>0.0123725099384018</v>
      </c>
    </row>
    <row r="493" customFormat="false" ht="15" hidden="false" customHeight="false" outlineLevel="0" collapsed="false">
      <c r="A493" s="5" t="s">
        <v>745</v>
      </c>
      <c r="B493" s="5" t="s">
        <v>186</v>
      </c>
      <c r="C493" s="5" t="s">
        <v>57</v>
      </c>
      <c r="D493" s="5" t="s">
        <v>64</v>
      </c>
      <c r="E493" s="5" t="s">
        <v>72</v>
      </c>
      <c r="F493" s="26" t="n">
        <v>36.94</v>
      </c>
      <c r="G493" s="26" t="n">
        <v>37.85</v>
      </c>
      <c r="H493" s="30" t="n">
        <v>1.035</v>
      </c>
      <c r="I493" s="28" t="n">
        <f aca="false">H493*G493/3.6</f>
        <v>10.881875</v>
      </c>
      <c r="J493" s="30" t="n">
        <v>2.88</v>
      </c>
      <c r="K493" s="30" t="n">
        <v>0.851</v>
      </c>
      <c r="L493" s="30" t="n">
        <v>2.322</v>
      </c>
      <c r="M493" s="30" t="n">
        <v>6.99</v>
      </c>
      <c r="N493" s="25" t="n">
        <v>0.0590156478636245</v>
      </c>
      <c r="O493" s="17" t="n">
        <v>0</v>
      </c>
      <c r="P493" s="26" t="n">
        <v>0</v>
      </c>
      <c r="Q493" s="24" t="n">
        <f aca="false">IF(O493=1,1/(1+EXP(-(P493-Inputs!$B$12)/Inputs!$B$13)),0)</f>
        <v>0</v>
      </c>
      <c r="R493" s="24" t="n">
        <f aca="false">N493*O493</f>
        <v>0</v>
      </c>
      <c r="S493" s="12" t="n">
        <f aca="false">N493*Q493</f>
        <v>0</v>
      </c>
      <c r="T493" s="24" t="n">
        <f aca="false">N493^2</f>
        <v>0.00348284669276333</v>
      </c>
    </row>
    <row r="494" customFormat="false" ht="15" hidden="false" customHeight="false" outlineLevel="0" collapsed="false">
      <c r="A494" s="5" t="s">
        <v>746</v>
      </c>
      <c r="B494" s="5" t="s">
        <v>186</v>
      </c>
      <c r="C494" s="5" t="s">
        <v>57</v>
      </c>
      <c r="D494" s="5" t="s">
        <v>64</v>
      </c>
      <c r="E494" s="5" t="s">
        <v>72</v>
      </c>
      <c r="F494" s="26" t="n">
        <v>53.02</v>
      </c>
      <c r="G494" s="26" t="n">
        <v>55.97</v>
      </c>
      <c r="H494" s="30" t="n">
        <v>1.306</v>
      </c>
      <c r="I494" s="28" t="n">
        <f aca="false">H494*G494/3.6</f>
        <v>20.3046722222222</v>
      </c>
      <c r="J494" s="30" t="n">
        <v>5.49</v>
      </c>
      <c r="K494" s="30" t="n">
        <v>0.816</v>
      </c>
      <c r="L494" s="30" t="n">
        <v>1.225</v>
      </c>
      <c r="M494" s="30" t="n">
        <v>7.77</v>
      </c>
      <c r="N494" s="25" t="n">
        <v>1.00829390936852</v>
      </c>
      <c r="O494" s="17" t="n">
        <v>0</v>
      </c>
      <c r="P494" s="26" t="n">
        <v>0</v>
      </c>
      <c r="Q494" s="24" t="n">
        <f aca="false">IF(O494=1,1/(1+EXP(-(P494-Inputs!$B$12)/Inputs!$B$13)),0)</f>
        <v>0</v>
      </c>
      <c r="R494" s="24" t="n">
        <f aca="false">N494*O494</f>
        <v>0</v>
      </c>
      <c r="S494" s="12" t="n">
        <f aca="false">N494*Q494</f>
        <v>0</v>
      </c>
      <c r="T494" s="24" t="n">
        <f aca="false">N494^2</f>
        <v>1.01665660766965</v>
      </c>
    </row>
    <row r="495" customFormat="false" ht="15" hidden="false" customHeight="false" outlineLevel="0" collapsed="false">
      <c r="A495" s="5" t="s">
        <v>747</v>
      </c>
      <c r="B495" s="5" t="s">
        <v>186</v>
      </c>
      <c r="C495" s="5" t="s">
        <v>57</v>
      </c>
      <c r="D495" s="5" t="s">
        <v>64</v>
      </c>
      <c r="E495" s="5" t="s">
        <v>72</v>
      </c>
      <c r="F495" s="26" t="n">
        <v>40.48</v>
      </c>
      <c r="G495" s="26" t="n">
        <v>40.79</v>
      </c>
      <c r="H495" s="30" t="n">
        <v>1.004</v>
      </c>
      <c r="I495" s="28" t="n">
        <f aca="false">H495*G495/3.6</f>
        <v>11.3758777777778</v>
      </c>
      <c r="J495" s="30" t="n">
        <v>6</v>
      </c>
      <c r="K495" s="30" t="n">
        <v>2.345</v>
      </c>
      <c r="L495" s="30" t="n">
        <v>1.448</v>
      </c>
      <c r="M495" s="30" t="n">
        <v>7.69</v>
      </c>
      <c r="N495" s="25" t="n">
        <v>0.0781196430821017</v>
      </c>
      <c r="O495" s="17" t="n">
        <v>1</v>
      </c>
      <c r="P495" s="26" t="n">
        <v>23.89</v>
      </c>
      <c r="Q495" s="24" t="n">
        <f aca="false">IF(O495=1,1/(1+EXP(-(P495-Inputs!$B$12)/Inputs!$B$13)),0)</f>
        <v>0.0467209818462475</v>
      </c>
      <c r="R495" s="24" t="n">
        <f aca="false">N495*O495</f>
        <v>0.0781196430821017</v>
      </c>
      <c r="S495" s="12" t="n">
        <f aca="false">N495*Q495</f>
        <v>0.00364982642627421</v>
      </c>
      <c r="T495" s="24" t="n">
        <f aca="false">N495^2</f>
        <v>0.00610267863527496</v>
      </c>
    </row>
    <row r="496" customFormat="false" ht="15" hidden="false" customHeight="false" outlineLevel="0" collapsed="false">
      <c r="A496" s="5" t="s">
        <v>748</v>
      </c>
      <c r="B496" s="5" t="s">
        <v>187</v>
      </c>
      <c r="C496" s="5" t="s">
        <v>57</v>
      </c>
      <c r="D496" s="5" t="s">
        <v>64</v>
      </c>
      <c r="E496" s="5" t="s">
        <v>73</v>
      </c>
      <c r="F496" s="26" t="n">
        <v>45.01</v>
      </c>
      <c r="G496" s="26" t="n">
        <v>44.84</v>
      </c>
      <c r="H496" s="30" t="n">
        <v>0.671</v>
      </c>
      <c r="I496" s="28" t="n">
        <f aca="false">H496*G496/3.6</f>
        <v>8.35767777777778</v>
      </c>
      <c r="J496" s="30" t="n">
        <v>4.25</v>
      </c>
      <c r="K496" s="30" t="n">
        <v>2.338</v>
      </c>
      <c r="L496" s="30" t="n">
        <v>2.312</v>
      </c>
      <c r="M496" s="30" t="n">
        <v>4.15</v>
      </c>
      <c r="N496" s="25" t="n">
        <v>0.0243392327084757</v>
      </c>
      <c r="O496" s="17" t="n">
        <v>1</v>
      </c>
      <c r="P496" s="26" t="n">
        <v>30.42</v>
      </c>
      <c r="Q496" s="24" t="n">
        <f aca="false">IF(O496=1,1/(1+EXP(-(P496-Inputs!$B$12)/Inputs!$B$13)),0)</f>
        <v>0.110774215607194</v>
      </c>
      <c r="R496" s="24" t="n">
        <f aca="false">N496*O496</f>
        <v>0.0243392327084757</v>
      </c>
      <c r="S496" s="12" t="n">
        <f aca="false">N496*Q496</f>
        <v>0.00269615941176235</v>
      </c>
      <c r="T496" s="24" t="n">
        <f aca="false">N496^2</f>
        <v>0.000592398248837332</v>
      </c>
    </row>
    <row r="497" customFormat="false" ht="15" hidden="false" customHeight="false" outlineLevel="0" collapsed="false">
      <c r="A497" s="5" t="s">
        <v>749</v>
      </c>
      <c r="B497" s="5" t="s">
        <v>187</v>
      </c>
      <c r="C497" s="5" t="s">
        <v>57</v>
      </c>
      <c r="D497" s="5" t="s">
        <v>64</v>
      </c>
      <c r="E497" s="5" t="s">
        <v>73</v>
      </c>
      <c r="F497" s="26" t="n">
        <v>37.98</v>
      </c>
      <c r="G497" s="26" t="n">
        <v>39.61</v>
      </c>
      <c r="H497" s="30" t="n">
        <v>0.561</v>
      </c>
      <c r="I497" s="28" t="n">
        <f aca="false">H497*G497/3.6</f>
        <v>6.17255833333333</v>
      </c>
      <c r="J497" s="30" t="n">
        <v>4.68</v>
      </c>
      <c r="K497" s="30" t="n">
        <v>0.631</v>
      </c>
      <c r="L497" s="30" t="n">
        <v>2.275</v>
      </c>
      <c r="M497" s="30" t="n">
        <v>7.33</v>
      </c>
      <c r="N497" s="25" t="n">
        <v>0.0967985400866469</v>
      </c>
      <c r="O497" s="17" t="n">
        <v>1</v>
      </c>
      <c r="P497" s="26" t="n">
        <v>12.42</v>
      </c>
      <c r="Q497" s="24" t="n">
        <f aca="false">IF(O497=1,1/(1+EXP(-(P497-Inputs!$B$12)/Inputs!$B$13)),0)</f>
        <v>0.00943092223378901</v>
      </c>
      <c r="R497" s="24" t="n">
        <f aca="false">N497*O497</f>
        <v>0.0967985400866469</v>
      </c>
      <c r="S497" s="12" t="n">
        <f aca="false">N497*Q497</f>
        <v>0.000912899503901474</v>
      </c>
      <c r="T497" s="24" t="n">
        <f aca="false">N497^2</f>
        <v>0.00936995736290618</v>
      </c>
    </row>
    <row r="498" customFormat="false" ht="15" hidden="false" customHeight="false" outlineLevel="0" collapsed="false">
      <c r="A498" s="5" t="s">
        <v>750</v>
      </c>
      <c r="B498" s="5" t="s">
        <v>187</v>
      </c>
      <c r="C498" s="5" t="s">
        <v>57</v>
      </c>
      <c r="D498" s="5" t="s">
        <v>64</v>
      </c>
      <c r="E498" s="5" t="s">
        <v>73</v>
      </c>
      <c r="F498" s="26" t="n">
        <v>48.59</v>
      </c>
      <c r="G498" s="26" t="n">
        <v>50.03</v>
      </c>
      <c r="H498" s="30" t="n">
        <v>0.81</v>
      </c>
      <c r="I498" s="28" t="n">
        <f aca="false">H498*G498/3.6</f>
        <v>11.25675</v>
      </c>
      <c r="J498" s="30" t="n">
        <v>5.27</v>
      </c>
      <c r="K498" s="30" t="n">
        <v>1.102</v>
      </c>
      <c r="L498" s="30" t="n">
        <v>0.799</v>
      </c>
      <c r="M498" s="30" t="n">
        <v>7.85</v>
      </c>
      <c r="N498" s="25" t="n">
        <v>1.75592065142636</v>
      </c>
      <c r="O498" s="17" t="n">
        <v>0</v>
      </c>
      <c r="P498" s="26" t="n">
        <v>0</v>
      </c>
      <c r="Q498" s="24" t="n">
        <f aca="false">IF(O498=1,1/(1+EXP(-(P498-Inputs!$B$12)/Inputs!$B$13)),0)</f>
        <v>0</v>
      </c>
      <c r="R498" s="24" t="n">
        <f aca="false">N498*O498</f>
        <v>0</v>
      </c>
      <c r="S498" s="12" t="n">
        <f aca="false">N498*Q498</f>
        <v>0</v>
      </c>
      <c r="T498" s="24" t="n">
        <f aca="false">N498^2</f>
        <v>3.08325733410556</v>
      </c>
    </row>
    <row r="499" customFormat="false" ht="15" hidden="false" customHeight="false" outlineLevel="0" collapsed="false">
      <c r="A499" s="5" t="s">
        <v>751</v>
      </c>
      <c r="B499" s="5" t="s">
        <v>187</v>
      </c>
      <c r="C499" s="5" t="s">
        <v>57</v>
      </c>
      <c r="D499" s="5" t="s">
        <v>64</v>
      </c>
      <c r="E499" s="5" t="s">
        <v>73</v>
      </c>
      <c r="F499" s="26" t="n">
        <v>41.86</v>
      </c>
      <c r="G499" s="26" t="n">
        <v>44.3</v>
      </c>
      <c r="H499" s="30" t="n">
        <v>0.59</v>
      </c>
      <c r="I499" s="28" t="n">
        <f aca="false">H499*G499/3.6</f>
        <v>7.26027777777778</v>
      </c>
      <c r="J499" s="30" t="n">
        <v>3.37</v>
      </c>
      <c r="K499" s="30" t="n">
        <v>1.08</v>
      </c>
      <c r="L499" s="30" t="n">
        <v>0.926</v>
      </c>
      <c r="M499" s="30" t="n">
        <v>4.71</v>
      </c>
      <c r="N499" s="25" t="n">
        <v>2.26130726252227</v>
      </c>
      <c r="O499" s="17" t="n">
        <v>0</v>
      </c>
      <c r="P499" s="26" t="n">
        <v>0</v>
      </c>
      <c r="Q499" s="24" t="n">
        <f aca="false">IF(O499=1,1/(1+EXP(-(P499-Inputs!$B$12)/Inputs!$B$13)),0)</f>
        <v>0</v>
      </c>
      <c r="R499" s="24" t="n">
        <f aca="false">N499*O499</f>
        <v>0</v>
      </c>
      <c r="S499" s="12" t="n">
        <f aca="false">N499*Q499</f>
        <v>0</v>
      </c>
      <c r="T499" s="24" t="n">
        <f aca="false">N499^2</f>
        <v>5.11351053553595</v>
      </c>
    </row>
    <row r="500" customFormat="false" ht="15" hidden="false" customHeight="false" outlineLevel="0" collapsed="false">
      <c r="A500" s="5" t="s">
        <v>752</v>
      </c>
      <c r="B500" s="5" t="s">
        <v>187</v>
      </c>
      <c r="C500" s="5" t="s">
        <v>57</v>
      </c>
      <c r="D500" s="5" t="s">
        <v>64</v>
      </c>
      <c r="E500" s="5" t="s">
        <v>73</v>
      </c>
      <c r="F500" s="26" t="n">
        <v>54.79</v>
      </c>
      <c r="G500" s="26" t="n">
        <v>56.72</v>
      </c>
      <c r="H500" s="30" t="n">
        <v>0.76</v>
      </c>
      <c r="I500" s="28" t="n">
        <f aca="false">H500*G500/3.6</f>
        <v>11.9742222222222</v>
      </c>
      <c r="J500" s="30" t="n">
        <v>4.28</v>
      </c>
      <c r="K500" s="30" t="n">
        <v>0.504</v>
      </c>
      <c r="L500" s="30" t="n">
        <v>2.221</v>
      </c>
      <c r="M500" s="30" t="n">
        <v>4.56</v>
      </c>
      <c r="N500" s="25" t="n">
        <v>0.496161564800877</v>
      </c>
      <c r="O500" s="17" t="n">
        <v>0</v>
      </c>
      <c r="P500" s="26" t="n">
        <v>0</v>
      </c>
      <c r="Q500" s="24" t="n">
        <f aca="false">IF(O500=1,1/(1+EXP(-(P500-Inputs!$B$12)/Inputs!$B$13)),0)</f>
        <v>0</v>
      </c>
      <c r="R500" s="24" t="n">
        <f aca="false">N500*O500</f>
        <v>0</v>
      </c>
      <c r="S500" s="12" t="n">
        <f aca="false">N500*Q500</f>
        <v>0</v>
      </c>
      <c r="T500" s="24" t="n">
        <f aca="false">N500^2</f>
        <v>0.246176298385654</v>
      </c>
    </row>
    <row r="501" customFormat="false" ht="15" hidden="false" customHeight="false" outlineLevel="0" collapsed="false">
      <c r="A501" s="5" t="s">
        <v>753</v>
      </c>
      <c r="B501" s="5" t="s">
        <v>187</v>
      </c>
      <c r="C501" s="5" t="s">
        <v>57</v>
      </c>
      <c r="D501" s="5" t="s">
        <v>64</v>
      </c>
      <c r="E501" s="5" t="s">
        <v>73</v>
      </c>
      <c r="F501" s="26" t="n">
        <v>37.25</v>
      </c>
      <c r="G501" s="26" t="n">
        <v>38.06</v>
      </c>
      <c r="H501" s="30" t="n">
        <v>0.715</v>
      </c>
      <c r="I501" s="28" t="n">
        <f aca="false">H501*G501/3.6</f>
        <v>7.55913888888889</v>
      </c>
      <c r="J501" s="30" t="n">
        <v>4.43</v>
      </c>
      <c r="K501" s="30" t="n">
        <v>0.931</v>
      </c>
      <c r="L501" s="30" t="n">
        <v>0.914</v>
      </c>
      <c r="M501" s="30" t="n">
        <v>7.89</v>
      </c>
      <c r="N501" s="25" t="n">
        <v>1.62169969914807</v>
      </c>
      <c r="O501" s="17" t="n">
        <v>0</v>
      </c>
      <c r="P501" s="26" t="n">
        <v>0</v>
      </c>
      <c r="Q501" s="24" t="n">
        <f aca="false">IF(O501=1,1/(1+EXP(-(P501-Inputs!$B$12)/Inputs!$B$13)),0)</f>
        <v>0</v>
      </c>
      <c r="R501" s="24" t="n">
        <f aca="false">N501*O501</f>
        <v>0</v>
      </c>
      <c r="S501" s="12" t="n">
        <f aca="false">N501*Q501</f>
        <v>0</v>
      </c>
      <c r="T501" s="24" t="n">
        <f aca="false">N501^2</f>
        <v>2.62990991421692</v>
      </c>
    </row>
    <row r="502" customFormat="false" ht="15" hidden="false" customHeight="false" outlineLevel="0" collapsed="false">
      <c r="A502" s="5" t="s">
        <v>754</v>
      </c>
      <c r="B502" s="5" t="s">
        <v>187</v>
      </c>
      <c r="C502" s="5" t="s">
        <v>57</v>
      </c>
      <c r="D502" s="5" t="s">
        <v>64</v>
      </c>
      <c r="E502" s="5" t="s">
        <v>73</v>
      </c>
      <c r="F502" s="26" t="n">
        <v>50.97</v>
      </c>
      <c r="G502" s="26" t="n">
        <v>52.29</v>
      </c>
      <c r="H502" s="30" t="n">
        <v>0.553</v>
      </c>
      <c r="I502" s="28" t="n">
        <f aca="false">H502*G502/3.6</f>
        <v>8.032325</v>
      </c>
      <c r="J502" s="30" t="n">
        <v>5.96</v>
      </c>
      <c r="K502" s="30" t="n">
        <v>1.951</v>
      </c>
      <c r="L502" s="30" t="n">
        <v>1.361</v>
      </c>
      <c r="M502" s="30" t="n">
        <v>6.74</v>
      </c>
      <c r="N502" s="25" t="n">
        <v>0.15545660099495</v>
      </c>
      <c r="O502" s="17" t="n">
        <v>1</v>
      </c>
      <c r="P502" s="26" t="n">
        <v>30.09</v>
      </c>
      <c r="Q502" s="24" t="n">
        <f aca="false">IF(O502=1,1/(1+EXP(-(P502-Inputs!$B$12)/Inputs!$B$13)),0)</f>
        <v>0.106214991675176</v>
      </c>
      <c r="R502" s="24" t="n">
        <f aca="false">N502*O502</f>
        <v>0.15545660099495</v>
      </c>
      <c r="S502" s="12" t="n">
        <f aca="false">N502*Q502</f>
        <v>0.0165118215805297</v>
      </c>
      <c r="T502" s="24" t="n">
        <f aca="false">N502^2</f>
        <v>0.0241667547929031</v>
      </c>
    </row>
    <row r="503" customFormat="false" ht="15" hidden="false" customHeight="false" outlineLevel="0" collapsed="false">
      <c r="A503" s="5" t="s">
        <v>755</v>
      </c>
      <c r="B503" s="5" t="s">
        <v>187</v>
      </c>
      <c r="C503" s="5" t="s">
        <v>57</v>
      </c>
      <c r="D503" s="5" t="s">
        <v>64</v>
      </c>
      <c r="E503" s="5" t="s">
        <v>73</v>
      </c>
      <c r="F503" s="26" t="n">
        <v>49.78</v>
      </c>
      <c r="G503" s="26" t="n">
        <v>47.59</v>
      </c>
      <c r="H503" s="30" t="n">
        <v>0.559</v>
      </c>
      <c r="I503" s="28" t="n">
        <f aca="false">H503*G503/3.6</f>
        <v>7.38966944444445</v>
      </c>
      <c r="J503" s="30" t="n">
        <v>2.52</v>
      </c>
      <c r="K503" s="30" t="n">
        <v>2.928</v>
      </c>
      <c r="L503" s="30" t="n">
        <v>1.573</v>
      </c>
      <c r="M503" s="30" t="n">
        <v>5.83</v>
      </c>
      <c r="N503" s="25" t="n">
        <v>0.0520438722503778</v>
      </c>
      <c r="O503" s="17" t="n">
        <v>0</v>
      </c>
      <c r="P503" s="26" t="n">
        <v>0</v>
      </c>
      <c r="Q503" s="24" t="n">
        <f aca="false">IF(O503=1,1/(1+EXP(-(P503-Inputs!$B$12)/Inputs!$B$13)),0)</f>
        <v>0</v>
      </c>
      <c r="R503" s="24" t="n">
        <f aca="false">N503*O503</f>
        <v>0</v>
      </c>
      <c r="S503" s="12" t="n">
        <f aca="false">N503*Q503</f>
        <v>0</v>
      </c>
      <c r="T503" s="24" t="n">
        <f aca="false">N503^2</f>
        <v>0.00270856463881365</v>
      </c>
    </row>
    <row r="504" customFormat="false" ht="15" hidden="false" customHeight="false" outlineLevel="0" collapsed="false">
      <c r="A504" s="5" t="s">
        <v>756</v>
      </c>
      <c r="B504" s="5" t="s">
        <v>187</v>
      </c>
      <c r="C504" s="5" t="s">
        <v>57</v>
      </c>
      <c r="D504" s="5" t="s">
        <v>64</v>
      </c>
      <c r="E504" s="5" t="s">
        <v>73</v>
      </c>
      <c r="F504" s="26" t="n">
        <v>45.7</v>
      </c>
      <c r="G504" s="26" t="n">
        <v>43.73</v>
      </c>
      <c r="H504" s="30" t="n">
        <v>0.607</v>
      </c>
      <c r="I504" s="28" t="n">
        <f aca="false">H504*G504/3.6</f>
        <v>7.37336388888889</v>
      </c>
      <c r="J504" s="30" t="n">
        <v>5.23</v>
      </c>
      <c r="K504" s="30" t="n">
        <v>0.871</v>
      </c>
      <c r="L504" s="30" t="n">
        <v>2.004</v>
      </c>
      <c r="M504" s="30" t="n">
        <v>4.32</v>
      </c>
      <c r="N504" s="25" t="n">
        <v>0.299801416448759</v>
      </c>
      <c r="O504" s="17" t="n">
        <v>1</v>
      </c>
      <c r="P504" s="26" t="n">
        <v>8.53</v>
      </c>
      <c r="Q504" s="24" t="n">
        <f aca="false">IF(O504=1,1/(1+EXP(-(P504-Inputs!$B$12)/Inputs!$B$13)),0)</f>
        <v>0.00543200584425013</v>
      </c>
      <c r="R504" s="24" t="n">
        <f aca="false">N504*O504</f>
        <v>0.299801416448759</v>
      </c>
      <c r="S504" s="12" t="n">
        <f aca="false">N504*Q504</f>
        <v>0.00162852304626413</v>
      </c>
      <c r="T504" s="24" t="n">
        <f aca="false">N504^2</f>
        <v>0.0898808893046823</v>
      </c>
    </row>
    <row r="505" customFormat="false" ht="15" hidden="false" customHeight="false" outlineLevel="0" collapsed="false">
      <c r="A505" s="5" t="s">
        <v>757</v>
      </c>
      <c r="B505" s="5" t="s">
        <v>187</v>
      </c>
      <c r="C505" s="5" t="s">
        <v>57</v>
      </c>
      <c r="D505" s="5" t="s">
        <v>64</v>
      </c>
      <c r="E505" s="5" t="s">
        <v>73</v>
      </c>
      <c r="F505" s="26" t="n">
        <v>53.65</v>
      </c>
      <c r="G505" s="26" t="n">
        <v>54.03</v>
      </c>
      <c r="H505" s="30" t="n">
        <v>0.807</v>
      </c>
      <c r="I505" s="28" t="n">
        <f aca="false">H505*G505/3.6</f>
        <v>12.111725</v>
      </c>
      <c r="J505" s="30" t="n">
        <v>3.96</v>
      </c>
      <c r="K505" s="30" t="n">
        <v>1.435</v>
      </c>
      <c r="L505" s="30" t="n">
        <v>1.158</v>
      </c>
      <c r="M505" s="30" t="n">
        <v>4.5</v>
      </c>
      <c r="N505" s="25" t="n">
        <v>0.931703236816083</v>
      </c>
      <c r="O505" s="17" t="n">
        <v>0</v>
      </c>
      <c r="P505" s="26" t="n">
        <v>0</v>
      </c>
      <c r="Q505" s="24" t="n">
        <f aca="false">IF(O505=1,1/(1+EXP(-(P505-Inputs!$B$12)/Inputs!$B$13)),0)</f>
        <v>0</v>
      </c>
      <c r="R505" s="24" t="n">
        <f aca="false">N505*O505</f>
        <v>0</v>
      </c>
      <c r="S505" s="12" t="n">
        <f aca="false">N505*Q505</f>
        <v>0</v>
      </c>
      <c r="T505" s="24" t="n">
        <f aca="false">N505^2</f>
        <v>0.868070921493567</v>
      </c>
    </row>
    <row r="506" customFormat="false" ht="15" hidden="false" customHeight="false" outlineLevel="0" collapsed="false">
      <c r="A506" s="5" t="s">
        <v>758</v>
      </c>
      <c r="B506" s="5" t="s">
        <v>188</v>
      </c>
      <c r="C506" s="5" t="s">
        <v>57</v>
      </c>
      <c r="D506" s="5" t="s">
        <v>65</v>
      </c>
      <c r="E506" s="5" t="s">
        <v>68</v>
      </c>
      <c r="F506" s="26" t="n">
        <v>61.18</v>
      </c>
      <c r="G506" s="26" t="n">
        <v>62.55</v>
      </c>
      <c r="H506" s="30" t="n">
        <v>3.598</v>
      </c>
      <c r="I506" s="28" t="n">
        <f aca="false">H506*G506/3.6</f>
        <v>62.51525</v>
      </c>
      <c r="J506" s="30" t="n">
        <v>2.84</v>
      </c>
      <c r="K506" s="30" t="n">
        <v>0.947</v>
      </c>
      <c r="L506" s="30" t="n">
        <v>1.724</v>
      </c>
      <c r="M506" s="30" t="n">
        <v>4.62</v>
      </c>
      <c r="N506" s="25" t="n">
        <v>0.451176780529372</v>
      </c>
      <c r="O506" s="17" t="n">
        <v>0</v>
      </c>
      <c r="P506" s="26" t="n">
        <v>0</v>
      </c>
      <c r="Q506" s="24" t="n">
        <f aca="false">IF(O506=1,1/(1+EXP(-(P506-Inputs!$B$12)/Inputs!$B$13)),0)</f>
        <v>0</v>
      </c>
      <c r="R506" s="24" t="n">
        <f aca="false">N506*O506</f>
        <v>0</v>
      </c>
      <c r="S506" s="12" t="n">
        <f aca="false">N506*Q506</f>
        <v>0</v>
      </c>
      <c r="T506" s="24" t="n">
        <f aca="false">N506^2</f>
        <v>0.203560487288849</v>
      </c>
    </row>
    <row r="507" customFormat="false" ht="15" hidden="false" customHeight="false" outlineLevel="0" collapsed="false">
      <c r="A507" s="5" t="s">
        <v>759</v>
      </c>
      <c r="B507" s="5" t="s">
        <v>188</v>
      </c>
      <c r="C507" s="5" t="s">
        <v>57</v>
      </c>
      <c r="D507" s="5" t="s">
        <v>65</v>
      </c>
      <c r="E507" s="5" t="s">
        <v>68</v>
      </c>
      <c r="F507" s="26" t="n">
        <v>72.67</v>
      </c>
      <c r="G507" s="26" t="n">
        <v>74.2</v>
      </c>
      <c r="H507" s="30" t="n">
        <v>4.225</v>
      </c>
      <c r="I507" s="28" t="n">
        <f aca="false">H507*G507/3.6</f>
        <v>87.0819444444445</v>
      </c>
      <c r="J507" s="30" t="n">
        <v>2.78</v>
      </c>
      <c r="K507" s="30" t="n">
        <v>2.312</v>
      </c>
      <c r="L507" s="30" t="n">
        <v>1.548</v>
      </c>
      <c r="M507" s="30" t="n">
        <v>4.36</v>
      </c>
      <c r="N507" s="25" t="n">
        <v>0.132762315099748</v>
      </c>
      <c r="O507" s="17" t="n">
        <v>0</v>
      </c>
      <c r="P507" s="26" t="n">
        <v>0</v>
      </c>
      <c r="Q507" s="24" t="n">
        <f aca="false">IF(O507=1,1/(1+EXP(-(P507-Inputs!$B$12)/Inputs!$B$13)),0)</f>
        <v>0</v>
      </c>
      <c r="R507" s="24" t="n">
        <f aca="false">N507*O507</f>
        <v>0</v>
      </c>
      <c r="S507" s="12" t="n">
        <f aca="false">N507*Q507</f>
        <v>0</v>
      </c>
      <c r="T507" s="24" t="n">
        <f aca="false">N507^2</f>
        <v>0.0176258323106447</v>
      </c>
    </row>
    <row r="508" customFormat="false" ht="15" hidden="false" customHeight="false" outlineLevel="0" collapsed="false">
      <c r="A508" s="5" t="s">
        <v>760</v>
      </c>
      <c r="B508" s="5" t="s">
        <v>188</v>
      </c>
      <c r="C508" s="5" t="s">
        <v>57</v>
      </c>
      <c r="D508" s="5" t="s">
        <v>65</v>
      </c>
      <c r="E508" s="5" t="s">
        <v>68</v>
      </c>
      <c r="F508" s="26" t="n">
        <v>67.78</v>
      </c>
      <c r="G508" s="26" t="n">
        <v>68.1</v>
      </c>
      <c r="H508" s="30" t="n">
        <v>3.64</v>
      </c>
      <c r="I508" s="28" t="n">
        <f aca="false">H508*G508/3.6</f>
        <v>68.8566666666667</v>
      </c>
      <c r="J508" s="30" t="n">
        <v>3.12</v>
      </c>
      <c r="K508" s="30" t="n">
        <v>0.7</v>
      </c>
      <c r="L508" s="30" t="n">
        <v>1.144</v>
      </c>
      <c r="M508" s="30" t="n">
        <v>5.31</v>
      </c>
      <c r="N508" s="25" t="n">
        <v>2.70508643618296</v>
      </c>
      <c r="O508" s="17" t="n">
        <v>0</v>
      </c>
      <c r="P508" s="26" t="n">
        <v>0</v>
      </c>
      <c r="Q508" s="24" t="n">
        <f aca="false">IF(O508=1,1/(1+EXP(-(P508-Inputs!$B$12)/Inputs!$B$13)),0)</f>
        <v>0</v>
      </c>
      <c r="R508" s="24" t="n">
        <f aca="false">N508*O508</f>
        <v>0</v>
      </c>
      <c r="S508" s="12" t="n">
        <f aca="false">N508*Q508</f>
        <v>0</v>
      </c>
      <c r="T508" s="24" t="n">
        <f aca="false">N508^2</f>
        <v>7.31749262722104</v>
      </c>
    </row>
    <row r="509" customFormat="false" ht="15" hidden="false" customHeight="false" outlineLevel="0" collapsed="false">
      <c r="A509" s="5" t="s">
        <v>761</v>
      </c>
      <c r="B509" s="5" t="s">
        <v>188</v>
      </c>
      <c r="C509" s="5" t="s">
        <v>57</v>
      </c>
      <c r="D509" s="5" t="s">
        <v>65</v>
      </c>
      <c r="E509" s="5" t="s">
        <v>68</v>
      </c>
      <c r="F509" s="26" t="n">
        <v>61.46</v>
      </c>
      <c r="G509" s="26" t="n">
        <v>61.38</v>
      </c>
      <c r="H509" s="30" t="n">
        <v>3.816</v>
      </c>
      <c r="I509" s="28" t="n">
        <f aca="false">H509*G509/3.6</f>
        <v>65.0628</v>
      </c>
      <c r="J509" s="30" t="n">
        <v>4.86</v>
      </c>
      <c r="K509" s="30" t="n">
        <v>1.363</v>
      </c>
      <c r="L509" s="30" t="n">
        <v>1.777</v>
      </c>
      <c r="M509" s="30" t="n">
        <v>3.86</v>
      </c>
      <c r="N509" s="25" t="n">
        <v>0.285714383710845</v>
      </c>
      <c r="O509" s="17" t="n">
        <v>0</v>
      </c>
      <c r="P509" s="26" t="n">
        <v>0</v>
      </c>
      <c r="Q509" s="24" t="n">
        <f aca="false">IF(O509=1,1/(1+EXP(-(P509-Inputs!$B$12)/Inputs!$B$13)),0)</f>
        <v>0</v>
      </c>
      <c r="R509" s="24" t="n">
        <f aca="false">N509*O509</f>
        <v>0</v>
      </c>
      <c r="S509" s="12" t="n">
        <f aca="false">N509*Q509</f>
        <v>0</v>
      </c>
      <c r="T509" s="24" t="n">
        <f aca="false">N509^2</f>
        <v>0.0816327090592681</v>
      </c>
    </row>
    <row r="510" customFormat="false" ht="15" hidden="false" customHeight="false" outlineLevel="0" collapsed="false">
      <c r="A510" s="5" t="s">
        <v>762</v>
      </c>
      <c r="B510" s="5" t="s">
        <v>188</v>
      </c>
      <c r="C510" s="5" t="s">
        <v>57</v>
      </c>
      <c r="D510" s="5" t="s">
        <v>65</v>
      </c>
      <c r="E510" s="5" t="s">
        <v>68</v>
      </c>
      <c r="F510" s="26" t="n">
        <v>67.44</v>
      </c>
      <c r="G510" s="26" t="n">
        <v>68.9</v>
      </c>
      <c r="H510" s="30" t="n">
        <v>3.737</v>
      </c>
      <c r="I510" s="28" t="n">
        <f aca="false">H510*G510/3.6</f>
        <v>71.5220277777778</v>
      </c>
      <c r="J510" s="30" t="n">
        <v>3.97</v>
      </c>
      <c r="K510" s="30" t="n">
        <v>0.649</v>
      </c>
      <c r="L510" s="30" t="n">
        <v>0.893</v>
      </c>
      <c r="M510" s="30" t="n">
        <v>7.78</v>
      </c>
      <c r="N510" s="25" t="n">
        <v>2.87742764717532</v>
      </c>
      <c r="O510" s="17" t="n">
        <v>0</v>
      </c>
      <c r="P510" s="26" t="n">
        <v>0</v>
      </c>
      <c r="Q510" s="24" t="n">
        <f aca="false">IF(O510=1,1/(1+EXP(-(P510-Inputs!$B$12)/Inputs!$B$13)),0)</f>
        <v>0</v>
      </c>
      <c r="R510" s="24" t="n">
        <f aca="false">N510*O510</f>
        <v>0</v>
      </c>
      <c r="S510" s="12" t="n">
        <f aca="false">N510*Q510</f>
        <v>0</v>
      </c>
      <c r="T510" s="24" t="n">
        <f aca="false">N510^2</f>
        <v>8.27958986472888</v>
      </c>
    </row>
    <row r="511" customFormat="false" ht="15" hidden="false" customHeight="false" outlineLevel="0" collapsed="false">
      <c r="A511" s="5" t="s">
        <v>763</v>
      </c>
      <c r="B511" s="5" t="s">
        <v>188</v>
      </c>
      <c r="C511" s="5" t="s">
        <v>57</v>
      </c>
      <c r="D511" s="5" t="s">
        <v>65</v>
      </c>
      <c r="E511" s="5" t="s">
        <v>68</v>
      </c>
      <c r="F511" s="26" t="n">
        <v>56.05</v>
      </c>
      <c r="G511" s="26" t="n">
        <v>51.19</v>
      </c>
      <c r="H511" s="30" t="n">
        <v>3.724</v>
      </c>
      <c r="I511" s="28" t="n">
        <f aca="false">H511*G511/3.6</f>
        <v>52.9532111111111</v>
      </c>
      <c r="J511" s="30" t="n">
        <v>2.94</v>
      </c>
      <c r="K511" s="30" t="n">
        <v>0.326</v>
      </c>
      <c r="L511" s="30" t="n">
        <v>1.844</v>
      </c>
      <c r="M511" s="30" t="n">
        <v>3.83</v>
      </c>
      <c r="N511" s="25" t="n">
        <v>4.16397835862405</v>
      </c>
      <c r="O511" s="17" t="n">
        <v>0</v>
      </c>
      <c r="P511" s="26" t="n">
        <v>0</v>
      </c>
      <c r="Q511" s="24" t="n">
        <f aca="false">IF(O511=1,1/(1+EXP(-(P511-Inputs!$B$12)/Inputs!$B$13)),0)</f>
        <v>0</v>
      </c>
      <c r="R511" s="24" t="n">
        <f aca="false">N511*O511</f>
        <v>0</v>
      </c>
      <c r="S511" s="12" t="n">
        <f aca="false">N511*Q511</f>
        <v>0</v>
      </c>
      <c r="T511" s="24" t="n">
        <f aca="false">N511^2</f>
        <v>17.3387157710895</v>
      </c>
    </row>
    <row r="512" customFormat="false" ht="15" hidden="false" customHeight="false" outlineLevel="0" collapsed="false">
      <c r="A512" s="5" t="s">
        <v>764</v>
      </c>
      <c r="B512" s="5" t="s">
        <v>188</v>
      </c>
      <c r="C512" s="5" t="s">
        <v>57</v>
      </c>
      <c r="D512" s="5" t="s">
        <v>65</v>
      </c>
      <c r="E512" s="5" t="s">
        <v>68</v>
      </c>
      <c r="F512" s="26" t="n">
        <v>67.69</v>
      </c>
      <c r="G512" s="26" t="n">
        <v>68.14</v>
      </c>
      <c r="H512" s="30" t="n">
        <v>3.829</v>
      </c>
      <c r="I512" s="28" t="n">
        <f aca="false">H512*G512/3.6</f>
        <v>72.4744611111111</v>
      </c>
      <c r="J512" s="30" t="n">
        <v>3.7</v>
      </c>
      <c r="K512" s="30" t="n">
        <v>2.635</v>
      </c>
      <c r="L512" s="30" t="n">
        <v>1.051</v>
      </c>
      <c r="M512" s="30" t="n">
        <v>6.34</v>
      </c>
      <c r="N512" s="25" t="n">
        <v>0.206419118403539</v>
      </c>
      <c r="O512" s="17" t="n">
        <v>0</v>
      </c>
      <c r="P512" s="26" t="n">
        <v>0</v>
      </c>
      <c r="Q512" s="24" t="n">
        <f aca="false">IF(O512=1,1/(1+EXP(-(P512-Inputs!$B$12)/Inputs!$B$13)),0)</f>
        <v>0</v>
      </c>
      <c r="R512" s="24" t="n">
        <f aca="false">N512*O512</f>
        <v>0</v>
      </c>
      <c r="S512" s="12" t="n">
        <f aca="false">N512*Q512</f>
        <v>0</v>
      </c>
      <c r="T512" s="24" t="n">
        <f aca="false">N512^2</f>
        <v>0.042608852442494</v>
      </c>
    </row>
    <row r="513" customFormat="false" ht="15" hidden="false" customHeight="false" outlineLevel="0" collapsed="false">
      <c r="A513" s="5" t="s">
        <v>765</v>
      </c>
      <c r="B513" s="5" t="s">
        <v>188</v>
      </c>
      <c r="C513" s="5" t="s">
        <v>57</v>
      </c>
      <c r="D513" s="5" t="s">
        <v>65</v>
      </c>
      <c r="E513" s="5" t="s">
        <v>68</v>
      </c>
      <c r="F513" s="26" t="n">
        <v>66.06</v>
      </c>
      <c r="G513" s="26" t="n">
        <v>65.61</v>
      </c>
      <c r="H513" s="30" t="n">
        <v>4.987</v>
      </c>
      <c r="I513" s="28" t="n">
        <f aca="false">H513*G513/3.6</f>
        <v>90.888075</v>
      </c>
      <c r="J513" s="30" t="n">
        <v>5.3</v>
      </c>
      <c r="K513" s="30" t="n">
        <v>1.667</v>
      </c>
      <c r="L513" s="30" t="n">
        <v>1.789</v>
      </c>
      <c r="M513" s="30" t="n">
        <v>3.68</v>
      </c>
      <c r="N513" s="25" t="n">
        <v>0.331513499945815</v>
      </c>
      <c r="O513" s="17" t="n">
        <v>0</v>
      </c>
      <c r="P513" s="26" t="n">
        <v>0</v>
      </c>
      <c r="Q513" s="24" t="n">
        <f aca="false">IF(O513=1,1/(1+EXP(-(P513-Inputs!$B$12)/Inputs!$B$13)),0)</f>
        <v>0</v>
      </c>
      <c r="R513" s="24" t="n">
        <f aca="false">N513*O513</f>
        <v>0</v>
      </c>
      <c r="S513" s="12" t="n">
        <f aca="false">N513*Q513</f>
        <v>0</v>
      </c>
      <c r="T513" s="24" t="n">
        <f aca="false">N513^2</f>
        <v>0.109901200646324</v>
      </c>
    </row>
    <row r="514" customFormat="false" ht="15" hidden="false" customHeight="false" outlineLevel="0" collapsed="false">
      <c r="A514" s="5" t="s">
        <v>766</v>
      </c>
      <c r="B514" s="5" t="s">
        <v>188</v>
      </c>
      <c r="C514" s="5" t="s">
        <v>57</v>
      </c>
      <c r="D514" s="5" t="s">
        <v>65</v>
      </c>
      <c r="E514" s="5" t="s">
        <v>68</v>
      </c>
      <c r="F514" s="26" t="n">
        <v>66.04</v>
      </c>
      <c r="G514" s="26" t="n">
        <v>64.78</v>
      </c>
      <c r="H514" s="30" t="n">
        <v>3.314</v>
      </c>
      <c r="I514" s="28" t="n">
        <f aca="false">H514*G514/3.6</f>
        <v>59.6335888888889</v>
      </c>
      <c r="J514" s="30" t="n">
        <v>5.46</v>
      </c>
      <c r="K514" s="30" t="n">
        <v>1.239</v>
      </c>
      <c r="L514" s="30" t="n">
        <v>1.077</v>
      </c>
      <c r="M514" s="30" t="n">
        <v>6.93</v>
      </c>
      <c r="N514" s="25" t="n">
        <v>0.75762304346922</v>
      </c>
      <c r="O514" s="17" t="n">
        <v>0</v>
      </c>
      <c r="P514" s="26" t="n">
        <v>0</v>
      </c>
      <c r="Q514" s="24" t="n">
        <f aca="false">IF(O514=1,1/(1+EXP(-(P514-Inputs!$B$12)/Inputs!$B$13)),0)</f>
        <v>0</v>
      </c>
      <c r="R514" s="24" t="n">
        <f aca="false">N514*O514</f>
        <v>0</v>
      </c>
      <c r="S514" s="12" t="n">
        <f aca="false">N514*Q514</f>
        <v>0</v>
      </c>
      <c r="T514" s="24" t="n">
        <f aca="false">N514^2</f>
        <v>0.573992675995564</v>
      </c>
    </row>
    <row r="515" customFormat="false" ht="15" hidden="false" customHeight="false" outlineLevel="0" collapsed="false">
      <c r="A515" s="5" t="s">
        <v>767</v>
      </c>
      <c r="B515" s="5" t="s">
        <v>188</v>
      </c>
      <c r="C515" s="5" t="s">
        <v>57</v>
      </c>
      <c r="D515" s="5" t="s">
        <v>65</v>
      </c>
      <c r="E515" s="5" t="s">
        <v>68</v>
      </c>
      <c r="F515" s="26" t="n">
        <v>69.39</v>
      </c>
      <c r="G515" s="26" t="n">
        <v>72.68</v>
      </c>
      <c r="H515" s="30" t="n">
        <v>3.8</v>
      </c>
      <c r="I515" s="28" t="n">
        <f aca="false">H515*G515/3.6</f>
        <v>76.7177777777778</v>
      </c>
      <c r="J515" s="30" t="n">
        <v>5.93</v>
      </c>
      <c r="K515" s="30" t="n">
        <v>1.365</v>
      </c>
      <c r="L515" s="30" t="n">
        <v>1.527</v>
      </c>
      <c r="M515" s="30" t="n">
        <v>6.75</v>
      </c>
      <c r="N515" s="25" t="n">
        <v>0.192342511045094</v>
      </c>
      <c r="O515" s="17" t="n">
        <v>0</v>
      </c>
      <c r="P515" s="26" t="n">
        <v>0</v>
      </c>
      <c r="Q515" s="24" t="n">
        <f aca="false">IF(O515=1,1/(1+EXP(-(P515-Inputs!$B$12)/Inputs!$B$13)),0)</f>
        <v>0</v>
      </c>
      <c r="R515" s="24" t="n">
        <f aca="false">N515*O515</f>
        <v>0</v>
      </c>
      <c r="S515" s="12" t="n">
        <f aca="false">N515*Q515</f>
        <v>0</v>
      </c>
      <c r="T515" s="24" t="n">
        <f aca="false">N515^2</f>
        <v>0.0369956415551321</v>
      </c>
    </row>
    <row r="516" customFormat="false" ht="15" hidden="false" customHeight="false" outlineLevel="0" collapsed="false">
      <c r="A516" s="5" t="s">
        <v>768</v>
      </c>
      <c r="B516" s="5" t="s">
        <v>189</v>
      </c>
      <c r="C516" s="5" t="s">
        <v>57</v>
      </c>
      <c r="D516" s="5" t="s">
        <v>65</v>
      </c>
      <c r="E516" s="5" t="s">
        <v>70</v>
      </c>
      <c r="F516" s="26" t="n">
        <v>58.04</v>
      </c>
      <c r="G516" s="26" t="n">
        <v>61.59</v>
      </c>
      <c r="H516" s="30" t="n">
        <v>2.903</v>
      </c>
      <c r="I516" s="28" t="n">
        <f aca="false">H516*G516/3.6</f>
        <v>49.6654916666667</v>
      </c>
      <c r="J516" s="30" t="n">
        <v>2.5</v>
      </c>
      <c r="K516" s="30" t="n">
        <v>1.092</v>
      </c>
      <c r="L516" s="30" t="n">
        <v>0.98</v>
      </c>
      <c r="M516" s="30" t="n">
        <v>5.09</v>
      </c>
      <c r="N516" s="25" t="n">
        <v>9.62802003783526</v>
      </c>
      <c r="O516" s="17" t="n">
        <v>0</v>
      </c>
      <c r="P516" s="26" t="n">
        <v>0</v>
      </c>
      <c r="Q516" s="24" t="n">
        <f aca="false">IF(O516=1,1/(1+EXP(-(P516-Inputs!$B$12)/Inputs!$B$13)),0)</f>
        <v>0</v>
      </c>
      <c r="R516" s="24" t="n">
        <f aca="false">N516*O516</f>
        <v>0</v>
      </c>
      <c r="S516" s="12" t="n">
        <f aca="false">N516*Q516</f>
        <v>0</v>
      </c>
      <c r="T516" s="24" t="n">
        <f aca="false">N516^2</f>
        <v>92.6987698489573</v>
      </c>
    </row>
    <row r="517" customFormat="false" ht="15" hidden="false" customHeight="false" outlineLevel="0" collapsed="false">
      <c r="A517" s="5" t="s">
        <v>769</v>
      </c>
      <c r="B517" s="5" t="s">
        <v>189</v>
      </c>
      <c r="C517" s="5" t="s">
        <v>57</v>
      </c>
      <c r="D517" s="5" t="s">
        <v>65</v>
      </c>
      <c r="E517" s="5" t="s">
        <v>70</v>
      </c>
      <c r="F517" s="26" t="n">
        <v>64.07</v>
      </c>
      <c r="G517" s="26" t="n">
        <v>65.72</v>
      </c>
      <c r="H517" s="30" t="n">
        <v>2.479</v>
      </c>
      <c r="I517" s="28" t="n">
        <f aca="false">H517*G517/3.6</f>
        <v>45.2555222222222</v>
      </c>
      <c r="J517" s="30" t="n">
        <v>5.77</v>
      </c>
      <c r="K517" s="30" t="n">
        <v>2.041</v>
      </c>
      <c r="L517" s="30" t="n">
        <v>1.674</v>
      </c>
      <c r="M517" s="30" t="n">
        <v>4.62</v>
      </c>
      <c r="N517" s="25" t="n">
        <v>0.134564891338033</v>
      </c>
      <c r="O517" s="17" t="n">
        <v>0</v>
      </c>
      <c r="P517" s="26" t="n">
        <v>0</v>
      </c>
      <c r="Q517" s="24" t="n">
        <f aca="false">IF(O517=1,1/(1+EXP(-(P517-Inputs!$B$12)/Inputs!$B$13)),0)</f>
        <v>0</v>
      </c>
      <c r="R517" s="24" t="n">
        <f aca="false">N517*O517</f>
        <v>0</v>
      </c>
      <c r="S517" s="12" t="n">
        <f aca="false">N517*Q517</f>
        <v>0</v>
      </c>
      <c r="T517" s="24" t="n">
        <f aca="false">N517^2</f>
        <v>0.0181077099808165</v>
      </c>
    </row>
    <row r="518" customFormat="false" ht="15" hidden="false" customHeight="false" outlineLevel="0" collapsed="false">
      <c r="A518" s="5" t="s">
        <v>770</v>
      </c>
      <c r="B518" s="5" t="s">
        <v>189</v>
      </c>
      <c r="C518" s="5" t="s">
        <v>57</v>
      </c>
      <c r="D518" s="5" t="s">
        <v>65</v>
      </c>
      <c r="E518" s="5" t="s">
        <v>70</v>
      </c>
      <c r="F518" s="26" t="n">
        <v>64.65</v>
      </c>
      <c r="G518" s="26" t="n">
        <v>61.96</v>
      </c>
      <c r="H518" s="30" t="n">
        <v>2.009</v>
      </c>
      <c r="I518" s="28" t="n">
        <f aca="false">H518*G518/3.6</f>
        <v>34.5771222222222</v>
      </c>
      <c r="J518" s="30" t="n">
        <v>4</v>
      </c>
      <c r="K518" s="30" t="n">
        <v>0.588</v>
      </c>
      <c r="L518" s="30" t="n">
        <v>1.707</v>
      </c>
      <c r="M518" s="30" t="n">
        <v>4.28</v>
      </c>
      <c r="N518" s="25" t="n">
        <v>2.06677893358917</v>
      </c>
      <c r="O518" s="17" t="n">
        <v>0</v>
      </c>
      <c r="P518" s="26" t="n">
        <v>0</v>
      </c>
      <c r="Q518" s="24" t="n">
        <f aca="false">IF(O518=1,1/(1+EXP(-(P518-Inputs!$B$12)/Inputs!$B$13)),0)</f>
        <v>0</v>
      </c>
      <c r="R518" s="24" t="n">
        <f aca="false">N518*O518</f>
        <v>0</v>
      </c>
      <c r="S518" s="12" t="n">
        <f aca="false">N518*Q518</f>
        <v>0</v>
      </c>
      <c r="T518" s="24" t="n">
        <f aca="false">N518^2</f>
        <v>4.27157516032797</v>
      </c>
    </row>
    <row r="519" customFormat="false" ht="15" hidden="false" customHeight="false" outlineLevel="0" collapsed="false">
      <c r="A519" s="5" t="s">
        <v>771</v>
      </c>
      <c r="B519" s="5" t="s">
        <v>189</v>
      </c>
      <c r="C519" s="5" t="s">
        <v>57</v>
      </c>
      <c r="D519" s="5" t="s">
        <v>65</v>
      </c>
      <c r="E519" s="5" t="s">
        <v>70</v>
      </c>
      <c r="F519" s="26" t="n">
        <v>72.8</v>
      </c>
      <c r="G519" s="26" t="n">
        <v>71.49</v>
      </c>
      <c r="H519" s="30" t="n">
        <v>2.334</v>
      </c>
      <c r="I519" s="28" t="n">
        <f aca="false">H519*G519/3.6</f>
        <v>46.34935</v>
      </c>
      <c r="J519" s="30" t="n">
        <v>5.16</v>
      </c>
      <c r="K519" s="30" t="n">
        <v>3.172</v>
      </c>
      <c r="L519" s="30" t="n">
        <v>1.59</v>
      </c>
      <c r="M519" s="30" t="n">
        <v>6.66</v>
      </c>
      <c r="N519" s="25" t="n">
        <v>0.0323116448148519</v>
      </c>
      <c r="O519" s="17" t="n">
        <v>0</v>
      </c>
      <c r="P519" s="26" t="n">
        <v>0</v>
      </c>
      <c r="Q519" s="24" t="n">
        <f aca="false">IF(O519=1,1/(1+EXP(-(P519-Inputs!$B$12)/Inputs!$B$13)),0)</f>
        <v>0</v>
      </c>
      <c r="R519" s="24" t="n">
        <f aca="false">N519*O519</f>
        <v>0</v>
      </c>
      <c r="S519" s="12" t="n">
        <f aca="false">N519*Q519</f>
        <v>0</v>
      </c>
      <c r="T519" s="24" t="n">
        <f aca="false">N519^2</f>
        <v>0.00104404239064115</v>
      </c>
    </row>
    <row r="520" customFormat="false" ht="15" hidden="false" customHeight="false" outlineLevel="0" collapsed="false">
      <c r="A520" s="5" t="s">
        <v>772</v>
      </c>
      <c r="B520" s="5" t="s">
        <v>189</v>
      </c>
      <c r="C520" s="5" t="s">
        <v>57</v>
      </c>
      <c r="D520" s="5" t="s">
        <v>65</v>
      </c>
      <c r="E520" s="5" t="s">
        <v>70</v>
      </c>
      <c r="F520" s="26" t="n">
        <v>61.03</v>
      </c>
      <c r="G520" s="26" t="n">
        <v>62.97</v>
      </c>
      <c r="H520" s="30" t="n">
        <v>2.449</v>
      </c>
      <c r="I520" s="28" t="n">
        <f aca="false">H520*G520/3.6</f>
        <v>42.8370916666667</v>
      </c>
      <c r="J520" s="30" t="n">
        <v>5.98</v>
      </c>
      <c r="K520" s="30" t="n">
        <v>2.075</v>
      </c>
      <c r="L520" s="30" t="n">
        <v>1.537</v>
      </c>
      <c r="M520" s="30" t="n">
        <v>5.33</v>
      </c>
      <c r="N520" s="25" t="n">
        <v>0.149207601010302</v>
      </c>
      <c r="O520" s="17" t="n">
        <v>0</v>
      </c>
      <c r="P520" s="26" t="n">
        <v>0</v>
      </c>
      <c r="Q520" s="24" t="n">
        <f aca="false">IF(O520=1,1/(1+EXP(-(P520-Inputs!$B$12)/Inputs!$B$13)),0)</f>
        <v>0</v>
      </c>
      <c r="R520" s="24" t="n">
        <f aca="false">N520*O520</f>
        <v>0</v>
      </c>
      <c r="S520" s="12" t="n">
        <f aca="false">N520*Q520</f>
        <v>0</v>
      </c>
      <c r="T520" s="24" t="n">
        <f aca="false">N520^2</f>
        <v>0.0222629081992494</v>
      </c>
    </row>
    <row r="521" customFormat="false" ht="15" hidden="false" customHeight="false" outlineLevel="0" collapsed="false">
      <c r="A521" s="5" t="s">
        <v>773</v>
      </c>
      <c r="B521" s="5" t="s">
        <v>189</v>
      </c>
      <c r="C521" s="5" t="s">
        <v>57</v>
      </c>
      <c r="D521" s="5" t="s">
        <v>65</v>
      </c>
      <c r="E521" s="5" t="s">
        <v>70</v>
      </c>
      <c r="F521" s="26" t="n">
        <v>67.46</v>
      </c>
      <c r="G521" s="26" t="n">
        <v>68.56</v>
      </c>
      <c r="H521" s="30" t="n">
        <v>2.305</v>
      </c>
      <c r="I521" s="28" t="n">
        <f aca="false">H521*G521/3.6</f>
        <v>43.8974444444445</v>
      </c>
      <c r="J521" s="30" t="n">
        <v>3.72</v>
      </c>
      <c r="K521" s="30" t="n">
        <v>1.695</v>
      </c>
      <c r="L521" s="30" t="n">
        <v>1.538</v>
      </c>
      <c r="M521" s="30" t="n">
        <v>6.69</v>
      </c>
      <c r="N521" s="25" t="n">
        <v>0.128653583792211</v>
      </c>
      <c r="O521" s="17" t="n">
        <v>0</v>
      </c>
      <c r="P521" s="26" t="n">
        <v>0</v>
      </c>
      <c r="Q521" s="24" t="n">
        <f aca="false">IF(O521=1,1/(1+EXP(-(P521-Inputs!$B$12)/Inputs!$B$13)),0)</f>
        <v>0</v>
      </c>
      <c r="R521" s="24" t="n">
        <f aca="false">N521*O521</f>
        <v>0</v>
      </c>
      <c r="S521" s="12" t="n">
        <f aca="false">N521*Q521</f>
        <v>0</v>
      </c>
      <c r="T521" s="24" t="n">
        <f aca="false">N521^2</f>
        <v>0.0165517446225794</v>
      </c>
    </row>
    <row r="522" customFormat="false" ht="15" hidden="false" customHeight="false" outlineLevel="0" collapsed="false">
      <c r="A522" s="5" t="s">
        <v>774</v>
      </c>
      <c r="B522" s="5" t="s">
        <v>189</v>
      </c>
      <c r="C522" s="5" t="s">
        <v>57</v>
      </c>
      <c r="D522" s="5" t="s">
        <v>65</v>
      </c>
      <c r="E522" s="5" t="s">
        <v>70</v>
      </c>
      <c r="F522" s="26" t="n">
        <v>72.57</v>
      </c>
      <c r="G522" s="26" t="n">
        <v>74.71</v>
      </c>
      <c r="H522" s="30" t="n">
        <v>2.781</v>
      </c>
      <c r="I522" s="28" t="n">
        <f aca="false">H522*G522/3.6</f>
        <v>57.713475</v>
      </c>
      <c r="J522" s="30" t="n">
        <v>2.97</v>
      </c>
      <c r="K522" s="30" t="n">
        <v>1.421</v>
      </c>
      <c r="L522" s="30" t="n">
        <v>1.475</v>
      </c>
      <c r="M522" s="30" t="n">
        <v>3.86</v>
      </c>
      <c r="N522" s="25" t="n">
        <v>0.93180671778986</v>
      </c>
      <c r="O522" s="17" t="n">
        <v>0</v>
      </c>
      <c r="P522" s="26" t="n">
        <v>0</v>
      </c>
      <c r="Q522" s="24" t="n">
        <f aca="false">IF(O522=1,1/(1+EXP(-(P522-Inputs!$B$12)/Inputs!$B$13)),0)</f>
        <v>0</v>
      </c>
      <c r="R522" s="24" t="n">
        <f aca="false">N522*O522</f>
        <v>0</v>
      </c>
      <c r="S522" s="12" t="n">
        <f aca="false">N522*Q522</f>
        <v>0</v>
      </c>
      <c r="T522" s="24" t="n">
        <f aca="false">N522^2</f>
        <v>0.868263759318311</v>
      </c>
    </row>
    <row r="523" customFormat="false" ht="15" hidden="false" customHeight="false" outlineLevel="0" collapsed="false">
      <c r="A523" s="5" t="s">
        <v>775</v>
      </c>
      <c r="B523" s="5" t="s">
        <v>189</v>
      </c>
      <c r="C523" s="5" t="s">
        <v>57</v>
      </c>
      <c r="D523" s="5" t="s">
        <v>65</v>
      </c>
      <c r="E523" s="5" t="s">
        <v>70</v>
      </c>
      <c r="F523" s="26" t="n">
        <v>70.16</v>
      </c>
      <c r="G523" s="26" t="n">
        <v>68.88</v>
      </c>
      <c r="H523" s="30" t="n">
        <v>2.33</v>
      </c>
      <c r="I523" s="28" t="n">
        <f aca="false">H523*G523/3.6</f>
        <v>44.5806666666667</v>
      </c>
      <c r="J523" s="30" t="n">
        <v>2.66</v>
      </c>
      <c r="K523" s="30" t="n">
        <v>1.613</v>
      </c>
      <c r="L523" s="30" t="n">
        <v>1.725</v>
      </c>
      <c r="M523" s="30" t="n">
        <v>6.77</v>
      </c>
      <c r="N523" s="25" t="n">
        <v>0.0834928035917957</v>
      </c>
      <c r="O523" s="17" t="n">
        <v>0</v>
      </c>
      <c r="P523" s="26" t="n">
        <v>0</v>
      </c>
      <c r="Q523" s="24" t="n">
        <f aca="false">IF(O523=1,1/(1+EXP(-(P523-Inputs!$B$12)/Inputs!$B$13)),0)</f>
        <v>0</v>
      </c>
      <c r="R523" s="24" t="n">
        <f aca="false">N523*O523</f>
        <v>0</v>
      </c>
      <c r="S523" s="12" t="n">
        <f aca="false">N523*Q523</f>
        <v>0</v>
      </c>
      <c r="T523" s="24" t="n">
        <f aca="false">N523^2</f>
        <v>0.00697104825161817</v>
      </c>
    </row>
    <row r="524" customFormat="false" ht="15" hidden="false" customHeight="false" outlineLevel="0" collapsed="false">
      <c r="A524" s="5" t="s">
        <v>776</v>
      </c>
      <c r="B524" s="5" t="s">
        <v>189</v>
      </c>
      <c r="C524" s="5" t="s">
        <v>57</v>
      </c>
      <c r="D524" s="5" t="s">
        <v>65</v>
      </c>
      <c r="E524" s="5" t="s">
        <v>70</v>
      </c>
      <c r="F524" s="26" t="n">
        <v>62.61</v>
      </c>
      <c r="G524" s="26" t="n">
        <v>62</v>
      </c>
      <c r="H524" s="30" t="n">
        <v>2.18</v>
      </c>
      <c r="I524" s="28" t="n">
        <f aca="false">H524*G524/3.6</f>
        <v>37.5444444444444</v>
      </c>
      <c r="J524" s="30" t="n">
        <v>4.5</v>
      </c>
      <c r="K524" s="30" t="n">
        <v>0.808</v>
      </c>
      <c r="L524" s="30" t="n">
        <v>1.847</v>
      </c>
      <c r="M524" s="30" t="n">
        <v>3.81</v>
      </c>
      <c r="N524" s="25" t="n">
        <v>0.695156475947099</v>
      </c>
      <c r="O524" s="17" t="n">
        <v>0</v>
      </c>
      <c r="P524" s="26" t="n">
        <v>0</v>
      </c>
      <c r="Q524" s="24" t="n">
        <f aca="false">IF(O524=1,1/(1+EXP(-(P524-Inputs!$B$12)/Inputs!$B$13)),0)</f>
        <v>0</v>
      </c>
      <c r="R524" s="24" t="n">
        <f aca="false">N524*O524</f>
        <v>0</v>
      </c>
      <c r="S524" s="12" t="n">
        <f aca="false">N524*Q524</f>
        <v>0</v>
      </c>
      <c r="T524" s="24" t="n">
        <f aca="false">N524^2</f>
        <v>0.483242526051189</v>
      </c>
    </row>
    <row r="525" customFormat="false" ht="15" hidden="false" customHeight="false" outlineLevel="0" collapsed="false">
      <c r="A525" s="5" t="s">
        <v>777</v>
      </c>
      <c r="B525" s="5" t="s">
        <v>189</v>
      </c>
      <c r="C525" s="5" t="s">
        <v>57</v>
      </c>
      <c r="D525" s="5" t="s">
        <v>65</v>
      </c>
      <c r="E525" s="5" t="s">
        <v>70</v>
      </c>
      <c r="F525" s="26" t="n">
        <v>69.39</v>
      </c>
      <c r="G525" s="26" t="n">
        <v>68.57</v>
      </c>
      <c r="H525" s="30" t="n">
        <v>2.457</v>
      </c>
      <c r="I525" s="28" t="n">
        <f aca="false">H525*G525/3.6</f>
        <v>46.799025</v>
      </c>
      <c r="J525" s="30" t="n">
        <v>4.17</v>
      </c>
      <c r="K525" s="30" t="n">
        <v>1.484</v>
      </c>
      <c r="L525" s="30" t="n">
        <v>1.301</v>
      </c>
      <c r="M525" s="30" t="n">
        <v>3.95</v>
      </c>
      <c r="N525" s="25" t="n">
        <v>0.720613653157976</v>
      </c>
      <c r="O525" s="17" t="n">
        <v>0</v>
      </c>
      <c r="P525" s="26" t="n">
        <v>0</v>
      </c>
      <c r="Q525" s="24" t="n">
        <f aca="false">IF(O525=1,1/(1+EXP(-(P525-Inputs!$B$12)/Inputs!$B$13)),0)</f>
        <v>0</v>
      </c>
      <c r="R525" s="24" t="n">
        <f aca="false">N525*O525</f>
        <v>0</v>
      </c>
      <c r="S525" s="12" t="n">
        <f aca="false">N525*Q525</f>
        <v>0</v>
      </c>
      <c r="T525" s="24" t="n">
        <f aca="false">N525^2</f>
        <v>0.519284037117684</v>
      </c>
    </row>
    <row r="526" customFormat="false" ht="15" hidden="false" customHeight="false" outlineLevel="0" collapsed="false">
      <c r="A526" s="5" t="s">
        <v>778</v>
      </c>
      <c r="B526" s="5" t="s">
        <v>190</v>
      </c>
      <c r="C526" s="5" t="s">
        <v>57</v>
      </c>
      <c r="D526" s="5" t="s">
        <v>65</v>
      </c>
      <c r="E526" s="5" t="s">
        <v>71</v>
      </c>
      <c r="F526" s="26" t="n">
        <v>58.85</v>
      </c>
      <c r="G526" s="26" t="n">
        <v>58.07</v>
      </c>
      <c r="H526" s="30" t="n">
        <v>1.556</v>
      </c>
      <c r="I526" s="28" t="n">
        <f aca="false">H526*G526/3.6</f>
        <v>25.0991444444444</v>
      </c>
      <c r="J526" s="30" t="n">
        <v>4.22</v>
      </c>
      <c r="K526" s="30" t="n">
        <v>0.79</v>
      </c>
      <c r="L526" s="30" t="n">
        <v>1.425</v>
      </c>
      <c r="M526" s="30" t="n">
        <v>6.1</v>
      </c>
      <c r="N526" s="25" t="n">
        <v>0.928788251413105</v>
      </c>
      <c r="O526" s="17" t="n">
        <v>0</v>
      </c>
      <c r="P526" s="26" t="n">
        <v>0</v>
      </c>
      <c r="Q526" s="24" t="n">
        <f aca="false">IF(O526=1,1/(1+EXP(-(P526-Inputs!$B$12)/Inputs!$B$13)),0)</f>
        <v>0</v>
      </c>
      <c r="R526" s="24" t="n">
        <f aca="false">N526*O526</f>
        <v>0</v>
      </c>
      <c r="S526" s="12" t="n">
        <f aca="false">N526*Q526</f>
        <v>0</v>
      </c>
      <c r="T526" s="24" t="n">
        <f aca="false">N526^2</f>
        <v>0.862647615963014</v>
      </c>
    </row>
    <row r="527" customFormat="false" ht="15" hidden="false" customHeight="false" outlineLevel="0" collapsed="false">
      <c r="A527" s="5" t="s">
        <v>779</v>
      </c>
      <c r="B527" s="5" t="s">
        <v>190</v>
      </c>
      <c r="C527" s="5" t="s">
        <v>57</v>
      </c>
      <c r="D527" s="5" t="s">
        <v>65</v>
      </c>
      <c r="E527" s="5" t="s">
        <v>71</v>
      </c>
      <c r="F527" s="26" t="n">
        <v>58.88</v>
      </c>
      <c r="G527" s="26" t="n">
        <v>61.85</v>
      </c>
      <c r="H527" s="30" t="n">
        <v>1.599</v>
      </c>
      <c r="I527" s="28" t="n">
        <f aca="false">H527*G527/3.6</f>
        <v>27.4717083333333</v>
      </c>
      <c r="J527" s="30" t="n">
        <v>3.87</v>
      </c>
      <c r="K527" s="30" t="n">
        <v>0.712</v>
      </c>
      <c r="L527" s="30" t="n">
        <v>1.227</v>
      </c>
      <c r="M527" s="30" t="n">
        <v>6.76</v>
      </c>
      <c r="N527" s="25" t="n">
        <v>1.58869039674696</v>
      </c>
      <c r="O527" s="17" t="n">
        <v>0</v>
      </c>
      <c r="P527" s="26" t="n">
        <v>0</v>
      </c>
      <c r="Q527" s="24" t="n">
        <f aca="false">IF(O527=1,1/(1+EXP(-(P527-Inputs!$B$12)/Inputs!$B$13)),0)</f>
        <v>0</v>
      </c>
      <c r="R527" s="24" t="n">
        <f aca="false">N527*O527</f>
        <v>0</v>
      </c>
      <c r="S527" s="12" t="n">
        <f aca="false">N527*Q527</f>
        <v>0</v>
      </c>
      <c r="T527" s="24" t="n">
        <f aca="false">N527^2</f>
        <v>2.52393717671601</v>
      </c>
    </row>
    <row r="528" customFormat="false" ht="15" hidden="false" customHeight="false" outlineLevel="0" collapsed="false">
      <c r="A528" s="5" t="s">
        <v>780</v>
      </c>
      <c r="B528" s="5" t="s">
        <v>190</v>
      </c>
      <c r="C528" s="5" t="s">
        <v>57</v>
      </c>
      <c r="D528" s="5" t="s">
        <v>65</v>
      </c>
      <c r="E528" s="5" t="s">
        <v>71</v>
      </c>
      <c r="F528" s="26" t="n">
        <v>65.43</v>
      </c>
      <c r="G528" s="26" t="n">
        <v>66.33</v>
      </c>
      <c r="H528" s="30" t="n">
        <v>1.519</v>
      </c>
      <c r="I528" s="28" t="n">
        <f aca="false">H528*G528/3.6</f>
        <v>27.987575</v>
      </c>
      <c r="J528" s="30" t="n">
        <v>4.23</v>
      </c>
      <c r="K528" s="30" t="n">
        <v>0.594</v>
      </c>
      <c r="L528" s="30" t="n">
        <v>1.203</v>
      </c>
      <c r="M528" s="30" t="n">
        <v>7.51</v>
      </c>
      <c r="N528" s="25" t="n">
        <v>2.05467852844179</v>
      </c>
      <c r="O528" s="17" t="n">
        <v>0</v>
      </c>
      <c r="P528" s="26" t="n">
        <v>0</v>
      </c>
      <c r="Q528" s="24" t="n">
        <f aca="false">IF(O528=1,1/(1+EXP(-(P528-Inputs!$B$12)/Inputs!$B$13)),0)</f>
        <v>0</v>
      </c>
      <c r="R528" s="24" t="n">
        <f aca="false">N528*O528</f>
        <v>0</v>
      </c>
      <c r="S528" s="12" t="n">
        <f aca="false">N528*Q528</f>
        <v>0</v>
      </c>
      <c r="T528" s="24" t="n">
        <f aca="false">N528^2</f>
        <v>4.22170385523973</v>
      </c>
    </row>
    <row r="529" customFormat="false" ht="15" hidden="false" customHeight="false" outlineLevel="0" collapsed="false">
      <c r="A529" s="5" t="s">
        <v>781</v>
      </c>
      <c r="B529" s="5" t="s">
        <v>190</v>
      </c>
      <c r="C529" s="5" t="s">
        <v>57</v>
      </c>
      <c r="D529" s="5" t="s">
        <v>65</v>
      </c>
      <c r="E529" s="5" t="s">
        <v>71</v>
      </c>
      <c r="F529" s="26" t="n">
        <v>57.82</v>
      </c>
      <c r="G529" s="26" t="n">
        <v>57.18</v>
      </c>
      <c r="H529" s="30" t="n">
        <v>1.598</v>
      </c>
      <c r="I529" s="28" t="n">
        <f aca="false">H529*G529/3.6</f>
        <v>25.3815666666667</v>
      </c>
      <c r="J529" s="30" t="n">
        <v>4.31</v>
      </c>
      <c r="K529" s="30" t="n">
        <v>0.44</v>
      </c>
      <c r="L529" s="30" t="n">
        <v>1.161</v>
      </c>
      <c r="M529" s="30" t="n">
        <v>4.44</v>
      </c>
      <c r="N529" s="25" t="n">
        <v>8.61056105299528</v>
      </c>
      <c r="O529" s="17" t="n">
        <v>0</v>
      </c>
      <c r="P529" s="26" t="n">
        <v>0</v>
      </c>
      <c r="Q529" s="24" t="n">
        <f aca="false">IF(O529=1,1/(1+EXP(-(P529-Inputs!$B$12)/Inputs!$B$13)),0)</f>
        <v>0</v>
      </c>
      <c r="R529" s="24" t="n">
        <f aca="false">N529*O529</f>
        <v>0</v>
      </c>
      <c r="S529" s="12" t="n">
        <f aca="false">N529*Q529</f>
        <v>0</v>
      </c>
      <c r="T529" s="24" t="n">
        <f aca="false">N529^2</f>
        <v>74.1417616473592</v>
      </c>
    </row>
    <row r="530" customFormat="false" ht="15" hidden="false" customHeight="false" outlineLevel="0" collapsed="false">
      <c r="A530" s="5" t="s">
        <v>782</v>
      </c>
      <c r="B530" s="5" t="s">
        <v>190</v>
      </c>
      <c r="C530" s="5" t="s">
        <v>57</v>
      </c>
      <c r="D530" s="5" t="s">
        <v>65</v>
      </c>
      <c r="E530" s="5" t="s">
        <v>71</v>
      </c>
      <c r="F530" s="26" t="n">
        <v>58.31</v>
      </c>
      <c r="G530" s="26" t="n">
        <v>56.13</v>
      </c>
      <c r="H530" s="30" t="n">
        <v>1.749</v>
      </c>
      <c r="I530" s="28" t="n">
        <f aca="false">H530*G530/3.6</f>
        <v>27.269825</v>
      </c>
      <c r="J530" s="30" t="n">
        <v>5.25</v>
      </c>
      <c r="K530" s="30" t="n">
        <v>2.019</v>
      </c>
      <c r="L530" s="30" t="n">
        <v>1.326</v>
      </c>
      <c r="M530" s="30" t="n">
        <v>4.86</v>
      </c>
      <c r="N530" s="25" t="n">
        <v>0.332310837789666</v>
      </c>
      <c r="O530" s="17" t="n">
        <v>0</v>
      </c>
      <c r="P530" s="26" t="n">
        <v>0</v>
      </c>
      <c r="Q530" s="24" t="n">
        <f aca="false">IF(O530=1,1/(1+EXP(-(P530-Inputs!$B$12)/Inputs!$B$13)),0)</f>
        <v>0</v>
      </c>
      <c r="R530" s="24" t="n">
        <f aca="false">N530*O530</f>
        <v>0</v>
      </c>
      <c r="S530" s="12" t="n">
        <f aca="false">N530*Q530</f>
        <v>0</v>
      </c>
      <c r="T530" s="24" t="n">
        <f aca="false">N530^2</f>
        <v>0.11043049291247</v>
      </c>
    </row>
    <row r="531" customFormat="false" ht="15" hidden="false" customHeight="false" outlineLevel="0" collapsed="false">
      <c r="A531" s="5" t="s">
        <v>783</v>
      </c>
      <c r="B531" s="5" t="s">
        <v>190</v>
      </c>
      <c r="C531" s="5" t="s">
        <v>57</v>
      </c>
      <c r="D531" s="5" t="s">
        <v>65</v>
      </c>
      <c r="E531" s="5" t="s">
        <v>71</v>
      </c>
      <c r="F531" s="26" t="n">
        <v>55.05</v>
      </c>
      <c r="G531" s="26" t="n">
        <v>55.14</v>
      </c>
      <c r="H531" s="30" t="n">
        <v>1.511</v>
      </c>
      <c r="I531" s="28" t="n">
        <f aca="false">H531*G531/3.6</f>
        <v>23.1434833333333</v>
      </c>
      <c r="J531" s="30" t="n">
        <v>5.05</v>
      </c>
      <c r="K531" s="30" t="n">
        <v>1.659</v>
      </c>
      <c r="L531" s="30" t="n">
        <v>1.076</v>
      </c>
      <c r="M531" s="30" t="n">
        <v>6.46</v>
      </c>
      <c r="N531" s="25" t="n">
        <v>0.596434644336276</v>
      </c>
      <c r="O531" s="17" t="n">
        <v>0</v>
      </c>
      <c r="P531" s="26" t="n">
        <v>0</v>
      </c>
      <c r="Q531" s="24" t="n">
        <f aca="false">IF(O531=1,1/(1+EXP(-(P531-Inputs!$B$12)/Inputs!$B$13)),0)</f>
        <v>0</v>
      </c>
      <c r="R531" s="24" t="n">
        <f aca="false">N531*O531</f>
        <v>0</v>
      </c>
      <c r="S531" s="12" t="n">
        <f aca="false">N531*Q531</f>
        <v>0</v>
      </c>
      <c r="T531" s="24" t="n">
        <f aca="false">N531^2</f>
        <v>0.35573428496454</v>
      </c>
    </row>
    <row r="532" customFormat="false" ht="15" hidden="false" customHeight="false" outlineLevel="0" collapsed="false">
      <c r="A532" s="5" t="s">
        <v>784</v>
      </c>
      <c r="B532" s="5" t="s">
        <v>190</v>
      </c>
      <c r="C532" s="5" t="s">
        <v>57</v>
      </c>
      <c r="D532" s="5" t="s">
        <v>65</v>
      </c>
      <c r="E532" s="5" t="s">
        <v>71</v>
      </c>
      <c r="F532" s="26" t="n">
        <v>59.58</v>
      </c>
      <c r="G532" s="26" t="n">
        <v>63.17</v>
      </c>
      <c r="H532" s="30" t="n">
        <v>1.726</v>
      </c>
      <c r="I532" s="28" t="n">
        <f aca="false">H532*G532/3.6</f>
        <v>30.2865055555556</v>
      </c>
      <c r="J532" s="30" t="n">
        <v>4.05</v>
      </c>
      <c r="K532" s="30" t="n">
        <v>1.815</v>
      </c>
      <c r="L532" s="30" t="n">
        <v>0.915</v>
      </c>
      <c r="M532" s="30" t="n">
        <v>4.43</v>
      </c>
      <c r="N532" s="25" t="n">
        <v>1.04782901556933</v>
      </c>
      <c r="O532" s="17" t="n">
        <v>0</v>
      </c>
      <c r="P532" s="26" t="n">
        <v>0</v>
      </c>
      <c r="Q532" s="24" t="n">
        <f aca="false">IF(O532=1,1/(1+EXP(-(P532-Inputs!$B$12)/Inputs!$B$13)),0)</f>
        <v>0</v>
      </c>
      <c r="R532" s="24" t="n">
        <f aca="false">N532*O532</f>
        <v>0</v>
      </c>
      <c r="S532" s="12" t="n">
        <f aca="false">N532*Q532</f>
        <v>0</v>
      </c>
      <c r="T532" s="24" t="n">
        <f aca="false">N532^2</f>
        <v>1.09794564586899</v>
      </c>
    </row>
    <row r="533" customFormat="false" ht="15" hidden="false" customHeight="false" outlineLevel="0" collapsed="false">
      <c r="A533" s="5" t="s">
        <v>785</v>
      </c>
      <c r="B533" s="5" t="s">
        <v>190</v>
      </c>
      <c r="C533" s="5" t="s">
        <v>57</v>
      </c>
      <c r="D533" s="5" t="s">
        <v>65</v>
      </c>
      <c r="E533" s="5" t="s">
        <v>71</v>
      </c>
      <c r="F533" s="26" t="n">
        <v>66.64</v>
      </c>
      <c r="G533" s="26" t="n">
        <v>65.04</v>
      </c>
      <c r="H533" s="30" t="n">
        <v>1.541</v>
      </c>
      <c r="I533" s="28" t="n">
        <f aca="false">H533*G533/3.6</f>
        <v>27.8407333333333</v>
      </c>
      <c r="J533" s="30" t="n">
        <v>4.65</v>
      </c>
      <c r="K533" s="30" t="n">
        <v>2.123</v>
      </c>
      <c r="L533" s="30" t="n">
        <v>2.109</v>
      </c>
      <c r="M533" s="30" t="n">
        <v>6.78</v>
      </c>
      <c r="N533" s="25" t="n">
        <v>0.0188295536517889</v>
      </c>
      <c r="O533" s="17" t="n">
        <v>0</v>
      </c>
      <c r="P533" s="26" t="n">
        <v>0</v>
      </c>
      <c r="Q533" s="24" t="n">
        <f aca="false">IF(O533=1,1/(1+EXP(-(P533-Inputs!$B$12)/Inputs!$B$13)),0)</f>
        <v>0</v>
      </c>
      <c r="R533" s="24" t="n">
        <f aca="false">N533*O533</f>
        <v>0</v>
      </c>
      <c r="S533" s="12" t="n">
        <f aca="false">N533*Q533</f>
        <v>0</v>
      </c>
      <c r="T533" s="24" t="n">
        <f aca="false">N533^2</f>
        <v>0.000354552090725595</v>
      </c>
    </row>
    <row r="534" customFormat="false" ht="15" hidden="false" customHeight="false" outlineLevel="0" collapsed="false">
      <c r="A534" s="5" t="s">
        <v>786</v>
      </c>
      <c r="B534" s="5" t="s">
        <v>190</v>
      </c>
      <c r="C534" s="5" t="s">
        <v>57</v>
      </c>
      <c r="D534" s="5" t="s">
        <v>65</v>
      </c>
      <c r="E534" s="5" t="s">
        <v>71</v>
      </c>
      <c r="F534" s="26" t="n">
        <v>55.97</v>
      </c>
      <c r="G534" s="26" t="n">
        <v>55.1</v>
      </c>
      <c r="H534" s="30" t="n">
        <v>1.665</v>
      </c>
      <c r="I534" s="28" t="n">
        <f aca="false">H534*G534/3.6</f>
        <v>25.48375</v>
      </c>
      <c r="J534" s="30" t="n">
        <v>5.54</v>
      </c>
      <c r="K534" s="30" t="n">
        <v>0.99</v>
      </c>
      <c r="L534" s="30" t="n">
        <v>1.814</v>
      </c>
      <c r="M534" s="30" t="n">
        <v>6.4</v>
      </c>
      <c r="N534" s="25" t="n">
        <v>0.217300965654135</v>
      </c>
      <c r="O534" s="17" t="n">
        <v>0</v>
      </c>
      <c r="P534" s="26" t="n">
        <v>0</v>
      </c>
      <c r="Q534" s="24" t="n">
        <f aca="false">IF(O534=1,1/(1+EXP(-(P534-Inputs!$B$12)/Inputs!$B$13)),0)</f>
        <v>0</v>
      </c>
      <c r="R534" s="24" t="n">
        <f aca="false">N534*O534</f>
        <v>0</v>
      </c>
      <c r="S534" s="12" t="n">
        <f aca="false">N534*Q534</f>
        <v>0</v>
      </c>
      <c r="T534" s="24" t="n">
        <f aca="false">N534^2</f>
        <v>0.0472197096742193</v>
      </c>
    </row>
    <row r="535" customFormat="false" ht="15" hidden="false" customHeight="false" outlineLevel="0" collapsed="false">
      <c r="A535" s="5" t="s">
        <v>787</v>
      </c>
      <c r="B535" s="5" t="s">
        <v>190</v>
      </c>
      <c r="C535" s="5" t="s">
        <v>57</v>
      </c>
      <c r="D535" s="5" t="s">
        <v>65</v>
      </c>
      <c r="E535" s="5" t="s">
        <v>71</v>
      </c>
      <c r="F535" s="26" t="n">
        <v>58.68</v>
      </c>
      <c r="G535" s="26" t="n">
        <v>59.59</v>
      </c>
      <c r="H535" s="30" t="n">
        <v>1.727</v>
      </c>
      <c r="I535" s="28" t="n">
        <f aca="false">H535*G535/3.6</f>
        <v>28.5866472222222</v>
      </c>
      <c r="J535" s="30" t="n">
        <v>4.52</v>
      </c>
      <c r="K535" s="30" t="n">
        <v>1.994</v>
      </c>
      <c r="L535" s="30" t="n">
        <v>1.383</v>
      </c>
      <c r="M535" s="30" t="n">
        <v>4.52</v>
      </c>
      <c r="N535" s="25" t="n">
        <v>0.306769396160686</v>
      </c>
      <c r="O535" s="17" t="n">
        <v>0</v>
      </c>
      <c r="P535" s="26" t="n">
        <v>0</v>
      </c>
      <c r="Q535" s="24" t="n">
        <f aca="false">IF(O535=1,1/(1+EXP(-(P535-Inputs!$B$12)/Inputs!$B$13)),0)</f>
        <v>0</v>
      </c>
      <c r="R535" s="24" t="n">
        <f aca="false">N535*O535</f>
        <v>0</v>
      </c>
      <c r="S535" s="12" t="n">
        <f aca="false">N535*Q535</f>
        <v>0</v>
      </c>
      <c r="T535" s="24" t="n">
        <f aca="false">N535^2</f>
        <v>0.0941074624207921</v>
      </c>
    </row>
    <row r="536" customFormat="false" ht="15" hidden="false" customHeight="false" outlineLevel="0" collapsed="false">
      <c r="A536" s="5" t="s">
        <v>788</v>
      </c>
      <c r="B536" s="5" t="s">
        <v>191</v>
      </c>
      <c r="C536" s="5" t="s">
        <v>57</v>
      </c>
      <c r="D536" s="5" t="s">
        <v>65</v>
      </c>
      <c r="E536" s="5" t="s">
        <v>72</v>
      </c>
      <c r="F536" s="26" t="n">
        <v>55.18</v>
      </c>
      <c r="G536" s="26" t="n">
        <v>54.65</v>
      </c>
      <c r="H536" s="30" t="n">
        <v>1.141</v>
      </c>
      <c r="I536" s="28" t="n">
        <f aca="false">H536*G536/3.6</f>
        <v>17.3210138888889</v>
      </c>
      <c r="J536" s="30" t="n">
        <v>4.43</v>
      </c>
      <c r="K536" s="30" t="n">
        <v>1.367</v>
      </c>
      <c r="L536" s="30" t="n">
        <v>2.177</v>
      </c>
      <c r="M536" s="30" t="n">
        <v>6.9</v>
      </c>
      <c r="N536" s="25" t="n">
        <v>0.0371057049448487</v>
      </c>
      <c r="O536" s="17" t="n">
        <v>0</v>
      </c>
      <c r="P536" s="26" t="n">
        <v>0</v>
      </c>
      <c r="Q536" s="24" t="n">
        <f aca="false">IF(O536=1,1/(1+EXP(-(P536-Inputs!$B$12)/Inputs!$B$13)),0)</f>
        <v>0</v>
      </c>
      <c r="R536" s="24" t="n">
        <f aca="false">N536*O536</f>
        <v>0</v>
      </c>
      <c r="S536" s="12" t="n">
        <f aca="false">N536*Q536</f>
        <v>0</v>
      </c>
      <c r="T536" s="24" t="n">
        <f aca="false">N536^2</f>
        <v>0.00137683333945417</v>
      </c>
    </row>
    <row r="537" customFormat="false" ht="15" hidden="false" customHeight="false" outlineLevel="0" collapsed="false">
      <c r="A537" s="5" t="s">
        <v>789</v>
      </c>
      <c r="B537" s="5" t="s">
        <v>191</v>
      </c>
      <c r="C537" s="5" t="s">
        <v>57</v>
      </c>
      <c r="D537" s="5" t="s">
        <v>65</v>
      </c>
      <c r="E537" s="5" t="s">
        <v>72</v>
      </c>
      <c r="F537" s="26" t="n">
        <v>67.23</v>
      </c>
      <c r="G537" s="26" t="n">
        <v>65.62</v>
      </c>
      <c r="H537" s="30" t="n">
        <v>1.182</v>
      </c>
      <c r="I537" s="28" t="n">
        <f aca="false">H537*G537/3.6</f>
        <v>21.5452333333333</v>
      </c>
      <c r="J537" s="30" t="n">
        <v>2.6</v>
      </c>
      <c r="K537" s="30" t="n">
        <v>1.27</v>
      </c>
      <c r="L537" s="30" t="n">
        <v>1.387</v>
      </c>
      <c r="M537" s="30" t="n">
        <v>4.89</v>
      </c>
      <c r="N537" s="25" t="n">
        <v>0.5506302888378</v>
      </c>
      <c r="O537" s="17" t="n">
        <v>0</v>
      </c>
      <c r="P537" s="26" t="n">
        <v>0</v>
      </c>
      <c r="Q537" s="24" t="n">
        <f aca="false">IF(O537=1,1/(1+EXP(-(P537-Inputs!$B$12)/Inputs!$B$13)),0)</f>
        <v>0</v>
      </c>
      <c r="R537" s="24" t="n">
        <f aca="false">N537*O537</f>
        <v>0</v>
      </c>
      <c r="S537" s="12" t="n">
        <f aca="false">N537*Q537</f>
        <v>0</v>
      </c>
      <c r="T537" s="24" t="n">
        <f aca="false">N537^2</f>
        <v>0.303193714985599</v>
      </c>
    </row>
    <row r="538" customFormat="false" ht="15" hidden="false" customHeight="false" outlineLevel="0" collapsed="false">
      <c r="A538" s="5" t="s">
        <v>790</v>
      </c>
      <c r="B538" s="5" t="s">
        <v>191</v>
      </c>
      <c r="C538" s="5" t="s">
        <v>57</v>
      </c>
      <c r="D538" s="5" t="s">
        <v>65</v>
      </c>
      <c r="E538" s="5" t="s">
        <v>72</v>
      </c>
      <c r="F538" s="26" t="n">
        <v>66.56</v>
      </c>
      <c r="G538" s="26" t="n">
        <v>68.25</v>
      </c>
      <c r="H538" s="30" t="n">
        <v>1.129</v>
      </c>
      <c r="I538" s="28" t="n">
        <f aca="false">H538*G538/3.6</f>
        <v>21.4039583333333</v>
      </c>
      <c r="J538" s="30" t="n">
        <v>3.01</v>
      </c>
      <c r="K538" s="30" t="n">
        <v>0.532</v>
      </c>
      <c r="L538" s="30" t="n">
        <v>1.991</v>
      </c>
      <c r="M538" s="30" t="n">
        <v>7.66</v>
      </c>
      <c r="N538" s="25" t="n">
        <v>0.228708954293297</v>
      </c>
      <c r="O538" s="17" t="n">
        <v>0</v>
      </c>
      <c r="P538" s="26" t="n">
        <v>0</v>
      </c>
      <c r="Q538" s="24" t="n">
        <f aca="false">IF(O538=1,1/(1+EXP(-(P538-Inputs!$B$12)/Inputs!$B$13)),0)</f>
        <v>0</v>
      </c>
      <c r="R538" s="24" t="n">
        <f aca="false">N538*O538</f>
        <v>0</v>
      </c>
      <c r="S538" s="12" t="n">
        <f aca="false">N538*Q538</f>
        <v>0</v>
      </c>
      <c r="T538" s="24" t="n">
        <f aca="false">N538^2</f>
        <v>0.0523077857739335</v>
      </c>
    </row>
    <row r="539" customFormat="false" ht="15" hidden="false" customHeight="false" outlineLevel="0" collapsed="false">
      <c r="A539" s="5" t="s">
        <v>791</v>
      </c>
      <c r="B539" s="5" t="s">
        <v>191</v>
      </c>
      <c r="C539" s="5" t="s">
        <v>57</v>
      </c>
      <c r="D539" s="5" t="s">
        <v>65</v>
      </c>
      <c r="E539" s="5" t="s">
        <v>72</v>
      </c>
      <c r="F539" s="26" t="n">
        <v>64.1</v>
      </c>
      <c r="G539" s="26" t="n">
        <v>64.06</v>
      </c>
      <c r="H539" s="30" t="n">
        <v>1.165</v>
      </c>
      <c r="I539" s="28" t="n">
        <f aca="false">H539*G539/3.6</f>
        <v>20.7305277777778</v>
      </c>
      <c r="J539" s="30" t="n">
        <v>2.99</v>
      </c>
      <c r="K539" s="30" t="n">
        <v>1.407</v>
      </c>
      <c r="L539" s="30" t="n">
        <v>1.239</v>
      </c>
      <c r="M539" s="30" t="n">
        <v>4.52</v>
      </c>
      <c r="N539" s="25" t="n">
        <v>0.720750517724777</v>
      </c>
      <c r="O539" s="17" t="n">
        <v>0</v>
      </c>
      <c r="P539" s="26" t="n">
        <v>0</v>
      </c>
      <c r="Q539" s="24" t="n">
        <f aca="false">IF(O539=1,1/(1+EXP(-(P539-Inputs!$B$12)/Inputs!$B$13)),0)</f>
        <v>0</v>
      </c>
      <c r="R539" s="24" t="n">
        <f aca="false">N539*O539</f>
        <v>0</v>
      </c>
      <c r="S539" s="12" t="n">
        <f aca="false">N539*Q539</f>
        <v>0</v>
      </c>
      <c r="T539" s="24" t="n">
        <f aca="false">N539^2</f>
        <v>0.519481308800534</v>
      </c>
    </row>
    <row r="540" customFormat="false" ht="15" hidden="false" customHeight="false" outlineLevel="0" collapsed="false">
      <c r="A540" s="5" t="s">
        <v>792</v>
      </c>
      <c r="B540" s="5" t="s">
        <v>191</v>
      </c>
      <c r="C540" s="5" t="s">
        <v>57</v>
      </c>
      <c r="D540" s="5" t="s">
        <v>65</v>
      </c>
      <c r="E540" s="5" t="s">
        <v>72</v>
      </c>
      <c r="F540" s="26" t="n">
        <v>70.54</v>
      </c>
      <c r="G540" s="26" t="n">
        <v>66.98</v>
      </c>
      <c r="H540" s="30" t="n">
        <v>1.141</v>
      </c>
      <c r="I540" s="28" t="n">
        <f aca="false">H540*G540/3.6</f>
        <v>21.2289388888889</v>
      </c>
      <c r="J540" s="30" t="n">
        <v>3.25</v>
      </c>
      <c r="K540" s="30" t="n">
        <v>0.949</v>
      </c>
      <c r="L540" s="30" t="n">
        <v>1.63</v>
      </c>
      <c r="M540" s="30" t="n">
        <v>6.14</v>
      </c>
      <c r="N540" s="25" t="n">
        <v>0.353726221756215</v>
      </c>
      <c r="O540" s="17" t="n">
        <v>0</v>
      </c>
      <c r="P540" s="26" t="n">
        <v>0</v>
      </c>
      <c r="Q540" s="24" t="n">
        <f aca="false">IF(O540=1,1/(1+EXP(-(P540-Inputs!$B$12)/Inputs!$B$13)),0)</f>
        <v>0</v>
      </c>
      <c r="R540" s="24" t="n">
        <f aca="false">N540*O540</f>
        <v>0</v>
      </c>
      <c r="S540" s="12" t="n">
        <f aca="false">N540*Q540</f>
        <v>0</v>
      </c>
      <c r="T540" s="24" t="n">
        <f aca="false">N540^2</f>
        <v>0.125122239957927</v>
      </c>
    </row>
    <row r="541" customFormat="false" ht="15" hidden="false" customHeight="false" outlineLevel="0" collapsed="false">
      <c r="A541" s="5" t="s">
        <v>793</v>
      </c>
      <c r="B541" s="5" t="s">
        <v>191</v>
      </c>
      <c r="C541" s="5" t="s">
        <v>57</v>
      </c>
      <c r="D541" s="5" t="s">
        <v>65</v>
      </c>
      <c r="E541" s="5" t="s">
        <v>72</v>
      </c>
      <c r="F541" s="26" t="n">
        <v>59.56</v>
      </c>
      <c r="G541" s="26" t="n">
        <v>58.08</v>
      </c>
      <c r="H541" s="30" t="n">
        <v>1.043</v>
      </c>
      <c r="I541" s="28" t="n">
        <f aca="false">H541*G541/3.6</f>
        <v>16.8270666666667</v>
      </c>
      <c r="J541" s="30" t="n">
        <v>4.93</v>
      </c>
      <c r="K541" s="30" t="n">
        <v>1.3</v>
      </c>
      <c r="L541" s="30" t="n">
        <v>1.135</v>
      </c>
      <c r="M541" s="30" t="n">
        <v>7.78</v>
      </c>
      <c r="N541" s="25" t="n">
        <v>0.417761988659909</v>
      </c>
      <c r="O541" s="17" t="n">
        <v>0</v>
      </c>
      <c r="P541" s="26" t="n">
        <v>0</v>
      </c>
      <c r="Q541" s="24" t="n">
        <f aca="false">IF(O541=1,1/(1+EXP(-(P541-Inputs!$B$12)/Inputs!$B$13)),0)</f>
        <v>0</v>
      </c>
      <c r="R541" s="24" t="n">
        <f aca="false">N541*O541</f>
        <v>0</v>
      </c>
      <c r="S541" s="12" t="n">
        <f aca="false">N541*Q541</f>
        <v>0</v>
      </c>
      <c r="T541" s="24" t="n">
        <f aca="false">N541^2</f>
        <v>0.174525079169082</v>
      </c>
    </row>
    <row r="542" customFormat="false" ht="15" hidden="false" customHeight="false" outlineLevel="0" collapsed="false">
      <c r="A542" s="5" t="s">
        <v>794</v>
      </c>
      <c r="B542" s="5" t="s">
        <v>191</v>
      </c>
      <c r="C542" s="5" t="s">
        <v>57</v>
      </c>
      <c r="D542" s="5" t="s">
        <v>65</v>
      </c>
      <c r="E542" s="5" t="s">
        <v>72</v>
      </c>
      <c r="F542" s="26" t="n">
        <v>70.01</v>
      </c>
      <c r="G542" s="26" t="n">
        <v>69.17</v>
      </c>
      <c r="H542" s="30" t="n">
        <v>1.101</v>
      </c>
      <c r="I542" s="28" t="n">
        <f aca="false">H542*G542/3.6</f>
        <v>21.1544916666667</v>
      </c>
      <c r="J542" s="30" t="n">
        <v>5.35</v>
      </c>
      <c r="K542" s="30" t="n">
        <v>0.438</v>
      </c>
      <c r="L542" s="30" t="n">
        <v>1.4</v>
      </c>
      <c r="M542" s="30" t="n">
        <v>4.91</v>
      </c>
      <c r="N542" s="25" t="n">
        <v>3.95259680576984</v>
      </c>
      <c r="O542" s="17" t="n">
        <v>0</v>
      </c>
      <c r="P542" s="26" t="n">
        <v>0</v>
      </c>
      <c r="Q542" s="24" t="n">
        <f aca="false">IF(O542=1,1/(1+EXP(-(P542-Inputs!$B$12)/Inputs!$B$13)),0)</f>
        <v>0</v>
      </c>
      <c r="R542" s="24" t="n">
        <f aca="false">N542*O542</f>
        <v>0</v>
      </c>
      <c r="S542" s="12" t="n">
        <f aca="false">N542*Q542</f>
        <v>0</v>
      </c>
      <c r="T542" s="24" t="n">
        <f aca="false">N542^2</f>
        <v>15.6230215089819</v>
      </c>
    </row>
    <row r="543" customFormat="false" ht="15" hidden="false" customHeight="false" outlineLevel="0" collapsed="false">
      <c r="A543" s="5" t="s">
        <v>795</v>
      </c>
      <c r="B543" s="5" t="s">
        <v>191</v>
      </c>
      <c r="C543" s="5" t="s">
        <v>57</v>
      </c>
      <c r="D543" s="5" t="s">
        <v>65</v>
      </c>
      <c r="E543" s="5" t="s">
        <v>72</v>
      </c>
      <c r="F543" s="26" t="n">
        <v>64.7</v>
      </c>
      <c r="G543" s="26" t="n">
        <v>63.22</v>
      </c>
      <c r="H543" s="30" t="n">
        <v>1.044</v>
      </c>
      <c r="I543" s="28" t="n">
        <f aca="false">H543*G543/3.6</f>
        <v>18.3338</v>
      </c>
      <c r="J543" s="30" t="n">
        <v>3.68</v>
      </c>
      <c r="K543" s="30" t="n">
        <v>1.65</v>
      </c>
      <c r="L543" s="30" t="n">
        <v>1.96</v>
      </c>
      <c r="M543" s="30" t="n">
        <v>6.56</v>
      </c>
      <c r="N543" s="25" t="n">
        <v>0.0482899782128795</v>
      </c>
      <c r="O543" s="17" t="n">
        <v>0</v>
      </c>
      <c r="P543" s="26" t="n">
        <v>0</v>
      </c>
      <c r="Q543" s="24" t="n">
        <f aca="false">IF(O543=1,1/(1+EXP(-(P543-Inputs!$B$12)/Inputs!$B$13)),0)</f>
        <v>0</v>
      </c>
      <c r="R543" s="24" t="n">
        <f aca="false">N543*O543</f>
        <v>0</v>
      </c>
      <c r="S543" s="12" t="n">
        <f aca="false">N543*Q543</f>
        <v>0</v>
      </c>
      <c r="T543" s="24" t="n">
        <f aca="false">N543^2</f>
        <v>0.00233192199580038</v>
      </c>
    </row>
    <row r="544" customFormat="false" ht="15" hidden="false" customHeight="false" outlineLevel="0" collapsed="false">
      <c r="A544" s="5" t="s">
        <v>796</v>
      </c>
      <c r="B544" s="5" t="s">
        <v>191</v>
      </c>
      <c r="C544" s="5" t="s">
        <v>57</v>
      </c>
      <c r="D544" s="5" t="s">
        <v>65</v>
      </c>
      <c r="E544" s="5" t="s">
        <v>72</v>
      </c>
      <c r="F544" s="26" t="n">
        <v>67.2</v>
      </c>
      <c r="G544" s="26" t="n">
        <v>68.19</v>
      </c>
      <c r="H544" s="30" t="n">
        <v>1.363</v>
      </c>
      <c r="I544" s="28" t="n">
        <f aca="false">H544*G544/3.6</f>
        <v>25.8174916666667</v>
      </c>
      <c r="J544" s="30" t="n">
        <v>5.88</v>
      </c>
      <c r="K544" s="30" t="n">
        <v>1.38</v>
      </c>
      <c r="L544" s="30" t="n">
        <v>0.76</v>
      </c>
      <c r="M544" s="30" t="n">
        <v>6.32</v>
      </c>
      <c r="N544" s="25" t="n">
        <v>2.33976711451679</v>
      </c>
      <c r="O544" s="17" t="n">
        <v>0</v>
      </c>
      <c r="P544" s="26" t="n">
        <v>0</v>
      </c>
      <c r="Q544" s="24" t="n">
        <f aca="false">IF(O544=1,1/(1+EXP(-(P544-Inputs!$B$12)/Inputs!$B$13)),0)</f>
        <v>0</v>
      </c>
      <c r="R544" s="24" t="n">
        <f aca="false">N544*O544</f>
        <v>0</v>
      </c>
      <c r="S544" s="12" t="n">
        <f aca="false">N544*Q544</f>
        <v>0</v>
      </c>
      <c r="T544" s="24" t="n">
        <f aca="false">N544^2</f>
        <v>5.47451015017423</v>
      </c>
    </row>
    <row r="545" customFormat="false" ht="15" hidden="false" customHeight="false" outlineLevel="0" collapsed="false">
      <c r="A545" s="5" t="s">
        <v>797</v>
      </c>
      <c r="B545" s="5" t="s">
        <v>191</v>
      </c>
      <c r="C545" s="5" t="s">
        <v>57</v>
      </c>
      <c r="D545" s="5" t="s">
        <v>65</v>
      </c>
      <c r="E545" s="5" t="s">
        <v>72</v>
      </c>
      <c r="F545" s="26" t="n">
        <v>57.58</v>
      </c>
      <c r="G545" s="26" t="n">
        <v>57.79</v>
      </c>
      <c r="H545" s="30" t="n">
        <v>1.018</v>
      </c>
      <c r="I545" s="28" t="n">
        <f aca="false">H545*G545/3.6</f>
        <v>16.3417277777778</v>
      </c>
      <c r="J545" s="30" t="n">
        <v>5.06</v>
      </c>
      <c r="K545" s="30" t="n">
        <v>0.915</v>
      </c>
      <c r="L545" s="30" t="n">
        <v>1.039</v>
      </c>
      <c r="M545" s="30" t="n">
        <v>5.74</v>
      </c>
      <c r="N545" s="25" t="n">
        <v>2.31350193753641</v>
      </c>
      <c r="O545" s="17" t="n">
        <v>0</v>
      </c>
      <c r="P545" s="26" t="n">
        <v>0</v>
      </c>
      <c r="Q545" s="24" t="n">
        <f aca="false">IF(O545=1,1/(1+EXP(-(P545-Inputs!$B$12)/Inputs!$B$13)),0)</f>
        <v>0</v>
      </c>
      <c r="R545" s="24" t="n">
        <f aca="false">N545*O545</f>
        <v>0</v>
      </c>
      <c r="S545" s="12" t="n">
        <f aca="false">N545*Q545</f>
        <v>0</v>
      </c>
      <c r="T545" s="24" t="n">
        <f aca="false">N545^2</f>
        <v>5.35229121498474</v>
      </c>
    </row>
    <row r="546" customFormat="false" ht="15" hidden="false" customHeight="false" outlineLevel="0" collapsed="false">
      <c r="A546" s="5" t="s">
        <v>798</v>
      </c>
      <c r="B546" s="5" t="s">
        <v>192</v>
      </c>
      <c r="C546" s="5" t="s">
        <v>57</v>
      </c>
      <c r="D546" s="5" t="s">
        <v>65</v>
      </c>
      <c r="E546" s="5" t="s">
        <v>73</v>
      </c>
      <c r="F546" s="26" t="n">
        <v>68.29</v>
      </c>
      <c r="G546" s="26" t="n">
        <v>68.7</v>
      </c>
      <c r="H546" s="30" t="n">
        <v>0.746</v>
      </c>
      <c r="I546" s="28" t="n">
        <f aca="false">H546*G546/3.6</f>
        <v>14.2361666666667</v>
      </c>
      <c r="J546" s="30" t="n">
        <v>3.21</v>
      </c>
      <c r="K546" s="30" t="n">
        <v>0.707</v>
      </c>
      <c r="L546" s="30" t="n">
        <v>1.441</v>
      </c>
      <c r="M546" s="30" t="n">
        <v>3.93</v>
      </c>
      <c r="N546" s="25" t="n">
        <v>2.35918850723723</v>
      </c>
      <c r="O546" s="17" t="n">
        <v>0</v>
      </c>
      <c r="P546" s="26" t="n">
        <v>0</v>
      </c>
      <c r="Q546" s="24" t="n">
        <f aca="false">IF(O546=1,1/(1+EXP(-(P546-Inputs!$B$12)/Inputs!$B$13)),0)</f>
        <v>0</v>
      </c>
      <c r="R546" s="24" t="n">
        <f aca="false">N546*O546</f>
        <v>0</v>
      </c>
      <c r="S546" s="12" t="n">
        <f aca="false">N546*Q546</f>
        <v>0</v>
      </c>
      <c r="T546" s="24" t="n">
        <f aca="false">N546^2</f>
        <v>5.56577041268021</v>
      </c>
    </row>
    <row r="547" customFormat="false" ht="15" hidden="false" customHeight="false" outlineLevel="0" collapsed="false">
      <c r="A547" s="5" t="s">
        <v>799</v>
      </c>
      <c r="B547" s="5" t="s">
        <v>192</v>
      </c>
      <c r="C547" s="5" t="s">
        <v>57</v>
      </c>
      <c r="D547" s="5" t="s">
        <v>65</v>
      </c>
      <c r="E547" s="5" t="s">
        <v>73</v>
      </c>
      <c r="F547" s="26" t="n">
        <v>74.76</v>
      </c>
      <c r="G547" s="26" t="n">
        <v>75.85</v>
      </c>
      <c r="H547" s="30" t="n">
        <v>0.706</v>
      </c>
      <c r="I547" s="28" t="n">
        <f aca="false">H547*G547/3.6</f>
        <v>14.8750277777778</v>
      </c>
      <c r="J547" s="30" t="n">
        <v>3.88</v>
      </c>
      <c r="K547" s="30" t="n">
        <v>0.693</v>
      </c>
      <c r="L547" s="30" t="n">
        <v>1.458</v>
      </c>
      <c r="M547" s="30" t="n">
        <v>4.38</v>
      </c>
      <c r="N547" s="25" t="n">
        <v>1.56409994082361</v>
      </c>
      <c r="O547" s="17" t="n">
        <v>0</v>
      </c>
      <c r="P547" s="26" t="n">
        <v>0</v>
      </c>
      <c r="Q547" s="24" t="n">
        <f aca="false">IF(O547=1,1/(1+EXP(-(P547-Inputs!$B$12)/Inputs!$B$13)),0)</f>
        <v>0</v>
      </c>
      <c r="R547" s="24" t="n">
        <f aca="false">N547*O547</f>
        <v>0</v>
      </c>
      <c r="S547" s="12" t="n">
        <f aca="false">N547*Q547</f>
        <v>0</v>
      </c>
      <c r="T547" s="24" t="n">
        <f aca="false">N547^2</f>
        <v>2.4464086248844</v>
      </c>
    </row>
    <row r="548" customFormat="false" ht="15" hidden="false" customHeight="false" outlineLevel="0" collapsed="false">
      <c r="A548" s="5" t="s">
        <v>800</v>
      </c>
      <c r="B548" s="5" t="s">
        <v>192</v>
      </c>
      <c r="C548" s="5" t="s">
        <v>57</v>
      </c>
      <c r="D548" s="5" t="s">
        <v>65</v>
      </c>
      <c r="E548" s="5" t="s">
        <v>73</v>
      </c>
      <c r="F548" s="26" t="n">
        <v>71.99</v>
      </c>
      <c r="G548" s="26" t="n">
        <v>70.91</v>
      </c>
      <c r="H548" s="30" t="n">
        <v>0.883</v>
      </c>
      <c r="I548" s="28" t="n">
        <f aca="false">H548*G548/3.6</f>
        <v>17.3926472222222</v>
      </c>
      <c r="J548" s="30" t="n">
        <v>5.98</v>
      </c>
      <c r="K548" s="30" t="n">
        <v>1.67</v>
      </c>
      <c r="L548" s="30" t="n">
        <v>2.061</v>
      </c>
      <c r="M548" s="30" t="n">
        <v>4.76</v>
      </c>
      <c r="N548" s="25" t="n">
        <v>0.120960081673203</v>
      </c>
      <c r="O548" s="17" t="n">
        <v>1</v>
      </c>
      <c r="P548" s="26" t="n">
        <v>22.72</v>
      </c>
      <c r="Q548" s="24" t="n">
        <f aca="false">IF(O548=1,1/(1+EXP(-(P548-Inputs!$B$12)/Inputs!$B$13)),0)</f>
        <v>0.0398159597946971</v>
      </c>
      <c r="R548" s="24" t="n">
        <f aca="false">N548*O548</f>
        <v>0.120960081673203</v>
      </c>
      <c r="S548" s="12" t="n">
        <f aca="false">N548*Q548</f>
        <v>0.00481614174866354</v>
      </c>
      <c r="T548" s="24" t="n">
        <f aca="false">N548^2</f>
        <v>0.014631341358388</v>
      </c>
    </row>
    <row r="549" customFormat="false" ht="15" hidden="false" customHeight="false" outlineLevel="0" collapsed="false">
      <c r="A549" s="5" t="s">
        <v>801</v>
      </c>
      <c r="B549" s="5" t="s">
        <v>192</v>
      </c>
      <c r="C549" s="5" t="s">
        <v>57</v>
      </c>
      <c r="D549" s="5" t="s">
        <v>65</v>
      </c>
      <c r="E549" s="5" t="s">
        <v>73</v>
      </c>
      <c r="F549" s="26" t="n">
        <v>74.39</v>
      </c>
      <c r="G549" s="26" t="n">
        <v>72.46</v>
      </c>
      <c r="H549" s="30" t="n">
        <v>0.688</v>
      </c>
      <c r="I549" s="28" t="n">
        <f aca="false">H549*G549/3.6</f>
        <v>13.8479111111111</v>
      </c>
      <c r="J549" s="30" t="n">
        <v>3.54</v>
      </c>
      <c r="K549" s="30" t="n">
        <v>1.621</v>
      </c>
      <c r="L549" s="30" t="n">
        <v>1.669</v>
      </c>
      <c r="M549" s="30" t="n">
        <v>5.6</v>
      </c>
      <c r="N549" s="25" t="n">
        <v>0.127698325459556</v>
      </c>
      <c r="O549" s="17" t="n">
        <v>0</v>
      </c>
      <c r="P549" s="26" t="n">
        <v>0</v>
      </c>
      <c r="Q549" s="24" t="n">
        <f aca="false">IF(O549=1,1/(1+EXP(-(P549-Inputs!$B$12)/Inputs!$B$13)),0)</f>
        <v>0</v>
      </c>
      <c r="R549" s="24" t="n">
        <f aca="false">N549*O549</f>
        <v>0</v>
      </c>
      <c r="S549" s="12" t="n">
        <f aca="false">N549*Q549</f>
        <v>0</v>
      </c>
      <c r="T549" s="24" t="n">
        <f aca="false">N549^2</f>
        <v>0.0163068623251746</v>
      </c>
    </row>
    <row r="550" customFormat="false" ht="15" hidden="false" customHeight="false" outlineLevel="0" collapsed="false">
      <c r="A550" s="5" t="s">
        <v>802</v>
      </c>
      <c r="B550" s="5" t="s">
        <v>192</v>
      </c>
      <c r="C550" s="5" t="s">
        <v>57</v>
      </c>
      <c r="D550" s="5" t="s">
        <v>65</v>
      </c>
      <c r="E550" s="5" t="s">
        <v>73</v>
      </c>
      <c r="F550" s="26" t="n">
        <v>58.06</v>
      </c>
      <c r="G550" s="26" t="n">
        <v>56.1</v>
      </c>
      <c r="H550" s="30" t="n">
        <v>0.538</v>
      </c>
      <c r="I550" s="28" t="n">
        <f aca="false">H550*G550/3.6</f>
        <v>8.38383333333333</v>
      </c>
      <c r="J550" s="30" t="n">
        <v>4.78</v>
      </c>
      <c r="K550" s="30" t="n">
        <v>0.436</v>
      </c>
      <c r="L550" s="30" t="n">
        <v>2.253</v>
      </c>
      <c r="M550" s="30" t="n">
        <v>5.99</v>
      </c>
      <c r="N550" s="25" t="n">
        <v>0.372414181137003</v>
      </c>
      <c r="O550" s="17" t="n">
        <v>0</v>
      </c>
      <c r="P550" s="26" t="n">
        <v>0</v>
      </c>
      <c r="Q550" s="24" t="n">
        <f aca="false">IF(O550=1,1/(1+EXP(-(P550-Inputs!$B$12)/Inputs!$B$13)),0)</f>
        <v>0</v>
      </c>
      <c r="R550" s="24" t="n">
        <f aca="false">N550*O550</f>
        <v>0</v>
      </c>
      <c r="S550" s="12" t="n">
        <f aca="false">N550*Q550</f>
        <v>0</v>
      </c>
      <c r="T550" s="24" t="n">
        <f aca="false">N550^2</f>
        <v>0.138692322311945</v>
      </c>
    </row>
    <row r="551" customFormat="false" ht="15" hidden="false" customHeight="false" outlineLevel="0" collapsed="false">
      <c r="A551" s="5" t="s">
        <v>803</v>
      </c>
      <c r="B551" s="5" t="s">
        <v>192</v>
      </c>
      <c r="C551" s="5" t="s">
        <v>57</v>
      </c>
      <c r="D551" s="5" t="s">
        <v>65</v>
      </c>
      <c r="E551" s="5" t="s">
        <v>73</v>
      </c>
      <c r="F551" s="26" t="n">
        <v>59.11</v>
      </c>
      <c r="G551" s="26" t="n">
        <v>60.66</v>
      </c>
      <c r="H551" s="30" t="n">
        <v>0.56</v>
      </c>
      <c r="I551" s="28" t="n">
        <f aca="false">H551*G551/3.6</f>
        <v>9.436</v>
      </c>
      <c r="J551" s="30" t="n">
        <v>3.1</v>
      </c>
      <c r="K551" s="30" t="n">
        <v>2.244</v>
      </c>
      <c r="L551" s="30" t="n">
        <v>1.524</v>
      </c>
      <c r="M551" s="30" t="n">
        <v>3.82</v>
      </c>
      <c r="N551" s="25" t="n">
        <v>0.21084801163992</v>
      </c>
      <c r="O551" s="17" t="n">
        <v>1</v>
      </c>
      <c r="P551" s="26" t="n">
        <v>11.13</v>
      </c>
      <c r="Q551" s="24" t="n">
        <f aca="false">IF(O551=1,1/(1+EXP(-(P551-Inputs!$B$12)/Inputs!$B$13)),0)</f>
        <v>0.00785615010697784</v>
      </c>
      <c r="R551" s="24" t="n">
        <f aca="false">N551*O551</f>
        <v>0.21084801163992</v>
      </c>
      <c r="S551" s="12" t="n">
        <f aca="false">N551*Q551</f>
        <v>0.00165645362920102</v>
      </c>
      <c r="T551" s="24" t="n">
        <f aca="false">N551^2</f>
        <v>0.0444568840125079</v>
      </c>
    </row>
    <row r="552" customFormat="false" ht="15" hidden="false" customHeight="false" outlineLevel="0" collapsed="false">
      <c r="A552" s="5" t="s">
        <v>804</v>
      </c>
      <c r="B552" s="5" t="s">
        <v>192</v>
      </c>
      <c r="C552" s="5" t="s">
        <v>57</v>
      </c>
      <c r="D552" s="5" t="s">
        <v>65</v>
      </c>
      <c r="E552" s="5" t="s">
        <v>73</v>
      </c>
      <c r="F552" s="26" t="n">
        <v>61.04</v>
      </c>
      <c r="G552" s="26" t="n">
        <v>62.68</v>
      </c>
      <c r="H552" s="30" t="n">
        <v>0.557</v>
      </c>
      <c r="I552" s="28" t="n">
        <f aca="false">H552*G552/3.6</f>
        <v>9.69798888888889</v>
      </c>
      <c r="J552" s="30" t="n">
        <v>2.88</v>
      </c>
      <c r="K552" s="30" t="n">
        <v>0.932</v>
      </c>
      <c r="L552" s="30" t="n">
        <v>1.928</v>
      </c>
      <c r="M552" s="30" t="n">
        <v>5.91</v>
      </c>
      <c r="N552" s="25" t="n">
        <v>0.191186548918965</v>
      </c>
      <c r="O552" s="17" t="n">
        <v>0</v>
      </c>
      <c r="P552" s="26" t="n">
        <v>0</v>
      </c>
      <c r="Q552" s="24" t="n">
        <f aca="false">IF(O552=1,1/(1+EXP(-(P552-Inputs!$B$12)/Inputs!$B$13)),0)</f>
        <v>0</v>
      </c>
      <c r="R552" s="24" t="n">
        <f aca="false">N552*O552</f>
        <v>0</v>
      </c>
      <c r="S552" s="12" t="n">
        <f aca="false">N552*Q552</f>
        <v>0</v>
      </c>
      <c r="T552" s="24" t="n">
        <f aca="false">N552^2</f>
        <v>0.0365522964875439</v>
      </c>
    </row>
    <row r="553" customFormat="false" ht="15" hidden="false" customHeight="false" outlineLevel="0" collapsed="false">
      <c r="A553" s="5" t="s">
        <v>805</v>
      </c>
      <c r="B553" s="5" t="s">
        <v>192</v>
      </c>
      <c r="C553" s="5" t="s">
        <v>57</v>
      </c>
      <c r="D553" s="5" t="s">
        <v>65</v>
      </c>
      <c r="E553" s="5" t="s">
        <v>73</v>
      </c>
      <c r="F553" s="26" t="n">
        <v>59.24</v>
      </c>
      <c r="G553" s="26" t="n">
        <v>60.75</v>
      </c>
      <c r="H553" s="30" t="n">
        <v>0.644</v>
      </c>
      <c r="I553" s="28" t="n">
        <f aca="false">H553*G553/3.6</f>
        <v>10.8675</v>
      </c>
      <c r="J553" s="30" t="n">
        <v>3.93</v>
      </c>
      <c r="K553" s="30" t="n">
        <v>2.12</v>
      </c>
      <c r="L553" s="30" t="n">
        <v>1.16</v>
      </c>
      <c r="M553" s="30" t="n">
        <v>6.17</v>
      </c>
      <c r="N553" s="25" t="n">
        <v>0.270918569295624</v>
      </c>
      <c r="O553" s="17" t="n">
        <v>0</v>
      </c>
      <c r="P553" s="26" t="n">
        <v>0</v>
      </c>
      <c r="Q553" s="24" t="n">
        <f aca="false">IF(O553=1,1/(1+EXP(-(P553-Inputs!$B$12)/Inputs!$B$13)),0)</f>
        <v>0</v>
      </c>
      <c r="R553" s="24" t="n">
        <f aca="false">N553*O553</f>
        <v>0</v>
      </c>
      <c r="S553" s="12" t="n">
        <f aca="false">N553*Q553</f>
        <v>0</v>
      </c>
      <c r="T553" s="24" t="n">
        <f aca="false">N553^2</f>
        <v>0.073396871189188</v>
      </c>
    </row>
    <row r="554" customFormat="false" ht="15" hidden="false" customHeight="false" outlineLevel="0" collapsed="false">
      <c r="A554" s="5" t="s">
        <v>806</v>
      </c>
      <c r="B554" s="5" t="s">
        <v>192</v>
      </c>
      <c r="C554" s="5" t="s">
        <v>57</v>
      </c>
      <c r="D554" s="5" t="s">
        <v>65</v>
      </c>
      <c r="E554" s="5" t="s">
        <v>73</v>
      </c>
      <c r="F554" s="26" t="n">
        <v>71.81</v>
      </c>
      <c r="G554" s="26" t="n">
        <v>74.12</v>
      </c>
      <c r="H554" s="30" t="n">
        <v>0.676</v>
      </c>
      <c r="I554" s="28" t="n">
        <f aca="false">H554*G554/3.6</f>
        <v>13.9180888888889</v>
      </c>
      <c r="J554" s="30" t="n">
        <v>4.71</v>
      </c>
      <c r="K554" s="30" t="n">
        <v>0.71</v>
      </c>
      <c r="L554" s="30" t="n">
        <v>1.487</v>
      </c>
      <c r="M554" s="30" t="n">
        <v>3.97</v>
      </c>
      <c r="N554" s="25" t="n">
        <v>1.780813018142</v>
      </c>
      <c r="O554" s="17" t="n">
        <v>0</v>
      </c>
      <c r="P554" s="26" t="n">
        <v>0</v>
      </c>
      <c r="Q554" s="24" t="n">
        <f aca="false">IF(O554=1,1/(1+EXP(-(P554-Inputs!$B$12)/Inputs!$B$13)),0)</f>
        <v>0</v>
      </c>
      <c r="R554" s="24" t="n">
        <f aca="false">N554*O554</f>
        <v>0</v>
      </c>
      <c r="S554" s="12" t="n">
        <f aca="false">N554*Q554</f>
        <v>0</v>
      </c>
      <c r="T554" s="24" t="n">
        <f aca="false">N554^2</f>
        <v>3.17129500558403</v>
      </c>
    </row>
    <row r="555" customFormat="false" ht="15" hidden="false" customHeight="false" outlineLevel="0" collapsed="false">
      <c r="A555" s="5" t="s">
        <v>807</v>
      </c>
      <c r="B555" s="5" t="s">
        <v>192</v>
      </c>
      <c r="C555" s="5" t="s">
        <v>57</v>
      </c>
      <c r="D555" s="5" t="s">
        <v>65</v>
      </c>
      <c r="E555" s="5" t="s">
        <v>73</v>
      </c>
      <c r="F555" s="26" t="n">
        <v>57.91</v>
      </c>
      <c r="G555" s="26" t="n">
        <v>57.57</v>
      </c>
      <c r="H555" s="30" t="n">
        <v>0.512</v>
      </c>
      <c r="I555" s="28" t="n">
        <f aca="false">H555*G555/3.6</f>
        <v>8.18773333333333</v>
      </c>
      <c r="J555" s="30" t="n">
        <v>5.79</v>
      </c>
      <c r="K555" s="30" t="n">
        <v>1.801</v>
      </c>
      <c r="L555" s="30" t="n">
        <v>2.742</v>
      </c>
      <c r="M555" s="30" t="n">
        <v>3.5</v>
      </c>
      <c r="N555" s="25" t="n">
        <v>0.0767326605417855</v>
      </c>
      <c r="O555" s="17" t="n">
        <v>1</v>
      </c>
      <c r="P555" s="26" t="n">
        <v>35.11</v>
      </c>
      <c r="Q555" s="24" t="n">
        <f aca="false">IF(O555=1,1/(1+EXP(-(P555-Inputs!$B$12)/Inputs!$B$13)),0)</f>
        <v>0.195783801017083</v>
      </c>
      <c r="R555" s="24" t="n">
        <f aca="false">N555*O555</f>
        <v>0.0767326605417855</v>
      </c>
      <c r="S555" s="12" t="n">
        <f aca="false">N555*Q555</f>
        <v>0.0150230119430243</v>
      </c>
      <c r="T555" s="24" t="n">
        <f aca="false">N555^2</f>
        <v>0.00588790119382088</v>
      </c>
    </row>
    <row r="556" customFormat="false" ht="15" hidden="false" customHeight="false" outlineLevel="0" collapsed="false">
      <c r="A556" s="5" t="s">
        <v>808</v>
      </c>
      <c r="B556" s="5" t="s">
        <v>193</v>
      </c>
      <c r="C556" s="5" t="s">
        <v>57</v>
      </c>
      <c r="D556" s="5" t="s">
        <v>66</v>
      </c>
      <c r="E556" s="5" t="s">
        <v>68</v>
      </c>
      <c r="F556" s="26" t="n">
        <v>81.88</v>
      </c>
      <c r="G556" s="26" t="n">
        <v>85.43</v>
      </c>
      <c r="H556" s="30" t="n">
        <v>4.839</v>
      </c>
      <c r="I556" s="28" t="n">
        <f aca="false">H556*G556/3.6</f>
        <v>114.832158333333</v>
      </c>
      <c r="J556" s="30" t="n">
        <v>4.8</v>
      </c>
      <c r="K556" s="30" t="n">
        <v>1.413</v>
      </c>
      <c r="L556" s="30" t="n">
        <v>1.542</v>
      </c>
      <c r="M556" s="30" t="n">
        <v>6.98</v>
      </c>
      <c r="N556" s="25" t="n">
        <v>0.257993995474227</v>
      </c>
      <c r="O556" s="17" t="n">
        <v>0</v>
      </c>
      <c r="P556" s="26" t="n">
        <v>0</v>
      </c>
      <c r="Q556" s="24" t="n">
        <f aca="false">IF(O556=1,1/(1+EXP(-(P556-Inputs!$B$12)/Inputs!$B$13)),0)</f>
        <v>0</v>
      </c>
      <c r="R556" s="24" t="n">
        <f aca="false">N556*O556</f>
        <v>0</v>
      </c>
      <c r="S556" s="12" t="n">
        <f aca="false">N556*Q556</f>
        <v>0</v>
      </c>
      <c r="T556" s="24" t="n">
        <f aca="false">N556^2</f>
        <v>0.0665609017007555</v>
      </c>
    </row>
    <row r="557" customFormat="false" ht="15" hidden="false" customHeight="false" outlineLevel="0" collapsed="false">
      <c r="A557" s="5" t="s">
        <v>809</v>
      </c>
      <c r="B557" s="5" t="s">
        <v>193</v>
      </c>
      <c r="C557" s="5" t="s">
        <v>57</v>
      </c>
      <c r="D557" s="5" t="s">
        <v>66</v>
      </c>
      <c r="E557" s="5" t="s">
        <v>68</v>
      </c>
      <c r="F557" s="26" t="n">
        <v>82.44</v>
      </c>
      <c r="G557" s="26" t="n">
        <v>82.62</v>
      </c>
      <c r="H557" s="30" t="n">
        <v>3.362</v>
      </c>
      <c r="I557" s="28" t="n">
        <f aca="false">H557*G557/3.6</f>
        <v>77.1579</v>
      </c>
      <c r="J557" s="30" t="n">
        <v>2.69</v>
      </c>
      <c r="K557" s="30" t="n">
        <v>1.223</v>
      </c>
      <c r="L557" s="30" t="n">
        <v>2.431</v>
      </c>
      <c r="M557" s="30" t="n">
        <v>3.88</v>
      </c>
      <c r="N557" s="25" t="n">
        <v>0.0789197974508027</v>
      </c>
      <c r="O557" s="17" t="n">
        <v>0</v>
      </c>
      <c r="P557" s="26" t="n">
        <v>0</v>
      </c>
      <c r="Q557" s="24" t="n">
        <f aca="false">IF(O557=1,1/(1+EXP(-(P557-Inputs!$B$12)/Inputs!$B$13)),0)</f>
        <v>0</v>
      </c>
      <c r="R557" s="24" t="n">
        <f aca="false">N557*O557</f>
        <v>0</v>
      </c>
      <c r="S557" s="12" t="n">
        <f aca="false">N557*Q557</f>
        <v>0</v>
      </c>
      <c r="T557" s="24" t="n">
        <f aca="false">N557^2</f>
        <v>0.00622833442967572</v>
      </c>
    </row>
    <row r="558" customFormat="false" ht="15" hidden="false" customHeight="false" outlineLevel="0" collapsed="false">
      <c r="A558" s="5" t="s">
        <v>810</v>
      </c>
      <c r="B558" s="5" t="s">
        <v>193</v>
      </c>
      <c r="C558" s="5" t="s">
        <v>57</v>
      </c>
      <c r="D558" s="5" t="s">
        <v>66</v>
      </c>
      <c r="E558" s="5" t="s">
        <v>68</v>
      </c>
      <c r="F558" s="26" t="n">
        <v>90.65</v>
      </c>
      <c r="G558" s="26" t="n">
        <v>91.88</v>
      </c>
      <c r="H558" s="30" t="n">
        <v>3.566</v>
      </c>
      <c r="I558" s="28" t="n">
        <f aca="false">H558*G558/3.6</f>
        <v>91.0122444444444</v>
      </c>
      <c r="J558" s="30" t="n">
        <v>5.57</v>
      </c>
      <c r="K558" s="30" t="n">
        <v>1.542</v>
      </c>
      <c r="L558" s="30" t="n">
        <v>3.043</v>
      </c>
      <c r="M558" s="30" t="n">
        <v>7.47</v>
      </c>
      <c r="N558" s="25" t="n">
        <v>0.00243318454409352</v>
      </c>
      <c r="O558" s="17" t="n">
        <v>0</v>
      </c>
      <c r="P558" s="26" t="n">
        <v>0</v>
      </c>
      <c r="Q558" s="24" t="n">
        <f aca="false">IF(O558=1,1/(1+EXP(-(P558-Inputs!$B$12)/Inputs!$B$13)),0)</f>
        <v>0</v>
      </c>
      <c r="R558" s="24" t="n">
        <f aca="false">N558*O558</f>
        <v>0</v>
      </c>
      <c r="S558" s="12" t="n">
        <f aca="false">N558*Q558</f>
        <v>0</v>
      </c>
      <c r="T558" s="24" t="n">
        <f aca="false">N558^2</f>
        <v>5.92038702561559E-006</v>
      </c>
    </row>
    <row r="559" customFormat="false" ht="15" hidden="false" customHeight="false" outlineLevel="0" collapsed="false">
      <c r="A559" s="5" t="s">
        <v>811</v>
      </c>
      <c r="B559" s="5" t="s">
        <v>193</v>
      </c>
      <c r="C559" s="5" t="s">
        <v>57</v>
      </c>
      <c r="D559" s="5" t="s">
        <v>66</v>
      </c>
      <c r="E559" s="5" t="s">
        <v>68</v>
      </c>
      <c r="F559" s="26" t="n">
        <v>75.61</v>
      </c>
      <c r="G559" s="26" t="n">
        <v>77.84</v>
      </c>
      <c r="H559" s="30" t="n">
        <v>3.344</v>
      </c>
      <c r="I559" s="28" t="n">
        <f aca="false">H559*G559/3.6</f>
        <v>72.3047111111111</v>
      </c>
      <c r="J559" s="30" t="n">
        <v>5.61</v>
      </c>
      <c r="K559" s="30" t="n">
        <v>2.071</v>
      </c>
      <c r="L559" s="30" t="n">
        <v>0.836</v>
      </c>
      <c r="M559" s="30" t="n">
        <v>7.45</v>
      </c>
      <c r="N559" s="25" t="n">
        <v>0.458419404869427</v>
      </c>
      <c r="O559" s="17" t="n">
        <v>0</v>
      </c>
      <c r="P559" s="26" t="n">
        <v>0</v>
      </c>
      <c r="Q559" s="24" t="n">
        <f aca="false">IF(O559=1,1/(1+EXP(-(P559-Inputs!$B$12)/Inputs!$B$13)),0)</f>
        <v>0</v>
      </c>
      <c r="R559" s="24" t="n">
        <f aca="false">N559*O559</f>
        <v>0</v>
      </c>
      <c r="S559" s="12" t="n">
        <f aca="false">N559*Q559</f>
        <v>0</v>
      </c>
      <c r="T559" s="24" t="n">
        <f aca="false">N559^2</f>
        <v>0.21014835076084</v>
      </c>
    </row>
    <row r="560" customFormat="false" ht="15" hidden="false" customHeight="false" outlineLevel="0" collapsed="false">
      <c r="A560" s="5" t="s">
        <v>812</v>
      </c>
      <c r="B560" s="5" t="s">
        <v>193</v>
      </c>
      <c r="C560" s="5" t="s">
        <v>57</v>
      </c>
      <c r="D560" s="5" t="s">
        <v>66</v>
      </c>
      <c r="E560" s="5" t="s">
        <v>68</v>
      </c>
      <c r="F560" s="26" t="n">
        <v>89.8</v>
      </c>
      <c r="G560" s="26" t="n">
        <v>92.36</v>
      </c>
      <c r="H560" s="30" t="n">
        <v>3.041</v>
      </c>
      <c r="I560" s="28" t="n">
        <f aca="false">H560*G560/3.6</f>
        <v>78.0185444444444</v>
      </c>
      <c r="J560" s="30" t="n">
        <v>5.72</v>
      </c>
      <c r="K560" s="30" t="n">
        <v>2.041</v>
      </c>
      <c r="L560" s="30" t="n">
        <v>4.383</v>
      </c>
      <c r="M560" s="30" t="n">
        <v>4.69</v>
      </c>
      <c r="N560" s="25" t="n">
        <v>0.000515223531842489</v>
      </c>
      <c r="O560" s="17" t="n">
        <v>0</v>
      </c>
      <c r="P560" s="26" t="n">
        <v>0</v>
      </c>
      <c r="Q560" s="24" t="n">
        <f aca="false">IF(O560=1,1/(1+EXP(-(P560-Inputs!$B$12)/Inputs!$B$13)),0)</f>
        <v>0</v>
      </c>
      <c r="R560" s="24" t="n">
        <f aca="false">N560*O560</f>
        <v>0</v>
      </c>
      <c r="S560" s="12" t="n">
        <f aca="false">N560*Q560</f>
        <v>0</v>
      </c>
      <c r="T560" s="24" t="n">
        <f aca="false">N560^2</f>
        <v>2.65455287764248E-007</v>
      </c>
    </row>
    <row r="561" customFormat="false" ht="15" hidden="false" customHeight="false" outlineLevel="0" collapsed="false">
      <c r="A561" s="5" t="s">
        <v>813</v>
      </c>
      <c r="B561" s="5" t="s">
        <v>193</v>
      </c>
      <c r="C561" s="5" t="s">
        <v>57</v>
      </c>
      <c r="D561" s="5" t="s">
        <v>66</v>
      </c>
      <c r="E561" s="5" t="s">
        <v>68</v>
      </c>
      <c r="F561" s="26" t="n">
        <v>83.13</v>
      </c>
      <c r="G561" s="26" t="n">
        <v>83.1</v>
      </c>
      <c r="H561" s="30" t="n">
        <v>3.407</v>
      </c>
      <c r="I561" s="28" t="n">
        <f aca="false">H561*G561/3.6</f>
        <v>78.6449166666667</v>
      </c>
      <c r="J561" s="30" t="n">
        <v>3.56</v>
      </c>
      <c r="K561" s="30" t="n">
        <v>0.745</v>
      </c>
      <c r="L561" s="30" t="n">
        <v>1.503</v>
      </c>
      <c r="M561" s="30" t="n">
        <v>7.05</v>
      </c>
      <c r="N561" s="25" t="n">
        <v>0.620607884218014</v>
      </c>
      <c r="O561" s="17" t="n">
        <v>0</v>
      </c>
      <c r="P561" s="26" t="n">
        <v>0</v>
      </c>
      <c r="Q561" s="24" t="n">
        <f aca="false">IF(O561=1,1/(1+EXP(-(P561-Inputs!$B$12)/Inputs!$B$13)),0)</f>
        <v>0</v>
      </c>
      <c r="R561" s="24" t="n">
        <f aca="false">N561*O561</f>
        <v>0</v>
      </c>
      <c r="S561" s="12" t="n">
        <f aca="false">N561*Q561</f>
        <v>0</v>
      </c>
      <c r="T561" s="24" t="n">
        <f aca="false">N561^2</f>
        <v>0.38515414595356</v>
      </c>
    </row>
    <row r="562" customFormat="false" ht="15" hidden="false" customHeight="false" outlineLevel="0" collapsed="false">
      <c r="A562" s="5" t="s">
        <v>814</v>
      </c>
      <c r="B562" s="5" t="s">
        <v>193</v>
      </c>
      <c r="C562" s="5" t="s">
        <v>57</v>
      </c>
      <c r="D562" s="5" t="s">
        <v>66</v>
      </c>
      <c r="E562" s="5" t="s">
        <v>68</v>
      </c>
      <c r="F562" s="26" t="n">
        <v>82.77</v>
      </c>
      <c r="G562" s="26" t="n">
        <v>84.38</v>
      </c>
      <c r="H562" s="30" t="n">
        <v>4.311</v>
      </c>
      <c r="I562" s="28" t="n">
        <f aca="false">H562*G562/3.6</f>
        <v>101.04505</v>
      </c>
      <c r="J562" s="30" t="n">
        <v>3.3</v>
      </c>
      <c r="K562" s="30" t="n">
        <v>1.665</v>
      </c>
      <c r="L562" s="30" t="n">
        <v>1.613</v>
      </c>
      <c r="M562" s="30" t="n">
        <v>4.66</v>
      </c>
      <c r="N562" s="25" t="n">
        <v>0.22151736378834</v>
      </c>
      <c r="O562" s="17" t="n">
        <v>0</v>
      </c>
      <c r="P562" s="26" t="n">
        <v>0</v>
      </c>
      <c r="Q562" s="24" t="n">
        <f aca="false">IF(O562=1,1/(1+EXP(-(P562-Inputs!$B$12)/Inputs!$B$13)),0)</f>
        <v>0</v>
      </c>
      <c r="R562" s="24" t="n">
        <f aca="false">N562*O562</f>
        <v>0</v>
      </c>
      <c r="S562" s="12" t="n">
        <f aca="false">N562*Q562</f>
        <v>0</v>
      </c>
      <c r="T562" s="24" t="n">
        <f aca="false">N562^2</f>
        <v>0.0490699424597359</v>
      </c>
    </row>
    <row r="563" customFormat="false" ht="15" hidden="false" customHeight="false" outlineLevel="0" collapsed="false">
      <c r="A563" s="5" t="s">
        <v>815</v>
      </c>
      <c r="B563" s="5" t="s">
        <v>193</v>
      </c>
      <c r="C563" s="5" t="s">
        <v>57</v>
      </c>
      <c r="D563" s="5" t="s">
        <v>66</v>
      </c>
      <c r="E563" s="5" t="s">
        <v>68</v>
      </c>
      <c r="F563" s="26" t="n">
        <v>87.93</v>
      </c>
      <c r="G563" s="26" t="n">
        <v>90.63</v>
      </c>
      <c r="H563" s="30" t="n">
        <v>3.484</v>
      </c>
      <c r="I563" s="28" t="n">
        <f aca="false">H563*G563/3.6</f>
        <v>87.7097</v>
      </c>
      <c r="J563" s="30" t="n">
        <v>2.73</v>
      </c>
      <c r="K563" s="30" t="n">
        <v>2.459</v>
      </c>
      <c r="L563" s="30" t="n">
        <v>0.895</v>
      </c>
      <c r="M563" s="30" t="n">
        <v>7.73</v>
      </c>
      <c r="N563" s="25" t="n">
        <v>0.22146247036125</v>
      </c>
      <c r="O563" s="17" t="n">
        <v>0</v>
      </c>
      <c r="P563" s="26" t="n">
        <v>0</v>
      </c>
      <c r="Q563" s="24" t="n">
        <f aca="false">IF(O563=1,1/(1+EXP(-(P563-Inputs!$B$12)/Inputs!$B$13)),0)</f>
        <v>0</v>
      </c>
      <c r="R563" s="24" t="n">
        <f aca="false">N563*O563</f>
        <v>0</v>
      </c>
      <c r="S563" s="12" t="n">
        <f aca="false">N563*Q563</f>
        <v>0</v>
      </c>
      <c r="T563" s="24" t="n">
        <f aca="false">N563^2</f>
        <v>0.0490456257785073</v>
      </c>
    </row>
    <row r="564" customFormat="false" ht="15" hidden="false" customHeight="false" outlineLevel="0" collapsed="false">
      <c r="A564" s="5" t="s">
        <v>816</v>
      </c>
      <c r="B564" s="5" t="s">
        <v>193</v>
      </c>
      <c r="C564" s="5" t="s">
        <v>57</v>
      </c>
      <c r="D564" s="5" t="s">
        <v>66</v>
      </c>
      <c r="E564" s="5" t="s">
        <v>68</v>
      </c>
      <c r="F564" s="26" t="n">
        <v>86.45</v>
      </c>
      <c r="G564" s="26" t="n">
        <v>87.78</v>
      </c>
      <c r="H564" s="30" t="n">
        <v>3.053</v>
      </c>
      <c r="I564" s="28" t="n">
        <f aca="false">H564*G564/3.6</f>
        <v>74.4423166666667</v>
      </c>
      <c r="J564" s="30" t="n">
        <v>5.44</v>
      </c>
      <c r="K564" s="30" t="n">
        <v>2.612</v>
      </c>
      <c r="L564" s="30" t="n">
        <v>1.757</v>
      </c>
      <c r="M564" s="30" t="n">
        <v>5.71</v>
      </c>
      <c r="N564" s="25" t="n">
        <v>0.0556482523573018</v>
      </c>
      <c r="O564" s="17" t="n">
        <v>0</v>
      </c>
      <c r="P564" s="26" t="n">
        <v>0</v>
      </c>
      <c r="Q564" s="24" t="n">
        <f aca="false">IF(O564=1,1/(1+EXP(-(P564-Inputs!$B$12)/Inputs!$B$13)),0)</f>
        <v>0</v>
      </c>
      <c r="R564" s="24" t="n">
        <f aca="false">N564*O564</f>
        <v>0</v>
      </c>
      <c r="S564" s="12" t="n">
        <f aca="false">N564*Q564</f>
        <v>0</v>
      </c>
      <c r="T564" s="24" t="n">
        <f aca="false">N564^2</f>
        <v>0.00309672799042194</v>
      </c>
    </row>
    <row r="565" customFormat="false" ht="15" hidden="false" customHeight="false" outlineLevel="0" collapsed="false">
      <c r="A565" s="5" t="s">
        <v>817</v>
      </c>
      <c r="B565" s="5" t="s">
        <v>193</v>
      </c>
      <c r="C565" s="5" t="s">
        <v>57</v>
      </c>
      <c r="D565" s="5" t="s">
        <v>66</v>
      </c>
      <c r="E565" s="5" t="s">
        <v>68</v>
      </c>
      <c r="F565" s="26" t="n">
        <v>89.71</v>
      </c>
      <c r="G565" s="26" t="n">
        <v>89.72</v>
      </c>
      <c r="H565" s="30" t="n">
        <v>3.791</v>
      </c>
      <c r="I565" s="28" t="n">
        <f aca="false">H565*G565/3.6</f>
        <v>94.4801444444444</v>
      </c>
      <c r="J565" s="30" t="n">
        <v>2.91</v>
      </c>
      <c r="K565" s="30" t="n">
        <v>1.314</v>
      </c>
      <c r="L565" s="30" t="n">
        <v>1.062</v>
      </c>
      <c r="M565" s="30" t="n">
        <v>7.84</v>
      </c>
      <c r="N565" s="25" t="n">
        <v>0.436496712307368</v>
      </c>
      <c r="O565" s="17" t="n">
        <v>0</v>
      </c>
      <c r="P565" s="26" t="n">
        <v>0</v>
      </c>
      <c r="Q565" s="24" t="n">
        <f aca="false">IF(O565=1,1/(1+EXP(-(P565-Inputs!$B$12)/Inputs!$B$13)),0)</f>
        <v>0</v>
      </c>
      <c r="R565" s="24" t="n">
        <f aca="false">N565*O565</f>
        <v>0</v>
      </c>
      <c r="S565" s="12" t="n">
        <f aca="false">N565*Q565</f>
        <v>0</v>
      </c>
      <c r="T565" s="24" t="n">
        <f aca="false">N565^2</f>
        <v>0.190529379855141</v>
      </c>
    </row>
    <row r="566" customFormat="false" ht="15" hidden="false" customHeight="false" outlineLevel="0" collapsed="false">
      <c r="A566" s="5" t="s">
        <v>818</v>
      </c>
      <c r="B566" s="5" t="s">
        <v>194</v>
      </c>
      <c r="C566" s="5" t="s">
        <v>57</v>
      </c>
      <c r="D566" s="5" t="s">
        <v>66</v>
      </c>
      <c r="E566" s="5" t="s">
        <v>70</v>
      </c>
      <c r="F566" s="26" t="n">
        <v>77.73</v>
      </c>
      <c r="G566" s="26" t="n">
        <v>76.84</v>
      </c>
      <c r="H566" s="30" t="n">
        <v>2.086</v>
      </c>
      <c r="I566" s="28" t="n">
        <f aca="false">H566*G566/3.6</f>
        <v>44.5245111111111</v>
      </c>
      <c r="J566" s="30" t="n">
        <v>4.57</v>
      </c>
      <c r="K566" s="30" t="n">
        <v>1.379</v>
      </c>
      <c r="L566" s="30" t="n">
        <v>1.373</v>
      </c>
      <c r="M566" s="30" t="n">
        <v>7.35</v>
      </c>
      <c r="N566" s="25" t="n">
        <v>0.248293066849394</v>
      </c>
      <c r="O566" s="17" t="n">
        <v>0</v>
      </c>
      <c r="P566" s="26" t="n">
        <v>0</v>
      </c>
      <c r="Q566" s="24" t="n">
        <f aca="false">IF(O566=1,1/(1+EXP(-(P566-Inputs!$B$12)/Inputs!$B$13)),0)</f>
        <v>0</v>
      </c>
      <c r="R566" s="24" t="n">
        <f aca="false">N566*O566</f>
        <v>0</v>
      </c>
      <c r="S566" s="12" t="n">
        <f aca="false">N566*Q566</f>
        <v>0</v>
      </c>
      <c r="T566" s="24" t="n">
        <f aca="false">N566^2</f>
        <v>0.0616494470454774</v>
      </c>
    </row>
    <row r="567" customFormat="false" ht="15" hidden="false" customHeight="false" outlineLevel="0" collapsed="false">
      <c r="A567" s="5" t="s">
        <v>819</v>
      </c>
      <c r="B567" s="5" t="s">
        <v>194</v>
      </c>
      <c r="C567" s="5" t="s">
        <v>57</v>
      </c>
      <c r="D567" s="5" t="s">
        <v>66</v>
      </c>
      <c r="E567" s="5" t="s">
        <v>70</v>
      </c>
      <c r="F567" s="26" t="n">
        <v>75.91</v>
      </c>
      <c r="G567" s="26" t="n">
        <v>74.74</v>
      </c>
      <c r="H567" s="30" t="n">
        <v>2.086</v>
      </c>
      <c r="I567" s="28" t="n">
        <f aca="false">H567*G567/3.6</f>
        <v>43.3076777777778</v>
      </c>
      <c r="J567" s="30" t="n">
        <v>5.62</v>
      </c>
      <c r="K567" s="30" t="n">
        <v>1.433</v>
      </c>
      <c r="L567" s="30" t="n">
        <v>2.004</v>
      </c>
      <c r="M567" s="30" t="n">
        <v>6.37</v>
      </c>
      <c r="N567" s="25" t="n">
        <v>0.0599436667704594</v>
      </c>
      <c r="O567" s="17" t="n">
        <v>0</v>
      </c>
      <c r="P567" s="26" t="n">
        <v>0</v>
      </c>
      <c r="Q567" s="24" t="n">
        <f aca="false">IF(O567=1,1/(1+EXP(-(P567-Inputs!$B$12)/Inputs!$B$13)),0)</f>
        <v>0</v>
      </c>
      <c r="R567" s="24" t="n">
        <f aca="false">N567*O567</f>
        <v>0</v>
      </c>
      <c r="S567" s="12" t="n">
        <f aca="false">N567*Q567</f>
        <v>0</v>
      </c>
      <c r="T567" s="24" t="n">
        <f aca="false">N567^2</f>
        <v>0.00359324318588788</v>
      </c>
    </row>
    <row r="568" customFormat="false" ht="15" hidden="false" customHeight="false" outlineLevel="0" collapsed="false">
      <c r="A568" s="5" t="s">
        <v>820</v>
      </c>
      <c r="B568" s="5" t="s">
        <v>194</v>
      </c>
      <c r="C568" s="5" t="s">
        <v>57</v>
      </c>
      <c r="D568" s="5" t="s">
        <v>66</v>
      </c>
      <c r="E568" s="5" t="s">
        <v>70</v>
      </c>
      <c r="F568" s="26" t="n">
        <v>90.31</v>
      </c>
      <c r="G568" s="26" t="n">
        <v>93.38</v>
      </c>
      <c r="H568" s="30" t="n">
        <v>2.915</v>
      </c>
      <c r="I568" s="28" t="n">
        <f aca="false">H568*G568/3.6</f>
        <v>75.6118611111111</v>
      </c>
      <c r="J568" s="30" t="n">
        <v>4.78</v>
      </c>
      <c r="K568" s="30" t="n">
        <v>1.196</v>
      </c>
      <c r="L568" s="30" t="n">
        <v>0.94</v>
      </c>
      <c r="M568" s="30" t="n">
        <v>5.5</v>
      </c>
      <c r="N568" s="25" t="n">
        <v>6.17129862911267</v>
      </c>
      <c r="O568" s="17" t="n">
        <v>0</v>
      </c>
      <c r="P568" s="26" t="n">
        <v>0</v>
      </c>
      <c r="Q568" s="24" t="n">
        <f aca="false">IF(O568=1,1/(1+EXP(-(P568-Inputs!$B$12)/Inputs!$B$13)),0)</f>
        <v>0</v>
      </c>
      <c r="R568" s="24" t="n">
        <f aca="false">N568*O568</f>
        <v>0</v>
      </c>
      <c r="S568" s="12" t="n">
        <f aca="false">N568*Q568</f>
        <v>0</v>
      </c>
      <c r="T568" s="24" t="n">
        <f aca="false">N568^2</f>
        <v>38.0849267696879</v>
      </c>
    </row>
    <row r="569" customFormat="false" ht="15" hidden="false" customHeight="false" outlineLevel="0" collapsed="false">
      <c r="A569" s="5" t="s">
        <v>821</v>
      </c>
      <c r="B569" s="5" t="s">
        <v>194</v>
      </c>
      <c r="C569" s="5" t="s">
        <v>57</v>
      </c>
      <c r="D569" s="5" t="s">
        <v>66</v>
      </c>
      <c r="E569" s="5" t="s">
        <v>70</v>
      </c>
      <c r="F569" s="26" t="n">
        <v>90.56</v>
      </c>
      <c r="G569" s="26" t="n">
        <v>89.47</v>
      </c>
      <c r="H569" s="30" t="n">
        <v>2.138</v>
      </c>
      <c r="I569" s="28" t="n">
        <f aca="false">H569*G569/3.6</f>
        <v>53.1352388888889</v>
      </c>
      <c r="J569" s="30" t="n">
        <v>3.82</v>
      </c>
      <c r="K569" s="30" t="n">
        <v>2.762</v>
      </c>
      <c r="L569" s="30" t="n">
        <v>1.187</v>
      </c>
      <c r="M569" s="30" t="n">
        <v>7.82</v>
      </c>
      <c r="N569" s="25" t="n">
        <v>0.0746670155330826</v>
      </c>
      <c r="O569" s="17" t="n">
        <v>0</v>
      </c>
      <c r="P569" s="26" t="n">
        <v>0</v>
      </c>
      <c r="Q569" s="24" t="n">
        <f aca="false">IF(O569=1,1/(1+EXP(-(P569-Inputs!$B$12)/Inputs!$B$13)),0)</f>
        <v>0</v>
      </c>
      <c r="R569" s="24" t="n">
        <f aca="false">N569*O569</f>
        <v>0</v>
      </c>
      <c r="S569" s="12" t="n">
        <f aca="false">N569*Q569</f>
        <v>0</v>
      </c>
      <c r="T569" s="24" t="n">
        <f aca="false">N569^2</f>
        <v>0.0055751632086176</v>
      </c>
    </row>
    <row r="570" customFormat="false" ht="15" hidden="false" customHeight="false" outlineLevel="0" collapsed="false">
      <c r="A570" s="5" t="s">
        <v>822</v>
      </c>
      <c r="B570" s="5" t="s">
        <v>194</v>
      </c>
      <c r="C570" s="5" t="s">
        <v>57</v>
      </c>
      <c r="D570" s="5" t="s">
        <v>66</v>
      </c>
      <c r="E570" s="5" t="s">
        <v>70</v>
      </c>
      <c r="F570" s="26" t="n">
        <v>78.66</v>
      </c>
      <c r="G570" s="26" t="n">
        <v>83.22</v>
      </c>
      <c r="H570" s="30" t="n">
        <v>2.13</v>
      </c>
      <c r="I570" s="28" t="n">
        <f aca="false">H570*G570/3.6</f>
        <v>49.2385</v>
      </c>
      <c r="J570" s="30" t="n">
        <v>3.89</v>
      </c>
      <c r="K570" s="30" t="n">
        <v>1.187</v>
      </c>
      <c r="L570" s="30" t="n">
        <v>2.258</v>
      </c>
      <c r="M570" s="30" t="n">
        <v>5.05</v>
      </c>
      <c r="N570" s="25" t="n">
        <v>0.0689818241969818</v>
      </c>
      <c r="O570" s="17" t="n">
        <v>0</v>
      </c>
      <c r="P570" s="26" t="n">
        <v>0</v>
      </c>
      <c r="Q570" s="24" t="n">
        <f aca="false">IF(O570=1,1/(1+EXP(-(P570-Inputs!$B$12)/Inputs!$B$13)),0)</f>
        <v>0</v>
      </c>
      <c r="R570" s="24" t="n">
        <f aca="false">N570*O570</f>
        <v>0</v>
      </c>
      <c r="S570" s="12" t="n">
        <f aca="false">N570*Q570</f>
        <v>0</v>
      </c>
      <c r="T570" s="24" t="n">
        <f aca="false">N570^2</f>
        <v>0.0047584920695433</v>
      </c>
    </row>
    <row r="571" customFormat="false" ht="15" hidden="false" customHeight="false" outlineLevel="0" collapsed="false">
      <c r="A571" s="5" t="s">
        <v>823</v>
      </c>
      <c r="B571" s="5" t="s">
        <v>194</v>
      </c>
      <c r="C571" s="5" t="s">
        <v>57</v>
      </c>
      <c r="D571" s="5" t="s">
        <v>66</v>
      </c>
      <c r="E571" s="5" t="s">
        <v>70</v>
      </c>
      <c r="F571" s="26" t="n">
        <v>90.17</v>
      </c>
      <c r="G571" s="26" t="n">
        <v>86.6</v>
      </c>
      <c r="H571" s="30" t="n">
        <v>2.623</v>
      </c>
      <c r="I571" s="28" t="n">
        <f aca="false">H571*G571/3.6</f>
        <v>63.0977222222222</v>
      </c>
      <c r="J571" s="30" t="n">
        <v>2.86</v>
      </c>
      <c r="K571" s="30" t="n">
        <v>0.894</v>
      </c>
      <c r="L571" s="30" t="n">
        <v>1.465</v>
      </c>
      <c r="M571" s="30" t="n">
        <v>3.56</v>
      </c>
      <c r="N571" s="25" t="n">
        <v>2.42054487073216</v>
      </c>
      <c r="O571" s="17" t="n">
        <v>0</v>
      </c>
      <c r="P571" s="26" t="n">
        <v>0</v>
      </c>
      <c r="Q571" s="24" t="n">
        <f aca="false">IF(O571=1,1/(1+EXP(-(P571-Inputs!$B$12)/Inputs!$B$13)),0)</f>
        <v>0</v>
      </c>
      <c r="R571" s="24" t="n">
        <f aca="false">N571*O571</f>
        <v>0</v>
      </c>
      <c r="S571" s="12" t="n">
        <f aca="false">N571*Q571</f>
        <v>0</v>
      </c>
      <c r="T571" s="24" t="n">
        <f aca="false">N571^2</f>
        <v>5.85903747122776</v>
      </c>
    </row>
    <row r="572" customFormat="false" ht="15" hidden="false" customHeight="false" outlineLevel="0" collapsed="false">
      <c r="A572" s="5" t="s">
        <v>824</v>
      </c>
      <c r="B572" s="5" t="s">
        <v>194</v>
      </c>
      <c r="C572" s="5" t="s">
        <v>57</v>
      </c>
      <c r="D572" s="5" t="s">
        <v>66</v>
      </c>
      <c r="E572" s="5" t="s">
        <v>70</v>
      </c>
      <c r="F572" s="26" t="n">
        <v>83.67</v>
      </c>
      <c r="G572" s="26" t="n">
        <v>87.45</v>
      </c>
      <c r="H572" s="30" t="n">
        <v>2.239</v>
      </c>
      <c r="I572" s="28" t="n">
        <f aca="false">H572*G572/3.6</f>
        <v>54.3890416666667</v>
      </c>
      <c r="J572" s="30" t="n">
        <v>3.88</v>
      </c>
      <c r="K572" s="30" t="n">
        <v>0.563</v>
      </c>
      <c r="L572" s="30" t="n">
        <v>1.77</v>
      </c>
      <c r="M572" s="30" t="n">
        <v>6.9</v>
      </c>
      <c r="N572" s="25" t="n">
        <v>0.546981824402702</v>
      </c>
      <c r="O572" s="17" t="n">
        <v>0</v>
      </c>
      <c r="P572" s="26" t="n">
        <v>0</v>
      </c>
      <c r="Q572" s="24" t="n">
        <f aca="false">IF(O572=1,1/(1+EXP(-(P572-Inputs!$B$12)/Inputs!$B$13)),0)</f>
        <v>0</v>
      </c>
      <c r="R572" s="24" t="n">
        <f aca="false">N572*O572</f>
        <v>0</v>
      </c>
      <c r="S572" s="12" t="n">
        <f aca="false">N572*Q572</f>
        <v>0</v>
      </c>
      <c r="T572" s="24" t="n">
        <f aca="false">N572^2</f>
        <v>0.299189116226908</v>
      </c>
    </row>
    <row r="573" customFormat="false" ht="15" hidden="false" customHeight="false" outlineLevel="0" collapsed="false">
      <c r="A573" s="5" t="s">
        <v>825</v>
      </c>
      <c r="B573" s="5" t="s">
        <v>194</v>
      </c>
      <c r="C573" s="5" t="s">
        <v>57</v>
      </c>
      <c r="D573" s="5" t="s">
        <v>66</v>
      </c>
      <c r="E573" s="5" t="s">
        <v>70</v>
      </c>
      <c r="F573" s="26" t="n">
        <v>80.01</v>
      </c>
      <c r="G573" s="26" t="n">
        <v>82.38</v>
      </c>
      <c r="H573" s="30" t="n">
        <v>2.561</v>
      </c>
      <c r="I573" s="28" t="n">
        <f aca="false">H573*G573/3.6</f>
        <v>58.6042166666667</v>
      </c>
      <c r="J573" s="30" t="n">
        <v>5.39</v>
      </c>
      <c r="K573" s="30" t="n">
        <v>0.579</v>
      </c>
      <c r="L573" s="30" t="n">
        <v>1.578</v>
      </c>
      <c r="M573" s="30" t="n">
        <v>4.33</v>
      </c>
      <c r="N573" s="25" t="n">
        <v>2.57384270844912</v>
      </c>
      <c r="O573" s="17" t="n">
        <v>0</v>
      </c>
      <c r="P573" s="26" t="n">
        <v>0</v>
      </c>
      <c r="Q573" s="24" t="n">
        <f aca="false">IF(O573=1,1/(1+EXP(-(P573-Inputs!$B$12)/Inputs!$B$13)),0)</f>
        <v>0</v>
      </c>
      <c r="R573" s="24" t="n">
        <f aca="false">N573*O573</f>
        <v>0</v>
      </c>
      <c r="S573" s="12" t="n">
        <f aca="false">N573*Q573</f>
        <v>0</v>
      </c>
      <c r="T573" s="24" t="n">
        <f aca="false">N573^2</f>
        <v>6.62466628783668</v>
      </c>
    </row>
    <row r="574" customFormat="false" ht="15" hidden="false" customHeight="false" outlineLevel="0" collapsed="false">
      <c r="A574" s="5" t="s">
        <v>826</v>
      </c>
      <c r="B574" s="5" t="s">
        <v>194</v>
      </c>
      <c r="C574" s="5" t="s">
        <v>57</v>
      </c>
      <c r="D574" s="5" t="s">
        <v>66</v>
      </c>
      <c r="E574" s="5" t="s">
        <v>70</v>
      </c>
      <c r="F574" s="26" t="n">
        <v>91.08</v>
      </c>
      <c r="G574" s="26" t="n">
        <v>87.95</v>
      </c>
      <c r="H574" s="30" t="n">
        <v>2.371</v>
      </c>
      <c r="I574" s="28" t="n">
        <f aca="false">H574*G574/3.6</f>
        <v>57.9248472222222</v>
      </c>
      <c r="J574" s="30" t="n">
        <v>3.27</v>
      </c>
      <c r="K574" s="30" t="n">
        <v>2.016</v>
      </c>
      <c r="L574" s="30" t="n">
        <v>1.574</v>
      </c>
      <c r="M574" s="30" t="n">
        <v>6.1</v>
      </c>
      <c r="N574" s="25" t="n">
        <v>0.0993152809402522</v>
      </c>
      <c r="O574" s="17" t="n">
        <v>0</v>
      </c>
      <c r="P574" s="26" t="n">
        <v>0</v>
      </c>
      <c r="Q574" s="24" t="n">
        <f aca="false">IF(O574=1,1/(1+EXP(-(P574-Inputs!$B$12)/Inputs!$B$13)),0)</f>
        <v>0</v>
      </c>
      <c r="R574" s="24" t="n">
        <f aca="false">N574*O574</f>
        <v>0</v>
      </c>
      <c r="S574" s="12" t="n">
        <f aca="false">N574*Q574</f>
        <v>0</v>
      </c>
      <c r="T574" s="24" t="n">
        <f aca="false">N574^2</f>
        <v>0.00986352502824122</v>
      </c>
    </row>
    <row r="575" customFormat="false" ht="15" hidden="false" customHeight="false" outlineLevel="0" collapsed="false">
      <c r="A575" s="5" t="s">
        <v>827</v>
      </c>
      <c r="B575" s="5" t="s">
        <v>194</v>
      </c>
      <c r="C575" s="5" t="s">
        <v>57</v>
      </c>
      <c r="D575" s="5" t="s">
        <v>66</v>
      </c>
      <c r="E575" s="5" t="s">
        <v>70</v>
      </c>
      <c r="F575" s="26" t="n">
        <v>94.84</v>
      </c>
      <c r="G575" s="26" t="n">
        <v>93.67</v>
      </c>
      <c r="H575" s="30" t="n">
        <v>2.241</v>
      </c>
      <c r="I575" s="28" t="n">
        <f aca="false">H575*G575/3.6</f>
        <v>58.309575</v>
      </c>
      <c r="J575" s="30" t="n">
        <v>4.96</v>
      </c>
      <c r="K575" s="30" t="n">
        <v>1.643</v>
      </c>
      <c r="L575" s="30" t="n">
        <v>3.371</v>
      </c>
      <c r="M575" s="30" t="n">
        <v>5.35</v>
      </c>
      <c r="N575" s="25" t="n">
        <v>0.00269555105804736</v>
      </c>
      <c r="O575" s="17" t="n">
        <v>0</v>
      </c>
      <c r="P575" s="26" t="n">
        <v>0</v>
      </c>
      <c r="Q575" s="24" t="n">
        <f aca="false">IF(O575=1,1/(1+EXP(-(P575-Inputs!$B$12)/Inputs!$B$13)),0)</f>
        <v>0</v>
      </c>
      <c r="R575" s="24" t="n">
        <f aca="false">N575*O575</f>
        <v>0</v>
      </c>
      <c r="S575" s="12" t="n">
        <f aca="false">N575*Q575</f>
        <v>0</v>
      </c>
      <c r="T575" s="24" t="n">
        <f aca="false">N575^2</f>
        <v>7.26599550654024E-006</v>
      </c>
    </row>
    <row r="576" customFormat="false" ht="15" hidden="false" customHeight="false" outlineLevel="0" collapsed="false">
      <c r="A576" s="5" t="s">
        <v>828</v>
      </c>
      <c r="B576" s="5" t="s">
        <v>195</v>
      </c>
      <c r="C576" s="5" t="s">
        <v>57</v>
      </c>
      <c r="D576" s="5" t="s">
        <v>66</v>
      </c>
      <c r="E576" s="5" t="s">
        <v>71</v>
      </c>
      <c r="F576" s="26" t="n">
        <v>92.97</v>
      </c>
      <c r="G576" s="26" t="n">
        <v>92.06</v>
      </c>
      <c r="H576" s="30" t="n">
        <v>1.663</v>
      </c>
      <c r="I576" s="28" t="n">
        <f aca="false">H576*G576/3.6</f>
        <v>42.5266055555556</v>
      </c>
      <c r="J576" s="30" t="n">
        <v>3.91</v>
      </c>
      <c r="K576" s="30" t="n">
        <v>0.957</v>
      </c>
      <c r="L576" s="30" t="n">
        <v>2.095</v>
      </c>
      <c r="M576" s="30" t="n">
        <v>6.64</v>
      </c>
      <c r="N576" s="25" t="n">
        <v>0.0910208529403239</v>
      </c>
      <c r="O576" s="17" t="n">
        <v>0</v>
      </c>
      <c r="P576" s="26" t="n">
        <v>0</v>
      </c>
      <c r="Q576" s="24" t="n">
        <f aca="false">IF(O576=1,1/(1+EXP(-(P576-Inputs!$B$12)/Inputs!$B$13)),0)</f>
        <v>0</v>
      </c>
      <c r="R576" s="24" t="n">
        <f aca="false">N576*O576</f>
        <v>0</v>
      </c>
      <c r="S576" s="12" t="n">
        <f aca="false">N576*Q576</f>
        <v>0</v>
      </c>
      <c r="T576" s="24" t="n">
        <f aca="false">N576^2</f>
        <v>0.00828479566998408</v>
      </c>
    </row>
    <row r="577" customFormat="false" ht="15" hidden="false" customHeight="false" outlineLevel="0" collapsed="false">
      <c r="A577" s="5" t="s">
        <v>829</v>
      </c>
      <c r="B577" s="5" t="s">
        <v>195</v>
      </c>
      <c r="C577" s="5" t="s">
        <v>57</v>
      </c>
      <c r="D577" s="5" t="s">
        <v>66</v>
      </c>
      <c r="E577" s="5" t="s">
        <v>71</v>
      </c>
      <c r="F577" s="26" t="n">
        <v>83.84</v>
      </c>
      <c r="G577" s="26" t="n">
        <v>82.12</v>
      </c>
      <c r="H577" s="30" t="n">
        <v>1.697</v>
      </c>
      <c r="I577" s="28" t="n">
        <f aca="false">H577*G577/3.6</f>
        <v>38.7104555555556</v>
      </c>
      <c r="J577" s="30" t="n">
        <v>5.45</v>
      </c>
      <c r="K577" s="30" t="n">
        <v>1.096</v>
      </c>
      <c r="L577" s="30" t="n">
        <v>0.935</v>
      </c>
      <c r="M577" s="30" t="n">
        <v>7.13</v>
      </c>
      <c r="N577" s="25" t="n">
        <v>1.38307648502622</v>
      </c>
      <c r="O577" s="17" t="n">
        <v>0</v>
      </c>
      <c r="P577" s="26" t="n">
        <v>0</v>
      </c>
      <c r="Q577" s="24" t="n">
        <f aca="false">IF(O577=1,1/(1+EXP(-(P577-Inputs!$B$12)/Inputs!$B$13)),0)</f>
        <v>0</v>
      </c>
      <c r="R577" s="24" t="n">
        <f aca="false">N577*O577</f>
        <v>0</v>
      </c>
      <c r="S577" s="12" t="n">
        <f aca="false">N577*Q577</f>
        <v>0</v>
      </c>
      <c r="T577" s="24" t="n">
        <f aca="false">N577^2</f>
        <v>1.91290056343247</v>
      </c>
    </row>
    <row r="578" customFormat="false" ht="15" hidden="false" customHeight="false" outlineLevel="0" collapsed="false">
      <c r="A578" s="5" t="s">
        <v>830</v>
      </c>
      <c r="B578" s="5" t="s">
        <v>195</v>
      </c>
      <c r="C578" s="5" t="s">
        <v>57</v>
      </c>
      <c r="D578" s="5" t="s">
        <v>66</v>
      </c>
      <c r="E578" s="5" t="s">
        <v>71</v>
      </c>
      <c r="F578" s="26" t="n">
        <v>92.45</v>
      </c>
      <c r="G578" s="26" t="n">
        <v>91.58</v>
      </c>
      <c r="H578" s="30" t="n">
        <v>1.754</v>
      </c>
      <c r="I578" s="28" t="n">
        <f aca="false">H578*G578/3.6</f>
        <v>44.6198111111111</v>
      </c>
      <c r="J578" s="30" t="n">
        <v>4.61</v>
      </c>
      <c r="K578" s="30" t="n">
        <v>3.113</v>
      </c>
      <c r="L578" s="30" t="n">
        <v>1.513</v>
      </c>
      <c r="M578" s="30" t="n">
        <v>6.87</v>
      </c>
      <c r="N578" s="25" t="n">
        <v>0.0447471294958716</v>
      </c>
      <c r="O578" s="17" t="n">
        <v>0</v>
      </c>
      <c r="P578" s="26" t="n">
        <v>0</v>
      </c>
      <c r="Q578" s="24" t="n">
        <f aca="false">IF(O578=1,1/(1+EXP(-(P578-Inputs!$B$12)/Inputs!$B$13)),0)</f>
        <v>0</v>
      </c>
      <c r="R578" s="24" t="n">
        <f aca="false">N578*O578</f>
        <v>0</v>
      </c>
      <c r="S578" s="12" t="n">
        <f aca="false">N578*Q578</f>
        <v>0</v>
      </c>
      <c r="T578" s="24" t="n">
        <f aca="false">N578^2</f>
        <v>0.00200230559812031</v>
      </c>
    </row>
    <row r="579" customFormat="false" ht="15" hidden="false" customHeight="false" outlineLevel="0" collapsed="false">
      <c r="A579" s="5" t="s">
        <v>831</v>
      </c>
      <c r="B579" s="5" t="s">
        <v>195</v>
      </c>
      <c r="C579" s="5" t="s">
        <v>57</v>
      </c>
      <c r="D579" s="5" t="s">
        <v>66</v>
      </c>
      <c r="E579" s="5" t="s">
        <v>71</v>
      </c>
      <c r="F579" s="26" t="n">
        <v>78.52</v>
      </c>
      <c r="G579" s="26" t="n">
        <v>77.24</v>
      </c>
      <c r="H579" s="30" t="n">
        <v>1.734</v>
      </c>
      <c r="I579" s="28" t="n">
        <f aca="false">H579*G579/3.6</f>
        <v>37.2039333333333</v>
      </c>
      <c r="J579" s="30" t="n">
        <v>4.7</v>
      </c>
      <c r="K579" s="30" t="n">
        <v>2.529</v>
      </c>
      <c r="L579" s="30" t="n">
        <v>1.663</v>
      </c>
      <c r="M579" s="30" t="n">
        <v>5.58</v>
      </c>
      <c r="N579" s="25" t="n">
        <v>0.0729477733781508</v>
      </c>
      <c r="O579" s="17" t="n">
        <v>0</v>
      </c>
      <c r="P579" s="26" t="n">
        <v>0</v>
      </c>
      <c r="Q579" s="24" t="n">
        <f aca="false">IF(O579=1,1/(1+EXP(-(P579-Inputs!$B$12)/Inputs!$B$13)),0)</f>
        <v>0</v>
      </c>
      <c r="R579" s="24" t="n">
        <f aca="false">N579*O579</f>
        <v>0</v>
      </c>
      <c r="S579" s="12" t="n">
        <f aca="false">N579*Q579</f>
        <v>0</v>
      </c>
      <c r="T579" s="24" t="n">
        <f aca="false">N579^2</f>
        <v>0.00532137764083004</v>
      </c>
    </row>
    <row r="580" customFormat="false" ht="15" hidden="false" customHeight="false" outlineLevel="0" collapsed="false">
      <c r="A580" s="5" t="s">
        <v>832</v>
      </c>
      <c r="B580" s="5" t="s">
        <v>195</v>
      </c>
      <c r="C580" s="5" t="s">
        <v>57</v>
      </c>
      <c r="D580" s="5" t="s">
        <v>66</v>
      </c>
      <c r="E580" s="5" t="s">
        <v>71</v>
      </c>
      <c r="F580" s="26" t="n">
        <v>85.71</v>
      </c>
      <c r="G580" s="26" t="n">
        <v>85.12</v>
      </c>
      <c r="H580" s="30" t="n">
        <v>1.583</v>
      </c>
      <c r="I580" s="28" t="n">
        <f aca="false">H580*G580/3.6</f>
        <v>37.4291555555556</v>
      </c>
      <c r="J580" s="30" t="n">
        <v>2.65</v>
      </c>
      <c r="K580" s="30" t="n">
        <v>1.893</v>
      </c>
      <c r="L580" s="30" t="n">
        <v>2.061</v>
      </c>
      <c r="M580" s="30" t="n">
        <v>5.3</v>
      </c>
      <c r="N580" s="25" t="n">
        <v>0.0405306545751578</v>
      </c>
      <c r="O580" s="17" t="n">
        <v>0</v>
      </c>
      <c r="P580" s="26" t="n">
        <v>0</v>
      </c>
      <c r="Q580" s="24" t="n">
        <f aca="false">IF(O580=1,1/(1+EXP(-(P580-Inputs!$B$12)/Inputs!$B$13)),0)</f>
        <v>0</v>
      </c>
      <c r="R580" s="24" t="n">
        <f aca="false">N580*O580</f>
        <v>0</v>
      </c>
      <c r="S580" s="12" t="n">
        <f aca="false">N580*Q580</f>
        <v>0</v>
      </c>
      <c r="T580" s="24" t="n">
        <f aca="false">N580^2</f>
        <v>0.00164273396029076</v>
      </c>
    </row>
    <row r="581" customFormat="false" ht="15" hidden="false" customHeight="false" outlineLevel="0" collapsed="false">
      <c r="A581" s="5" t="s">
        <v>833</v>
      </c>
      <c r="B581" s="5" t="s">
        <v>195</v>
      </c>
      <c r="C581" s="5" t="s">
        <v>57</v>
      </c>
      <c r="D581" s="5" t="s">
        <v>66</v>
      </c>
      <c r="E581" s="5" t="s">
        <v>71</v>
      </c>
      <c r="F581" s="26" t="n">
        <v>79.99</v>
      </c>
      <c r="G581" s="26" t="n">
        <v>81.23</v>
      </c>
      <c r="H581" s="30" t="n">
        <v>1.784</v>
      </c>
      <c r="I581" s="28" t="n">
        <f aca="false">H581*G581/3.6</f>
        <v>40.2539777777778</v>
      </c>
      <c r="J581" s="30" t="n">
        <v>5.41</v>
      </c>
      <c r="K581" s="30" t="n">
        <v>0.569</v>
      </c>
      <c r="L581" s="30" t="n">
        <v>1.202</v>
      </c>
      <c r="M581" s="30" t="n">
        <v>7.69</v>
      </c>
      <c r="N581" s="25" t="n">
        <v>2.66004591920972</v>
      </c>
      <c r="O581" s="17" t="n">
        <v>0</v>
      </c>
      <c r="P581" s="26" t="n">
        <v>0</v>
      </c>
      <c r="Q581" s="24" t="n">
        <f aca="false">IF(O581=1,1/(1+EXP(-(P581-Inputs!$B$12)/Inputs!$B$13)),0)</f>
        <v>0</v>
      </c>
      <c r="R581" s="24" t="n">
        <f aca="false">N581*O581</f>
        <v>0</v>
      </c>
      <c r="S581" s="12" t="n">
        <f aca="false">N581*Q581</f>
        <v>0</v>
      </c>
      <c r="T581" s="24" t="n">
        <f aca="false">N581^2</f>
        <v>7.07584429230426</v>
      </c>
    </row>
    <row r="582" customFormat="false" ht="15" hidden="false" customHeight="false" outlineLevel="0" collapsed="false">
      <c r="A582" s="5" t="s">
        <v>834</v>
      </c>
      <c r="B582" s="5" t="s">
        <v>195</v>
      </c>
      <c r="C582" s="5" t="s">
        <v>57</v>
      </c>
      <c r="D582" s="5" t="s">
        <v>66</v>
      </c>
      <c r="E582" s="5" t="s">
        <v>71</v>
      </c>
      <c r="F582" s="26" t="n">
        <v>89.08</v>
      </c>
      <c r="G582" s="26" t="n">
        <v>89.23</v>
      </c>
      <c r="H582" s="30" t="n">
        <v>1.863</v>
      </c>
      <c r="I582" s="28" t="n">
        <f aca="false">H582*G582/3.6</f>
        <v>46.176525</v>
      </c>
      <c r="J582" s="30" t="n">
        <v>3.26</v>
      </c>
      <c r="K582" s="30" t="n">
        <v>2.114</v>
      </c>
      <c r="L582" s="30" t="n">
        <v>1.09</v>
      </c>
      <c r="M582" s="30" t="n">
        <v>7.67</v>
      </c>
      <c r="N582" s="25" t="n">
        <v>0.350775185994493</v>
      </c>
      <c r="O582" s="17" t="n">
        <v>0</v>
      </c>
      <c r="P582" s="26" t="n">
        <v>0</v>
      </c>
      <c r="Q582" s="24" t="n">
        <f aca="false">IF(O582=1,1/(1+EXP(-(P582-Inputs!$B$12)/Inputs!$B$13)),0)</f>
        <v>0</v>
      </c>
      <c r="R582" s="24" t="n">
        <f aca="false">N582*O582</f>
        <v>0</v>
      </c>
      <c r="S582" s="12" t="n">
        <f aca="false">N582*Q582</f>
        <v>0</v>
      </c>
      <c r="T582" s="24" t="n">
        <f aca="false">N582^2</f>
        <v>0.123043231109471</v>
      </c>
    </row>
    <row r="583" customFormat="false" ht="15" hidden="false" customHeight="false" outlineLevel="0" collapsed="false">
      <c r="A583" s="5" t="s">
        <v>835</v>
      </c>
      <c r="B583" s="5" t="s">
        <v>195</v>
      </c>
      <c r="C583" s="5" t="s">
        <v>57</v>
      </c>
      <c r="D583" s="5" t="s">
        <v>66</v>
      </c>
      <c r="E583" s="5" t="s">
        <v>71</v>
      </c>
      <c r="F583" s="26" t="n">
        <v>79.59</v>
      </c>
      <c r="G583" s="26" t="n">
        <v>78.54</v>
      </c>
      <c r="H583" s="30" t="n">
        <v>1.617</v>
      </c>
      <c r="I583" s="28" t="n">
        <f aca="false">H583*G583/3.6</f>
        <v>35.27755</v>
      </c>
      <c r="J583" s="30" t="n">
        <v>5.03</v>
      </c>
      <c r="K583" s="30" t="n">
        <v>2.471</v>
      </c>
      <c r="L583" s="30" t="n">
        <v>1.367</v>
      </c>
      <c r="M583" s="30" t="n">
        <v>3.78</v>
      </c>
      <c r="N583" s="25" t="n">
        <v>0.253308302808643</v>
      </c>
      <c r="O583" s="17" t="n">
        <v>0</v>
      </c>
      <c r="P583" s="26" t="n">
        <v>0</v>
      </c>
      <c r="Q583" s="24" t="n">
        <f aca="false">IF(O583=1,1/(1+EXP(-(P583-Inputs!$B$12)/Inputs!$B$13)),0)</f>
        <v>0</v>
      </c>
      <c r="R583" s="24" t="n">
        <f aca="false">N583*O583</f>
        <v>0</v>
      </c>
      <c r="S583" s="12" t="n">
        <f aca="false">N583*Q583</f>
        <v>0</v>
      </c>
      <c r="T583" s="24" t="n">
        <f aca="false">N583^2</f>
        <v>0.0641650962717952</v>
      </c>
    </row>
    <row r="584" customFormat="false" ht="15" hidden="false" customHeight="false" outlineLevel="0" collapsed="false">
      <c r="A584" s="5" t="s">
        <v>836</v>
      </c>
      <c r="B584" s="5" t="s">
        <v>195</v>
      </c>
      <c r="C584" s="5" t="s">
        <v>57</v>
      </c>
      <c r="D584" s="5" t="s">
        <v>66</v>
      </c>
      <c r="E584" s="5" t="s">
        <v>71</v>
      </c>
      <c r="F584" s="26" t="n">
        <v>76.86</v>
      </c>
      <c r="G584" s="26" t="n">
        <v>77.04</v>
      </c>
      <c r="H584" s="30" t="n">
        <v>1.556</v>
      </c>
      <c r="I584" s="28" t="n">
        <f aca="false">H584*G584/3.6</f>
        <v>33.2984</v>
      </c>
      <c r="J584" s="30" t="n">
        <v>5.3</v>
      </c>
      <c r="K584" s="30" t="n">
        <v>1.729</v>
      </c>
      <c r="L584" s="30" t="n">
        <v>1.069</v>
      </c>
      <c r="M584" s="30" t="n">
        <v>7.86</v>
      </c>
      <c r="N584" s="25" t="n">
        <v>0.264542246582649</v>
      </c>
      <c r="O584" s="17" t="n">
        <v>0</v>
      </c>
      <c r="P584" s="26" t="n">
        <v>0</v>
      </c>
      <c r="Q584" s="24" t="n">
        <f aca="false">IF(O584=1,1/(1+EXP(-(P584-Inputs!$B$12)/Inputs!$B$13)),0)</f>
        <v>0</v>
      </c>
      <c r="R584" s="24" t="n">
        <f aca="false">N584*O584</f>
        <v>0</v>
      </c>
      <c r="S584" s="12" t="n">
        <f aca="false">N584*Q584</f>
        <v>0</v>
      </c>
      <c r="T584" s="24" t="n">
        <f aca="false">N584^2</f>
        <v>0.0699826002269949</v>
      </c>
    </row>
    <row r="585" customFormat="false" ht="15" hidden="false" customHeight="false" outlineLevel="0" collapsed="false">
      <c r="A585" s="5" t="s">
        <v>837</v>
      </c>
      <c r="B585" s="5" t="s">
        <v>195</v>
      </c>
      <c r="C585" s="5" t="s">
        <v>57</v>
      </c>
      <c r="D585" s="5" t="s">
        <v>66</v>
      </c>
      <c r="E585" s="5" t="s">
        <v>71</v>
      </c>
      <c r="F585" s="26" t="n">
        <v>85.57</v>
      </c>
      <c r="G585" s="26" t="n">
        <v>86.17</v>
      </c>
      <c r="H585" s="30" t="n">
        <v>1.525</v>
      </c>
      <c r="I585" s="28" t="n">
        <f aca="false">H585*G585/3.6</f>
        <v>36.5025694444444</v>
      </c>
      <c r="J585" s="30" t="n">
        <v>2.56</v>
      </c>
      <c r="K585" s="30" t="n">
        <v>0.385</v>
      </c>
      <c r="L585" s="30" t="n">
        <v>2.218</v>
      </c>
      <c r="M585" s="30" t="n">
        <v>4.51</v>
      </c>
      <c r="N585" s="25" t="n">
        <v>0.952703692824012</v>
      </c>
      <c r="O585" s="17" t="n">
        <v>0</v>
      </c>
      <c r="P585" s="26" t="n">
        <v>0</v>
      </c>
      <c r="Q585" s="24" t="n">
        <f aca="false">IF(O585=1,1/(1+EXP(-(P585-Inputs!$B$12)/Inputs!$B$13)),0)</f>
        <v>0</v>
      </c>
      <c r="R585" s="24" t="n">
        <f aca="false">N585*O585</f>
        <v>0</v>
      </c>
      <c r="S585" s="12" t="n">
        <f aca="false">N585*Q585</f>
        <v>0</v>
      </c>
      <c r="T585" s="24" t="n">
        <f aca="false">N585^2</f>
        <v>0.907644326320508</v>
      </c>
    </row>
    <row r="586" customFormat="false" ht="15" hidden="false" customHeight="false" outlineLevel="0" collapsed="false">
      <c r="A586" s="5" t="s">
        <v>838</v>
      </c>
      <c r="B586" s="5" t="s">
        <v>196</v>
      </c>
      <c r="C586" s="5" t="s">
        <v>57</v>
      </c>
      <c r="D586" s="5" t="s">
        <v>66</v>
      </c>
      <c r="E586" s="5" t="s">
        <v>72</v>
      </c>
      <c r="F586" s="26" t="n">
        <v>85.12</v>
      </c>
      <c r="G586" s="26" t="n">
        <v>84.41</v>
      </c>
      <c r="H586" s="30" t="n">
        <v>1.058</v>
      </c>
      <c r="I586" s="28" t="n">
        <f aca="false">H586*G586/3.6</f>
        <v>24.8071611111111</v>
      </c>
      <c r="J586" s="30" t="n">
        <v>2.95</v>
      </c>
      <c r="K586" s="30" t="n">
        <v>3.438</v>
      </c>
      <c r="L586" s="30" t="n">
        <v>2.333</v>
      </c>
      <c r="M586" s="30" t="n">
        <v>4.42</v>
      </c>
      <c r="N586" s="25" t="n">
        <v>0.00954975752725986</v>
      </c>
      <c r="O586" s="17" t="n">
        <v>0</v>
      </c>
      <c r="P586" s="26" t="n">
        <v>0</v>
      </c>
      <c r="Q586" s="24" t="n">
        <f aca="false">IF(O586=1,1/(1+EXP(-(P586-Inputs!$B$12)/Inputs!$B$13)),0)</f>
        <v>0</v>
      </c>
      <c r="R586" s="24" t="n">
        <f aca="false">N586*O586</f>
        <v>0</v>
      </c>
      <c r="S586" s="12" t="n">
        <f aca="false">N586*Q586</f>
        <v>0</v>
      </c>
      <c r="T586" s="24" t="n">
        <f aca="false">N586^2</f>
        <v>9.11978688294564E-005</v>
      </c>
    </row>
    <row r="587" customFormat="false" ht="15" hidden="false" customHeight="false" outlineLevel="0" collapsed="false">
      <c r="A587" s="5" t="s">
        <v>839</v>
      </c>
      <c r="B587" s="5" t="s">
        <v>196</v>
      </c>
      <c r="C587" s="5" t="s">
        <v>57</v>
      </c>
      <c r="D587" s="5" t="s">
        <v>66</v>
      </c>
      <c r="E587" s="5" t="s">
        <v>72</v>
      </c>
      <c r="F587" s="26" t="n">
        <v>76.5</v>
      </c>
      <c r="G587" s="26" t="n">
        <v>75.29</v>
      </c>
      <c r="H587" s="30" t="n">
        <v>1.066</v>
      </c>
      <c r="I587" s="28" t="n">
        <f aca="false">H587*G587/3.6</f>
        <v>22.2942055555556</v>
      </c>
      <c r="J587" s="30" t="n">
        <v>2.94</v>
      </c>
      <c r="K587" s="30" t="n">
        <v>1.382</v>
      </c>
      <c r="L587" s="30" t="n">
        <v>1.59</v>
      </c>
      <c r="M587" s="30" t="n">
        <v>4.54</v>
      </c>
      <c r="N587" s="25" t="n">
        <v>0.322576696886154</v>
      </c>
      <c r="O587" s="17" t="n">
        <v>0</v>
      </c>
      <c r="P587" s="26" t="n">
        <v>0</v>
      </c>
      <c r="Q587" s="24" t="n">
        <f aca="false">IF(O587=1,1/(1+EXP(-(P587-Inputs!$B$12)/Inputs!$B$13)),0)</f>
        <v>0</v>
      </c>
      <c r="R587" s="24" t="n">
        <f aca="false">N587*O587</f>
        <v>0</v>
      </c>
      <c r="S587" s="12" t="n">
        <f aca="false">N587*Q587</f>
        <v>0</v>
      </c>
      <c r="T587" s="24" t="n">
        <f aca="false">N587^2</f>
        <v>0.104055725373982</v>
      </c>
    </row>
    <row r="588" customFormat="false" ht="15" hidden="false" customHeight="false" outlineLevel="0" collapsed="false">
      <c r="A588" s="5" t="s">
        <v>840</v>
      </c>
      <c r="B588" s="5" t="s">
        <v>196</v>
      </c>
      <c r="C588" s="5" t="s">
        <v>57</v>
      </c>
      <c r="D588" s="5" t="s">
        <v>66</v>
      </c>
      <c r="E588" s="5" t="s">
        <v>72</v>
      </c>
      <c r="F588" s="26" t="n">
        <v>82.69</v>
      </c>
      <c r="G588" s="26" t="n">
        <v>85.12</v>
      </c>
      <c r="H588" s="30" t="n">
        <v>1.129</v>
      </c>
      <c r="I588" s="28" t="n">
        <f aca="false">H588*G588/3.6</f>
        <v>26.6945777777778</v>
      </c>
      <c r="J588" s="30" t="n">
        <v>5.79</v>
      </c>
      <c r="K588" s="30" t="n">
        <v>1.198</v>
      </c>
      <c r="L588" s="30" t="n">
        <v>1.218</v>
      </c>
      <c r="M588" s="30" t="n">
        <v>4.73</v>
      </c>
      <c r="N588" s="25" t="n">
        <v>0.96014306801882</v>
      </c>
      <c r="O588" s="17" t="n">
        <v>0</v>
      </c>
      <c r="P588" s="26" t="n">
        <v>0</v>
      </c>
      <c r="Q588" s="24" t="n">
        <f aca="false">IF(O588=1,1/(1+EXP(-(P588-Inputs!$B$12)/Inputs!$B$13)),0)</f>
        <v>0</v>
      </c>
      <c r="R588" s="24" t="n">
        <f aca="false">N588*O588</f>
        <v>0</v>
      </c>
      <c r="S588" s="12" t="n">
        <f aca="false">N588*Q588</f>
        <v>0</v>
      </c>
      <c r="T588" s="24" t="n">
        <f aca="false">N588^2</f>
        <v>0.921874711064592</v>
      </c>
    </row>
    <row r="589" customFormat="false" ht="15" hidden="false" customHeight="false" outlineLevel="0" collapsed="false">
      <c r="A589" s="5" t="s">
        <v>841</v>
      </c>
      <c r="B589" s="5" t="s">
        <v>196</v>
      </c>
      <c r="C589" s="5" t="s">
        <v>57</v>
      </c>
      <c r="D589" s="5" t="s">
        <v>66</v>
      </c>
      <c r="E589" s="5" t="s">
        <v>72</v>
      </c>
      <c r="F589" s="26" t="n">
        <v>79.64</v>
      </c>
      <c r="G589" s="26" t="n">
        <v>78.17</v>
      </c>
      <c r="H589" s="30" t="n">
        <v>1.056</v>
      </c>
      <c r="I589" s="28" t="n">
        <f aca="false">H589*G589/3.6</f>
        <v>22.9298666666667</v>
      </c>
      <c r="J589" s="30" t="n">
        <v>3.76</v>
      </c>
      <c r="K589" s="30" t="n">
        <v>1.167</v>
      </c>
      <c r="L589" s="30" t="n">
        <v>1.539</v>
      </c>
      <c r="M589" s="30" t="n">
        <v>7.14</v>
      </c>
      <c r="N589" s="25" t="n">
        <v>0.231134987552452</v>
      </c>
      <c r="O589" s="17" t="n">
        <v>0</v>
      </c>
      <c r="P589" s="26" t="n">
        <v>0</v>
      </c>
      <c r="Q589" s="24" t="n">
        <f aca="false">IF(O589=1,1/(1+EXP(-(P589-Inputs!$B$12)/Inputs!$B$13)),0)</f>
        <v>0</v>
      </c>
      <c r="R589" s="24" t="n">
        <f aca="false">N589*O589</f>
        <v>0</v>
      </c>
      <c r="S589" s="12" t="n">
        <f aca="false">N589*Q589</f>
        <v>0</v>
      </c>
      <c r="T589" s="24" t="n">
        <f aca="false">N589^2</f>
        <v>0.053423382470872</v>
      </c>
    </row>
    <row r="590" customFormat="false" ht="15" hidden="false" customHeight="false" outlineLevel="0" collapsed="false">
      <c r="A590" s="5" t="s">
        <v>842</v>
      </c>
      <c r="B590" s="5" t="s">
        <v>196</v>
      </c>
      <c r="C590" s="5" t="s">
        <v>57</v>
      </c>
      <c r="D590" s="5" t="s">
        <v>66</v>
      </c>
      <c r="E590" s="5" t="s">
        <v>72</v>
      </c>
      <c r="F590" s="26" t="n">
        <v>83.11</v>
      </c>
      <c r="G590" s="26" t="n">
        <v>78.4</v>
      </c>
      <c r="H590" s="30" t="n">
        <v>1.199</v>
      </c>
      <c r="I590" s="28" t="n">
        <f aca="false">H590*G590/3.6</f>
        <v>26.1115555555556</v>
      </c>
      <c r="J590" s="30" t="n">
        <v>4.04</v>
      </c>
      <c r="K590" s="30" t="n">
        <v>0.259</v>
      </c>
      <c r="L590" s="30" t="n">
        <v>1.514</v>
      </c>
      <c r="M590" s="30" t="n">
        <v>4.88</v>
      </c>
      <c r="N590" s="25" t="n">
        <v>9.40363424434481</v>
      </c>
      <c r="O590" s="17" t="n">
        <v>0</v>
      </c>
      <c r="P590" s="26" t="n">
        <v>0</v>
      </c>
      <c r="Q590" s="24" t="n">
        <f aca="false">IF(O590=1,1/(1+EXP(-(P590-Inputs!$B$12)/Inputs!$B$13)),0)</f>
        <v>0</v>
      </c>
      <c r="R590" s="24" t="n">
        <f aca="false">N590*O590</f>
        <v>0</v>
      </c>
      <c r="S590" s="12" t="n">
        <f aca="false">N590*Q590</f>
        <v>0</v>
      </c>
      <c r="T590" s="24" t="n">
        <f aca="false">N590^2</f>
        <v>88.4283370014144</v>
      </c>
    </row>
    <row r="591" customFormat="false" ht="15" hidden="false" customHeight="false" outlineLevel="0" collapsed="false">
      <c r="A591" s="5" t="s">
        <v>843</v>
      </c>
      <c r="B591" s="5" t="s">
        <v>196</v>
      </c>
      <c r="C591" s="5" t="s">
        <v>57</v>
      </c>
      <c r="D591" s="5" t="s">
        <v>66</v>
      </c>
      <c r="E591" s="5" t="s">
        <v>72</v>
      </c>
      <c r="F591" s="26" t="n">
        <v>88.4</v>
      </c>
      <c r="G591" s="26" t="n">
        <v>88.21</v>
      </c>
      <c r="H591" s="30" t="n">
        <v>1.038</v>
      </c>
      <c r="I591" s="28" t="n">
        <f aca="false">H591*G591/3.6</f>
        <v>25.4338833333333</v>
      </c>
      <c r="J591" s="30" t="n">
        <v>5.55</v>
      </c>
      <c r="K591" s="30" t="n">
        <v>1.14</v>
      </c>
      <c r="L591" s="30" t="n">
        <v>1.3</v>
      </c>
      <c r="M591" s="30" t="n">
        <v>6.95</v>
      </c>
      <c r="N591" s="25" t="n">
        <v>0.508664114171611</v>
      </c>
      <c r="O591" s="17" t="n">
        <v>0</v>
      </c>
      <c r="P591" s="26" t="n">
        <v>0</v>
      </c>
      <c r="Q591" s="24" t="n">
        <f aca="false">IF(O591=1,1/(1+EXP(-(P591-Inputs!$B$12)/Inputs!$B$13)),0)</f>
        <v>0</v>
      </c>
      <c r="R591" s="24" t="n">
        <f aca="false">N591*O591</f>
        <v>0</v>
      </c>
      <c r="S591" s="12" t="n">
        <f aca="false">N591*Q591</f>
        <v>0</v>
      </c>
      <c r="T591" s="24" t="n">
        <f aca="false">N591^2</f>
        <v>0.25873918104599</v>
      </c>
    </row>
    <row r="592" customFormat="false" ht="15" hidden="false" customHeight="false" outlineLevel="0" collapsed="false">
      <c r="A592" s="5" t="s">
        <v>844</v>
      </c>
      <c r="B592" s="5" t="s">
        <v>196</v>
      </c>
      <c r="C592" s="5" t="s">
        <v>57</v>
      </c>
      <c r="D592" s="5" t="s">
        <v>66</v>
      </c>
      <c r="E592" s="5" t="s">
        <v>72</v>
      </c>
      <c r="F592" s="26" t="n">
        <v>82.84</v>
      </c>
      <c r="G592" s="26" t="n">
        <v>83.59</v>
      </c>
      <c r="H592" s="30" t="n">
        <v>1.354</v>
      </c>
      <c r="I592" s="28" t="n">
        <f aca="false">H592*G592/3.6</f>
        <v>31.4391277777778</v>
      </c>
      <c r="J592" s="30" t="n">
        <v>3.47</v>
      </c>
      <c r="K592" s="30" t="n">
        <v>1.362</v>
      </c>
      <c r="L592" s="30" t="n">
        <v>0.812</v>
      </c>
      <c r="M592" s="30" t="n">
        <v>7.65</v>
      </c>
      <c r="N592" s="25" t="n">
        <v>1.74526219483168</v>
      </c>
      <c r="O592" s="17" t="n">
        <v>0</v>
      </c>
      <c r="P592" s="26" t="n">
        <v>0</v>
      </c>
      <c r="Q592" s="24" t="n">
        <f aca="false">IF(O592=1,1/(1+EXP(-(P592-Inputs!$B$12)/Inputs!$B$13)),0)</f>
        <v>0</v>
      </c>
      <c r="R592" s="24" t="n">
        <f aca="false">N592*O592</f>
        <v>0</v>
      </c>
      <c r="S592" s="12" t="n">
        <f aca="false">N592*Q592</f>
        <v>0</v>
      </c>
      <c r="T592" s="24" t="n">
        <f aca="false">N592^2</f>
        <v>3.0459401287087</v>
      </c>
    </row>
    <row r="593" customFormat="false" ht="15" hidden="false" customHeight="false" outlineLevel="0" collapsed="false">
      <c r="A593" s="5" t="s">
        <v>845</v>
      </c>
      <c r="B593" s="5" t="s">
        <v>196</v>
      </c>
      <c r="C593" s="5" t="s">
        <v>57</v>
      </c>
      <c r="D593" s="5" t="s">
        <v>66</v>
      </c>
      <c r="E593" s="5" t="s">
        <v>72</v>
      </c>
      <c r="F593" s="26" t="n">
        <v>89.12</v>
      </c>
      <c r="G593" s="26" t="n">
        <v>89.26</v>
      </c>
      <c r="H593" s="30" t="n">
        <v>1.32</v>
      </c>
      <c r="I593" s="28" t="n">
        <f aca="false">H593*G593/3.6</f>
        <v>32.7286666666667</v>
      </c>
      <c r="J593" s="30" t="n">
        <v>4.77</v>
      </c>
      <c r="K593" s="30" t="n">
        <v>2.703</v>
      </c>
      <c r="L593" s="30" t="n">
        <v>0.976</v>
      </c>
      <c r="M593" s="30" t="n">
        <v>5.93</v>
      </c>
      <c r="N593" s="25" t="n">
        <v>0.357398407351588</v>
      </c>
      <c r="O593" s="17" t="n">
        <v>0</v>
      </c>
      <c r="P593" s="26" t="n">
        <v>0</v>
      </c>
      <c r="Q593" s="24" t="n">
        <f aca="false">IF(O593=1,1/(1+EXP(-(P593-Inputs!$B$12)/Inputs!$B$13)),0)</f>
        <v>0</v>
      </c>
      <c r="R593" s="24" t="n">
        <f aca="false">N593*O593</f>
        <v>0</v>
      </c>
      <c r="S593" s="12" t="n">
        <f aca="false">N593*Q593</f>
        <v>0</v>
      </c>
      <c r="T593" s="24" t="n">
        <f aca="false">N593^2</f>
        <v>0.127733621577452</v>
      </c>
    </row>
    <row r="594" customFormat="false" ht="15" hidden="false" customHeight="false" outlineLevel="0" collapsed="false">
      <c r="A594" s="5" t="s">
        <v>846</v>
      </c>
      <c r="B594" s="5" t="s">
        <v>196</v>
      </c>
      <c r="C594" s="5" t="s">
        <v>57</v>
      </c>
      <c r="D594" s="5" t="s">
        <v>66</v>
      </c>
      <c r="E594" s="5" t="s">
        <v>72</v>
      </c>
      <c r="F594" s="26" t="n">
        <v>94.43</v>
      </c>
      <c r="G594" s="26" t="n">
        <v>91.27</v>
      </c>
      <c r="H594" s="30" t="n">
        <v>1.048</v>
      </c>
      <c r="I594" s="28" t="n">
        <f aca="false">H594*G594/3.6</f>
        <v>26.5697111111111</v>
      </c>
      <c r="J594" s="30" t="n">
        <v>4.25</v>
      </c>
      <c r="K594" s="30" t="n">
        <v>1.363</v>
      </c>
      <c r="L594" s="30" t="n">
        <v>2.184</v>
      </c>
      <c r="M594" s="30" t="n">
        <v>7.86</v>
      </c>
      <c r="N594" s="25" t="n">
        <v>0.0177978719216326</v>
      </c>
      <c r="O594" s="17" t="n">
        <v>0</v>
      </c>
      <c r="P594" s="26" t="n">
        <v>0</v>
      </c>
      <c r="Q594" s="24" t="n">
        <f aca="false">IF(O594=1,1/(1+EXP(-(P594-Inputs!$B$12)/Inputs!$B$13)),0)</f>
        <v>0</v>
      </c>
      <c r="R594" s="24" t="n">
        <f aca="false">N594*O594</f>
        <v>0</v>
      </c>
      <c r="S594" s="12" t="n">
        <f aca="false">N594*Q594</f>
        <v>0</v>
      </c>
      <c r="T594" s="24" t="n">
        <f aca="false">N594^2</f>
        <v>0.000316764244938839</v>
      </c>
    </row>
    <row r="595" customFormat="false" ht="15" hidden="false" customHeight="false" outlineLevel="0" collapsed="false">
      <c r="A595" s="5" t="s">
        <v>847</v>
      </c>
      <c r="B595" s="5" t="s">
        <v>196</v>
      </c>
      <c r="C595" s="5" t="s">
        <v>57</v>
      </c>
      <c r="D595" s="5" t="s">
        <v>66</v>
      </c>
      <c r="E595" s="5" t="s">
        <v>72</v>
      </c>
      <c r="F595" s="26" t="n">
        <v>83.31</v>
      </c>
      <c r="G595" s="26" t="n">
        <v>84.66</v>
      </c>
      <c r="H595" s="30" t="n">
        <v>1.071</v>
      </c>
      <c r="I595" s="28" t="n">
        <f aca="false">H595*G595/3.6</f>
        <v>25.18635</v>
      </c>
      <c r="J595" s="30" t="n">
        <v>2.86</v>
      </c>
      <c r="K595" s="30" t="n">
        <v>0.646</v>
      </c>
      <c r="L595" s="30" t="n">
        <v>2.697</v>
      </c>
      <c r="M595" s="30" t="n">
        <v>4.19</v>
      </c>
      <c r="N595" s="25" t="n">
        <v>0.118977256268105</v>
      </c>
      <c r="O595" s="17" t="n">
        <v>0</v>
      </c>
      <c r="P595" s="26" t="n">
        <v>0</v>
      </c>
      <c r="Q595" s="24" t="n">
        <f aca="false">IF(O595=1,1/(1+EXP(-(P595-Inputs!$B$12)/Inputs!$B$13)),0)</f>
        <v>0</v>
      </c>
      <c r="R595" s="24" t="n">
        <f aca="false">N595*O595</f>
        <v>0</v>
      </c>
      <c r="S595" s="12" t="n">
        <f aca="false">N595*Q595</f>
        <v>0</v>
      </c>
      <c r="T595" s="24" t="n">
        <f aca="false">N595^2</f>
        <v>0.0141555875090863</v>
      </c>
    </row>
    <row r="596" customFormat="false" ht="15" hidden="false" customHeight="false" outlineLevel="0" collapsed="false">
      <c r="A596" s="5" t="s">
        <v>848</v>
      </c>
      <c r="B596" s="5" t="s">
        <v>197</v>
      </c>
      <c r="C596" s="5" t="s">
        <v>57</v>
      </c>
      <c r="D596" s="5" t="s">
        <v>66</v>
      </c>
      <c r="E596" s="5" t="s">
        <v>73</v>
      </c>
      <c r="F596" s="26" t="n">
        <v>88.58</v>
      </c>
      <c r="G596" s="26" t="n">
        <v>86.13</v>
      </c>
      <c r="H596" s="30" t="n">
        <v>0.512</v>
      </c>
      <c r="I596" s="28" t="n">
        <f aca="false">H596*G596/3.6</f>
        <v>12.2496</v>
      </c>
      <c r="J596" s="30" t="n">
        <v>5.22</v>
      </c>
      <c r="K596" s="30" t="n">
        <v>1.391</v>
      </c>
      <c r="L596" s="30" t="n">
        <v>1.745</v>
      </c>
      <c r="M596" s="30" t="n">
        <v>3.75</v>
      </c>
      <c r="N596" s="25" t="n">
        <v>0.439898551359326</v>
      </c>
      <c r="O596" s="17" t="n">
        <v>1</v>
      </c>
      <c r="P596" s="26" t="n">
        <v>2.63</v>
      </c>
      <c r="Q596" s="24" t="n">
        <f aca="false">IF(O596=1,1/(1+EXP(-(P596-Inputs!$B$12)/Inputs!$B$13)),0)</f>
        <v>0.00234562000367904</v>
      </c>
      <c r="R596" s="24" t="n">
        <f aca="false">N596*O596</f>
        <v>0.439898551359326</v>
      </c>
      <c r="S596" s="12" t="n">
        <f aca="false">N596*Q596</f>
        <v>0.00103183484165787</v>
      </c>
      <c r="T596" s="24" t="n">
        <f aca="false">N596^2</f>
        <v>0.193510735488034</v>
      </c>
    </row>
    <row r="597" customFormat="false" ht="15" hidden="false" customHeight="false" outlineLevel="0" collapsed="false">
      <c r="A597" s="5" t="s">
        <v>849</v>
      </c>
      <c r="B597" s="5" t="s">
        <v>197</v>
      </c>
      <c r="C597" s="5" t="s">
        <v>57</v>
      </c>
      <c r="D597" s="5" t="s">
        <v>66</v>
      </c>
      <c r="E597" s="5" t="s">
        <v>73</v>
      </c>
      <c r="F597" s="26" t="n">
        <v>79.18</v>
      </c>
      <c r="G597" s="26" t="n">
        <v>81.38</v>
      </c>
      <c r="H597" s="30" t="n">
        <v>0.565</v>
      </c>
      <c r="I597" s="28" t="n">
        <f aca="false">H597*G597/3.6</f>
        <v>12.7721388888889</v>
      </c>
      <c r="J597" s="30" t="n">
        <v>5.11</v>
      </c>
      <c r="K597" s="30" t="n">
        <v>0.946</v>
      </c>
      <c r="L597" s="30" t="n">
        <v>1.591</v>
      </c>
      <c r="M597" s="30" t="n">
        <v>7.54</v>
      </c>
      <c r="N597" s="25" t="n">
        <v>0.245952643379494</v>
      </c>
      <c r="O597" s="17" t="n">
        <v>0</v>
      </c>
      <c r="P597" s="26" t="n">
        <v>0</v>
      </c>
      <c r="Q597" s="24" t="n">
        <f aca="false">IF(O597=1,1/(1+EXP(-(P597-Inputs!$B$12)/Inputs!$B$13)),0)</f>
        <v>0</v>
      </c>
      <c r="R597" s="24" t="n">
        <f aca="false">N597*O597</f>
        <v>0</v>
      </c>
      <c r="S597" s="12" t="n">
        <f aca="false">N597*Q597</f>
        <v>0</v>
      </c>
      <c r="T597" s="24" t="n">
        <f aca="false">N597^2</f>
        <v>0.0604927027853604</v>
      </c>
    </row>
    <row r="598" customFormat="false" ht="15" hidden="false" customHeight="false" outlineLevel="0" collapsed="false">
      <c r="A598" s="5" t="s">
        <v>850</v>
      </c>
      <c r="B598" s="5" t="s">
        <v>197</v>
      </c>
      <c r="C598" s="5" t="s">
        <v>57</v>
      </c>
      <c r="D598" s="5" t="s">
        <v>66</v>
      </c>
      <c r="E598" s="5" t="s">
        <v>73</v>
      </c>
      <c r="F598" s="26" t="n">
        <v>90.28</v>
      </c>
      <c r="G598" s="26" t="n">
        <v>90.94</v>
      </c>
      <c r="H598" s="30" t="n">
        <v>0.86</v>
      </c>
      <c r="I598" s="28" t="n">
        <f aca="false">H598*G598/3.6</f>
        <v>21.7245555555556</v>
      </c>
      <c r="J598" s="30" t="n">
        <v>4.1</v>
      </c>
      <c r="K598" s="30" t="n">
        <v>0.63</v>
      </c>
      <c r="L598" s="30" t="n">
        <v>1.505</v>
      </c>
      <c r="M598" s="30" t="n">
        <v>3.57</v>
      </c>
      <c r="N598" s="25" t="n">
        <v>5.17990560973855</v>
      </c>
      <c r="O598" s="17" t="n">
        <v>0</v>
      </c>
      <c r="P598" s="26" t="n">
        <v>0</v>
      </c>
      <c r="Q598" s="24" t="n">
        <f aca="false">IF(O598=1,1/(1+EXP(-(P598-Inputs!$B$12)/Inputs!$B$13)),0)</f>
        <v>0</v>
      </c>
      <c r="R598" s="24" t="n">
        <f aca="false">N598*O598</f>
        <v>0</v>
      </c>
      <c r="S598" s="12" t="n">
        <f aca="false">N598*Q598</f>
        <v>0</v>
      </c>
      <c r="T598" s="24" t="n">
        <f aca="false">N598^2</f>
        <v>26.8314221258009</v>
      </c>
    </row>
    <row r="599" customFormat="false" ht="15" hidden="false" customHeight="false" outlineLevel="0" collapsed="false">
      <c r="A599" s="5" t="s">
        <v>851</v>
      </c>
      <c r="B599" s="5" t="s">
        <v>197</v>
      </c>
      <c r="C599" s="5" t="s">
        <v>57</v>
      </c>
      <c r="D599" s="5" t="s">
        <v>66</v>
      </c>
      <c r="E599" s="5" t="s">
        <v>73</v>
      </c>
      <c r="F599" s="26" t="n">
        <v>79.19</v>
      </c>
      <c r="G599" s="26" t="n">
        <v>75.63</v>
      </c>
      <c r="H599" s="30" t="n">
        <v>0.501</v>
      </c>
      <c r="I599" s="28" t="n">
        <f aca="false">H599*G599/3.6</f>
        <v>10.525175</v>
      </c>
      <c r="J599" s="30" t="n">
        <v>3.07</v>
      </c>
      <c r="K599" s="30" t="n">
        <v>1.169</v>
      </c>
      <c r="L599" s="30" t="n">
        <v>1.409</v>
      </c>
      <c r="M599" s="30" t="n">
        <v>7.24</v>
      </c>
      <c r="N599" s="25" t="n">
        <v>0.496869975078406</v>
      </c>
      <c r="O599" s="17" t="n">
        <v>0</v>
      </c>
      <c r="P599" s="26" t="n">
        <v>0</v>
      </c>
      <c r="Q599" s="24" t="n">
        <f aca="false">IF(O599=1,1/(1+EXP(-(P599-Inputs!$B$12)/Inputs!$B$13)),0)</f>
        <v>0</v>
      </c>
      <c r="R599" s="24" t="n">
        <f aca="false">N599*O599</f>
        <v>0</v>
      </c>
      <c r="S599" s="12" t="n">
        <f aca="false">N599*Q599</f>
        <v>0</v>
      </c>
      <c r="T599" s="24" t="n">
        <f aca="false">N599^2</f>
        <v>0.246879772134416</v>
      </c>
    </row>
    <row r="600" customFormat="false" ht="15" hidden="false" customHeight="false" outlineLevel="0" collapsed="false">
      <c r="A600" s="5" t="s">
        <v>852</v>
      </c>
      <c r="B600" s="5" t="s">
        <v>197</v>
      </c>
      <c r="C600" s="5" t="s">
        <v>57</v>
      </c>
      <c r="D600" s="5" t="s">
        <v>66</v>
      </c>
      <c r="E600" s="5" t="s">
        <v>73</v>
      </c>
      <c r="F600" s="26" t="n">
        <v>90.14</v>
      </c>
      <c r="G600" s="26" t="n">
        <v>90.54</v>
      </c>
      <c r="H600" s="30" t="n">
        <v>0.792</v>
      </c>
      <c r="I600" s="28" t="n">
        <f aca="false">H600*G600/3.6</f>
        <v>19.9188</v>
      </c>
      <c r="J600" s="30" t="n">
        <v>4.43</v>
      </c>
      <c r="K600" s="30" t="n">
        <v>3.03</v>
      </c>
      <c r="L600" s="30" t="n">
        <v>1.315</v>
      </c>
      <c r="M600" s="30" t="n">
        <v>4.11</v>
      </c>
      <c r="N600" s="25" t="n">
        <v>0.185896757985786</v>
      </c>
      <c r="O600" s="17" t="n">
        <v>0</v>
      </c>
      <c r="P600" s="26" t="n">
        <v>0</v>
      </c>
      <c r="Q600" s="24" t="n">
        <f aca="false">IF(O600=1,1/(1+EXP(-(P600-Inputs!$B$12)/Inputs!$B$13)),0)</f>
        <v>0</v>
      </c>
      <c r="R600" s="24" t="n">
        <f aca="false">N600*O600</f>
        <v>0</v>
      </c>
      <c r="S600" s="12" t="n">
        <f aca="false">N600*Q600</f>
        <v>0</v>
      </c>
      <c r="T600" s="24" t="n">
        <f aca="false">N600^2</f>
        <v>0.034557604629626</v>
      </c>
    </row>
    <row r="601" customFormat="false" ht="15" hidden="false" customHeight="false" outlineLevel="0" collapsed="false">
      <c r="A601" s="5" t="s">
        <v>853</v>
      </c>
      <c r="B601" s="5" t="s">
        <v>197</v>
      </c>
      <c r="C601" s="5" t="s">
        <v>57</v>
      </c>
      <c r="D601" s="5" t="s">
        <v>66</v>
      </c>
      <c r="E601" s="5" t="s">
        <v>73</v>
      </c>
      <c r="F601" s="26" t="n">
        <v>84.64</v>
      </c>
      <c r="G601" s="26" t="n">
        <v>85.45</v>
      </c>
      <c r="H601" s="30" t="n">
        <v>0.611</v>
      </c>
      <c r="I601" s="28" t="n">
        <f aca="false">H601*G601/3.6</f>
        <v>14.5027638888889</v>
      </c>
      <c r="J601" s="30" t="n">
        <v>2.61</v>
      </c>
      <c r="K601" s="30" t="n">
        <v>2.825</v>
      </c>
      <c r="L601" s="30" t="n">
        <v>1.027</v>
      </c>
      <c r="M601" s="30" t="n">
        <v>6.04</v>
      </c>
      <c r="N601" s="25" t="n">
        <v>0.207112320368258</v>
      </c>
      <c r="O601" s="17" t="n">
        <v>0</v>
      </c>
      <c r="P601" s="26" t="n">
        <v>0</v>
      </c>
      <c r="Q601" s="24" t="n">
        <f aca="false">IF(O601=1,1/(1+EXP(-(P601-Inputs!$B$12)/Inputs!$B$13)),0)</f>
        <v>0</v>
      </c>
      <c r="R601" s="24" t="n">
        <f aca="false">N601*O601</f>
        <v>0</v>
      </c>
      <c r="S601" s="12" t="n">
        <f aca="false">N601*Q601</f>
        <v>0</v>
      </c>
      <c r="T601" s="24" t="n">
        <f aca="false">N601^2</f>
        <v>0.0428955132483241</v>
      </c>
    </row>
    <row r="602" customFormat="false" ht="15" hidden="false" customHeight="false" outlineLevel="0" collapsed="false">
      <c r="A602" s="5" t="s">
        <v>854</v>
      </c>
      <c r="B602" s="5" t="s">
        <v>197</v>
      </c>
      <c r="C602" s="5" t="s">
        <v>57</v>
      </c>
      <c r="D602" s="5" t="s">
        <v>66</v>
      </c>
      <c r="E602" s="5" t="s">
        <v>73</v>
      </c>
      <c r="F602" s="26" t="n">
        <v>79.89</v>
      </c>
      <c r="G602" s="26" t="n">
        <v>75.22</v>
      </c>
      <c r="H602" s="30" t="n">
        <v>0.72</v>
      </c>
      <c r="I602" s="28" t="n">
        <f aca="false">H602*G602/3.6</f>
        <v>15.044</v>
      </c>
      <c r="J602" s="30" t="n">
        <v>5.41</v>
      </c>
      <c r="K602" s="30" t="n">
        <v>1.075</v>
      </c>
      <c r="L602" s="30" t="n">
        <v>1.69</v>
      </c>
      <c r="M602" s="30" t="n">
        <v>4.29</v>
      </c>
      <c r="N602" s="25" t="n">
        <v>0.507699359217246</v>
      </c>
      <c r="O602" s="17" t="n">
        <v>0</v>
      </c>
      <c r="P602" s="26" t="n">
        <v>0</v>
      </c>
      <c r="Q602" s="24" t="n">
        <f aca="false">IF(O602=1,1/(1+EXP(-(P602-Inputs!$B$12)/Inputs!$B$13)),0)</f>
        <v>0</v>
      </c>
      <c r="R602" s="24" t="n">
        <f aca="false">N602*O602</f>
        <v>0</v>
      </c>
      <c r="S602" s="12" t="n">
        <f aca="false">N602*Q602</f>
        <v>0</v>
      </c>
      <c r="T602" s="24" t="n">
        <f aca="false">N602^2</f>
        <v>0.257758639349602</v>
      </c>
    </row>
    <row r="603" customFormat="false" ht="15" hidden="false" customHeight="false" outlineLevel="0" collapsed="false">
      <c r="A603" s="5" t="s">
        <v>855</v>
      </c>
      <c r="B603" s="5" t="s">
        <v>197</v>
      </c>
      <c r="C603" s="5" t="s">
        <v>57</v>
      </c>
      <c r="D603" s="5" t="s">
        <v>66</v>
      </c>
      <c r="E603" s="5" t="s">
        <v>73</v>
      </c>
      <c r="F603" s="26" t="n">
        <v>89.05</v>
      </c>
      <c r="G603" s="26" t="n">
        <v>88.02</v>
      </c>
      <c r="H603" s="30" t="n">
        <v>0.561</v>
      </c>
      <c r="I603" s="28" t="n">
        <f aca="false">H603*G603/3.6</f>
        <v>13.71645</v>
      </c>
      <c r="J603" s="30" t="n">
        <v>5.37</v>
      </c>
      <c r="K603" s="30" t="n">
        <v>0.572</v>
      </c>
      <c r="L603" s="30" t="n">
        <v>0.971</v>
      </c>
      <c r="M603" s="30" t="n">
        <v>5.98</v>
      </c>
      <c r="N603" s="25" t="n">
        <v>5.32047721782368</v>
      </c>
      <c r="O603" s="17" t="n">
        <v>0</v>
      </c>
      <c r="P603" s="26" t="n">
        <v>0</v>
      </c>
      <c r="Q603" s="24" t="n">
        <f aca="false">IF(O603=1,1/(1+EXP(-(P603-Inputs!$B$12)/Inputs!$B$13)),0)</f>
        <v>0</v>
      </c>
      <c r="R603" s="24" t="n">
        <f aca="false">N603*O603</f>
        <v>0</v>
      </c>
      <c r="S603" s="12" t="n">
        <f aca="false">N603*Q603</f>
        <v>0</v>
      </c>
      <c r="T603" s="24" t="n">
        <f aca="false">N603^2</f>
        <v>28.3074778253808</v>
      </c>
    </row>
    <row r="604" customFormat="false" ht="15" hidden="false" customHeight="false" outlineLevel="0" collapsed="false">
      <c r="A604" s="5" t="s">
        <v>856</v>
      </c>
      <c r="B604" s="5" t="s">
        <v>197</v>
      </c>
      <c r="C604" s="5" t="s">
        <v>57</v>
      </c>
      <c r="D604" s="5" t="s">
        <v>66</v>
      </c>
      <c r="E604" s="5" t="s">
        <v>73</v>
      </c>
      <c r="F604" s="26" t="n">
        <v>83.31</v>
      </c>
      <c r="G604" s="26" t="n">
        <v>82.75</v>
      </c>
      <c r="H604" s="30" t="n">
        <v>0.576</v>
      </c>
      <c r="I604" s="28" t="n">
        <f aca="false">H604*G604/3.6</f>
        <v>13.24</v>
      </c>
      <c r="J604" s="30" t="n">
        <v>2.73</v>
      </c>
      <c r="K604" s="30" t="n">
        <v>1.179</v>
      </c>
      <c r="L604" s="30" t="n">
        <v>2.11</v>
      </c>
      <c r="M604" s="30" t="n">
        <v>6.92</v>
      </c>
      <c r="N604" s="25" t="n">
        <v>0.0526813822093209</v>
      </c>
      <c r="O604" s="17" t="n">
        <v>0</v>
      </c>
      <c r="P604" s="26" t="n">
        <v>0</v>
      </c>
      <c r="Q604" s="24" t="n">
        <f aca="false">IF(O604=1,1/(1+EXP(-(P604-Inputs!$B$12)/Inputs!$B$13)),0)</f>
        <v>0</v>
      </c>
      <c r="R604" s="24" t="n">
        <f aca="false">N604*O604</f>
        <v>0</v>
      </c>
      <c r="S604" s="12" t="n">
        <f aca="false">N604*Q604</f>
        <v>0</v>
      </c>
      <c r="T604" s="24" t="n">
        <f aca="false">N604^2</f>
        <v>0.00277532803148455</v>
      </c>
    </row>
    <row r="605" customFormat="false" ht="15" hidden="false" customHeight="false" outlineLevel="0" collapsed="false">
      <c r="A605" s="5" t="s">
        <v>857</v>
      </c>
      <c r="B605" s="5" t="s">
        <v>197</v>
      </c>
      <c r="C605" s="5" t="s">
        <v>57</v>
      </c>
      <c r="D605" s="5" t="s">
        <v>66</v>
      </c>
      <c r="E605" s="5" t="s">
        <v>73</v>
      </c>
      <c r="F605" s="26" t="n">
        <v>77.46</v>
      </c>
      <c r="G605" s="26" t="n">
        <v>80.46</v>
      </c>
      <c r="H605" s="30" t="n">
        <v>0.509</v>
      </c>
      <c r="I605" s="28" t="n">
        <f aca="false">H605*G605/3.6</f>
        <v>11.37615</v>
      </c>
      <c r="J605" s="30" t="n">
        <v>3.54</v>
      </c>
      <c r="K605" s="30" t="n">
        <v>1.806</v>
      </c>
      <c r="L605" s="30" t="n">
        <v>3.451</v>
      </c>
      <c r="M605" s="30" t="n">
        <v>6.69</v>
      </c>
      <c r="N605" s="25" t="n">
        <v>0.00139966199383537</v>
      </c>
      <c r="O605" s="17" t="n">
        <v>1</v>
      </c>
      <c r="P605" s="26" t="n">
        <v>26.09</v>
      </c>
      <c r="Q605" s="24" t="n">
        <f aca="false">IF(O605=1,1/(1+EXP(-(P605-Inputs!$B$12)/Inputs!$B$13)),0)</f>
        <v>0.0628891119348124</v>
      </c>
      <c r="R605" s="24" t="n">
        <f aca="false">N605*O605</f>
        <v>0.00139966199383537</v>
      </c>
      <c r="S605" s="12" t="n">
        <f aca="false">N605*Q605</f>
        <v>8.80234998012152E-005</v>
      </c>
      <c r="T605" s="24" t="n">
        <f aca="false">N605^2</f>
        <v>1.9590536969872E-006</v>
      </c>
    </row>
    <row r="606" customFormat="false" ht="15" hidden="false" customHeight="false" outlineLevel="0" collapsed="false">
      <c r="A606" s="5" t="s">
        <v>858</v>
      </c>
      <c r="B606" s="5" t="s">
        <v>198</v>
      </c>
      <c r="C606" s="5" t="s">
        <v>58</v>
      </c>
      <c r="D606" s="5" t="s">
        <v>62</v>
      </c>
      <c r="E606" s="5" t="s">
        <v>68</v>
      </c>
      <c r="F606" s="26" t="n">
        <v>32.77</v>
      </c>
      <c r="G606" s="26" t="n">
        <v>33.02</v>
      </c>
      <c r="H606" s="30" t="n">
        <v>4.409</v>
      </c>
      <c r="I606" s="28" t="n">
        <f aca="false">H606*G606/3.6</f>
        <v>40.4403277777778</v>
      </c>
      <c r="J606" s="30" t="n">
        <v>4.27</v>
      </c>
      <c r="K606" s="30" t="n">
        <v>0.962</v>
      </c>
      <c r="L606" s="30" t="n">
        <v>1.145</v>
      </c>
      <c r="M606" s="30" t="n">
        <v>3.9</v>
      </c>
      <c r="N606" s="25" t="n">
        <v>2.31951279661089</v>
      </c>
      <c r="O606" s="17" t="n">
        <v>0</v>
      </c>
      <c r="P606" s="26" t="n">
        <v>0</v>
      </c>
      <c r="Q606" s="24" t="n">
        <f aca="false">IF(O606=1,1/(1+EXP(-(P606-Inputs!$B$12)/Inputs!$B$13)),0)</f>
        <v>0</v>
      </c>
      <c r="R606" s="24" t="n">
        <f aca="false">N606*O606</f>
        <v>0</v>
      </c>
      <c r="S606" s="12" t="n">
        <f aca="false">N606*Q606</f>
        <v>0</v>
      </c>
      <c r="T606" s="24" t="n">
        <f aca="false">N606^2</f>
        <v>5.38013961364165</v>
      </c>
    </row>
    <row r="607" customFormat="false" ht="15" hidden="false" customHeight="false" outlineLevel="0" collapsed="false">
      <c r="A607" s="5" t="s">
        <v>859</v>
      </c>
      <c r="B607" s="5" t="s">
        <v>198</v>
      </c>
      <c r="C607" s="5" t="s">
        <v>58</v>
      </c>
      <c r="D607" s="5" t="s">
        <v>62</v>
      </c>
      <c r="E607" s="5" t="s">
        <v>68</v>
      </c>
      <c r="F607" s="26" t="n">
        <v>29.39</v>
      </c>
      <c r="G607" s="26" t="n">
        <v>27.95</v>
      </c>
      <c r="H607" s="30" t="n">
        <v>4.754</v>
      </c>
      <c r="I607" s="28" t="n">
        <f aca="false">H607*G607/3.6</f>
        <v>36.9095277777778</v>
      </c>
      <c r="J607" s="30" t="n">
        <v>5.94</v>
      </c>
      <c r="K607" s="30" t="n">
        <v>4.52</v>
      </c>
      <c r="L607" s="30" t="n">
        <v>1.505</v>
      </c>
      <c r="M607" s="30" t="n">
        <v>5.21</v>
      </c>
      <c r="N607" s="25" t="n">
        <v>0.0409598496072463</v>
      </c>
      <c r="O607" s="17" t="n">
        <v>0</v>
      </c>
      <c r="P607" s="26" t="n">
        <v>0</v>
      </c>
      <c r="Q607" s="24" t="n">
        <f aca="false">IF(O607=1,1/(1+EXP(-(P607-Inputs!$B$12)/Inputs!$B$13)),0)</f>
        <v>0</v>
      </c>
      <c r="R607" s="24" t="n">
        <f aca="false">N607*O607</f>
        <v>0</v>
      </c>
      <c r="S607" s="12" t="n">
        <f aca="false">N607*Q607</f>
        <v>0</v>
      </c>
      <c r="T607" s="24" t="n">
        <f aca="false">N607^2</f>
        <v>0.00167770927984824</v>
      </c>
    </row>
    <row r="608" customFormat="false" ht="15" hidden="false" customHeight="false" outlineLevel="0" collapsed="false">
      <c r="A608" s="5" t="s">
        <v>860</v>
      </c>
      <c r="B608" s="5" t="s">
        <v>198</v>
      </c>
      <c r="C608" s="5" t="s">
        <v>58</v>
      </c>
      <c r="D608" s="5" t="s">
        <v>62</v>
      </c>
      <c r="E608" s="5" t="s">
        <v>68</v>
      </c>
      <c r="F608" s="26" t="n">
        <v>31.36</v>
      </c>
      <c r="G608" s="26" t="n">
        <v>30.58</v>
      </c>
      <c r="H608" s="30" t="n">
        <v>3.965</v>
      </c>
      <c r="I608" s="28" t="n">
        <f aca="false">H608*G608/3.6</f>
        <v>33.6804722222222</v>
      </c>
      <c r="J608" s="30" t="n">
        <v>2.95</v>
      </c>
      <c r="K608" s="30" t="n">
        <v>1.63</v>
      </c>
      <c r="L608" s="30" t="n">
        <v>2.007</v>
      </c>
      <c r="M608" s="30" t="n">
        <v>3.99</v>
      </c>
      <c r="N608" s="25" t="n">
        <v>0.10481012963592</v>
      </c>
      <c r="O608" s="17" t="n">
        <v>0</v>
      </c>
      <c r="P608" s="26" t="n">
        <v>0</v>
      </c>
      <c r="Q608" s="24" t="n">
        <f aca="false">IF(O608=1,1/(1+EXP(-(P608-Inputs!$B$12)/Inputs!$B$13)),0)</f>
        <v>0</v>
      </c>
      <c r="R608" s="24" t="n">
        <f aca="false">N608*O608</f>
        <v>0</v>
      </c>
      <c r="S608" s="12" t="n">
        <f aca="false">N608*Q608</f>
        <v>0</v>
      </c>
      <c r="T608" s="24" t="n">
        <f aca="false">N608^2</f>
        <v>0.0109851632742984</v>
      </c>
    </row>
    <row r="609" customFormat="false" ht="15" hidden="false" customHeight="false" outlineLevel="0" collapsed="false">
      <c r="A609" s="5" t="s">
        <v>861</v>
      </c>
      <c r="B609" s="5" t="s">
        <v>198</v>
      </c>
      <c r="C609" s="5" t="s">
        <v>58</v>
      </c>
      <c r="D609" s="5" t="s">
        <v>62</v>
      </c>
      <c r="E609" s="5" t="s">
        <v>68</v>
      </c>
      <c r="F609" s="26" t="n">
        <v>20.19</v>
      </c>
      <c r="G609" s="26" t="n">
        <v>16.95</v>
      </c>
      <c r="H609" s="30" t="n">
        <v>3.36</v>
      </c>
      <c r="I609" s="28" t="n">
        <f aca="false">H609*G609/3.6</f>
        <v>15.82</v>
      </c>
      <c r="J609" s="30" t="n">
        <v>5.75</v>
      </c>
      <c r="K609" s="30" t="n">
        <v>2.477</v>
      </c>
      <c r="L609" s="30" t="n">
        <v>2.222</v>
      </c>
      <c r="M609" s="30" t="n">
        <v>5.88</v>
      </c>
      <c r="N609" s="25" t="n">
        <v>0.0136619846693987</v>
      </c>
      <c r="O609" s="17" t="n">
        <v>0</v>
      </c>
      <c r="P609" s="26" t="n">
        <v>0</v>
      </c>
      <c r="Q609" s="24" t="n">
        <f aca="false">IF(O609=1,1/(1+EXP(-(P609-Inputs!$B$12)/Inputs!$B$13)),0)</f>
        <v>0</v>
      </c>
      <c r="R609" s="24" t="n">
        <f aca="false">N609*O609</f>
        <v>0</v>
      </c>
      <c r="S609" s="12" t="n">
        <f aca="false">N609*Q609</f>
        <v>0</v>
      </c>
      <c r="T609" s="24" t="n">
        <f aca="false">N609^2</f>
        <v>0.000186649825106885</v>
      </c>
    </row>
    <row r="610" customFormat="false" ht="15" hidden="false" customHeight="false" outlineLevel="0" collapsed="false">
      <c r="A610" s="5" t="s">
        <v>862</v>
      </c>
      <c r="B610" s="5" t="s">
        <v>198</v>
      </c>
      <c r="C610" s="5" t="s">
        <v>58</v>
      </c>
      <c r="D610" s="5" t="s">
        <v>62</v>
      </c>
      <c r="E610" s="5" t="s">
        <v>68</v>
      </c>
      <c r="F610" s="26" t="n">
        <v>27.34</v>
      </c>
      <c r="G610" s="26" t="n">
        <v>22.99</v>
      </c>
      <c r="H610" s="30" t="n">
        <v>3.086</v>
      </c>
      <c r="I610" s="28" t="n">
        <f aca="false">H610*G610/3.6</f>
        <v>19.7075388888889</v>
      </c>
      <c r="J610" s="30" t="n">
        <v>3.27</v>
      </c>
      <c r="K610" s="30" t="n">
        <v>1.24</v>
      </c>
      <c r="L610" s="30" t="n">
        <v>3.062</v>
      </c>
      <c r="M610" s="30" t="n">
        <v>7.04</v>
      </c>
      <c r="N610" s="25" t="n">
        <v>0.00563959314509972</v>
      </c>
      <c r="O610" s="17" t="n">
        <v>0</v>
      </c>
      <c r="P610" s="26" t="n">
        <v>0</v>
      </c>
      <c r="Q610" s="24" t="n">
        <f aca="false">IF(O610=1,1/(1+EXP(-(P610-Inputs!$B$12)/Inputs!$B$13)),0)</f>
        <v>0</v>
      </c>
      <c r="R610" s="24" t="n">
        <f aca="false">N610*O610</f>
        <v>0</v>
      </c>
      <c r="S610" s="12" t="n">
        <f aca="false">N610*Q610</f>
        <v>0</v>
      </c>
      <c r="T610" s="24" t="n">
        <f aca="false">N610^2</f>
        <v>3.18050108422557E-005</v>
      </c>
    </row>
    <row r="611" customFormat="false" ht="15" hidden="false" customHeight="false" outlineLevel="0" collapsed="false">
      <c r="A611" s="5" t="s">
        <v>863</v>
      </c>
      <c r="B611" s="5" t="s">
        <v>198</v>
      </c>
      <c r="C611" s="5" t="s">
        <v>58</v>
      </c>
      <c r="D611" s="5" t="s">
        <v>62</v>
      </c>
      <c r="E611" s="5" t="s">
        <v>68</v>
      </c>
      <c r="F611" s="26" t="n">
        <v>31.86</v>
      </c>
      <c r="G611" s="26" t="n">
        <v>32.98</v>
      </c>
      <c r="H611" s="30" t="n">
        <v>4.001</v>
      </c>
      <c r="I611" s="28" t="n">
        <f aca="false">H611*G611/3.6</f>
        <v>36.6536055555556</v>
      </c>
      <c r="J611" s="30" t="n">
        <v>2.68</v>
      </c>
      <c r="K611" s="30" t="n">
        <v>2.022</v>
      </c>
      <c r="L611" s="30" t="n">
        <v>1.048</v>
      </c>
      <c r="M611" s="30" t="n">
        <v>7.37</v>
      </c>
      <c r="N611" s="25" t="n">
        <v>0.261349422022531</v>
      </c>
      <c r="O611" s="17" t="n">
        <v>0</v>
      </c>
      <c r="P611" s="26" t="n">
        <v>0</v>
      </c>
      <c r="Q611" s="24" t="n">
        <f aca="false">IF(O611=1,1/(1+EXP(-(P611-Inputs!$B$12)/Inputs!$B$13)),0)</f>
        <v>0</v>
      </c>
      <c r="R611" s="24" t="n">
        <f aca="false">N611*O611</f>
        <v>0</v>
      </c>
      <c r="S611" s="12" t="n">
        <f aca="false">N611*Q611</f>
        <v>0</v>
      </c>
      <c r="T611" s="24" t="n">
        <f aca="false">N611^2</f>
        <v>0.0683035203915112</v>
      </c>
    </row>
    <row r="612" customFormat="false" ht="15" hidden="false" customHeight="false" outlineLevel="0" collapsed="false">
      <c r="A612" s="5" t="s">
        <v>864</v>
      </c>
      <c r="B612" s="5" t="s">
        <v>198</v>
      </c>
      <c r="C612" s="5" t="s">
        <v>58</v>
      </c>
      <c r="D612" s="5" t="s">
        <v>62</v>
      </c>
      <c r="E612" s="5" t="s">
        <v>68</v>
      </c>
      <c r="F612" s="26" t="n">
        <v>28</v>
      </c>
      <c r="G612" s="26" t="n">
        <v>27.11</v>
      </c>
      <c r="H612" s="30" t="n">
        <v>3.243</v>
      </c>
      <c r="I612" s="28" t="n">
        <f aca="false">H612*G612/3.6</f>
        <v>24.4215916666667</v>
      </c>
      <c r="J612" s="30" t="n">
        <v>5.55</v>
      </c>
      <c r="K612" s="30" t="n">
        <v>0.503</v>
      </c>
      <c r="L612" s="30" t="n">
        <v>1.837</v>
      </c>
      <c r="M612" s="30" t="n">
        <v>4.09</v>
      </c>
      <c r="N612" s="25" t="n">
        <v>1.59826332263512</v>
      </c>
      <c r="O612" s="17" t="n">
        <v>0</v>
      </c>
      <c r="P612" s="26" t="n">
        <v>0</v>
      </c>
      <c r="Q612" s="24" t="n">
        <f aca="false">IF(O612=1,1/(1+EXP(-(P612-Inputs!$B$12)/Inputs!$B$13)),0)</f>
        <v>0</v>
      </c>
      <c r="R612" s="24" t="n">
        <f aca="false">N612*O612</f>
        <v>0</v>
      </c>
      <c r="S612" s="12" t="n">
        <f aca="false">N612*Q612</f>
        <v>0</v>
      </c>
      <c r="T612" s="24" t="n">
        <f aca="false">N612^2</f>
        <v>2.55444564848066</v>
      </c>
    </row>
    <row r="613" customFormat="false" ht="15" hidden="false" customHeight="false" outlineLevel="0" collapsed="false">
      <c r="A613" s="5" t="s">
        <v>865</v>
      </c>
      <c r="B613" s="5" t="s">
        <v>198</v>
      </c>
      <c r="C613" s="5" t="s">
        <v>58</v>
      </c>
      <c r="D613" s="5" t="s">
        <v>62</v>
      </c>
      <c r="E613" s="5" t="s">
        <v>68</v>
      </c>
      <c r="F613" s="26" t="n">
        <v>20.97</v>
      </c>
      <c r="G613" s="26" t="n">
        <v>23.41</v>
      </c>
      <c r="H613" s="30" t="n">
        <v>4.339</v>
      </c>
      <c r="I613" s="28" t="n">
        <f aca="false">H613*G613/3.6</f>
        <v>28.2155527777778</v>
      </c>
      <c r="J613" s="30" t="n">
        <v>4.84</v>
      </c>
      <c r="K613" s="30" t="n">
        <v>0.919</v>
      </c>
      <c r="L613" s="30" t="n">
        <v>1.259</v>
      </c>
      <c r="M613" s="30" t="n">
        <v>7.29</v>
      </c>
      <c r="N613" s="25" t="n">
        <v>0.962678961458029</v>
      </c>
      <c r="O613" s="17" t="n">
        <v>0</v>
      </c>
      <c r="P613" s="26" t="n">
        <v>0</v>
      </c>
      <c r="Q613" s="24" t="n">
        <f aca="false">IF(O613=1,1/(1+EXP(-(P613-Inputs!$B$12)/Inputs!$B$13)),0)</f>
        <v>0</v>
      </c>
      <c r="R613" s="24" t="n">
        <f aca="false">N613*O613</f>
        <v>0</v>
      </c>
      <c r="S613" s="12" t="n">
        <f aca="false">N613*Q613</f>
        <v>0</v>
      </c>
      <c r="T613" s="24" t="n">
        <f aca="false">N613^2</f>
        <v>0.926750782833909</v>
      </c>
    </row>
    <row r="614" customFormat="false" ht="15" hidden="false" customHeight="false" outlineLevel="0" collapsed="false">
      <c r="A614" s="5" t="s">
        <v>866</v>
      </c>
      <c r="B614" s="5" t="s">
        <v>198</v>
      </c>
      <c r="C614" s="5" t="s">
        <v>58</v>
      </c>
      <c r="D614" s="5" t="s">
        <v>62</v>
      </c>
      <c r="E614" s="5" t="s">
        <v>68</v>
      </c>
      <c r="F614" s="26" t="n">
        <v>34.42</v>
      </c>
      <c r="G614" s="26" t="n">
        <v>34.4</v>
      </c>
      <c r="H614" s="30" t="n">
        <v>3.092</v>
      </c>
      <c r="I614" s="28" t="n">
        <f aca="false">H614*G614/3.6</f>
        <v>29.5457777777778</v>
      </c>
      <c r="J614" s="30" t="n">
        <v>5.82</v>
      </c>
      <c r="K614" s="30" t="n">
        <v>1.753</v>
      </c>
      <c r="L614" s="30" t="n">
        <v>1.481</v>
      </c>
      <c r="M614" s="30" t="n">
        <v>7.64</v>
      </c>
      <c r="N614" s="25" t="n">
        <v>0.112619196904651</v>
      </c>
      <c r="O614" s="17" t="n">
        <v>0</v>
      </c>
      <c r="P614" s="26" t="n">
        <v>0</v>
      </c>
      <c r="Q614" s="24" t="n">
        <f aca="false">IF(O614=1,1/(1+EXP(-(P614-Inputs!$B$12)/Inputs!$B$13)),0)</f>
        <v>0</v>
      </c>
      <c r="R614" s="24" t="n">
        <f aca="false">N614*O614</f>
        <v>0</v>
      </c>
      <c r="S614" s="12" t="n">
        <f aca="false">N614*Q614</f>
        <v>0</v>
      </c>
      <c r="T614" s="24" t="n">
        <f aca="false">N614^2</f>
        <v>0.0126830835114486</v>
      </c>
    </row>
    <row r="615" customFormat="false" ht="15" hidden="false" customHeight="false" outlineLevel="0" collapsed="false">
      <c r="A615" s="5" t="s">
        <v>867</v>
      </c>
      <c r="B615" s="5" t="s">
        <v>198</v>
      </c>
      <c r="C615" s="5" t="s">
        <v>58</v>
      </c>
      <c r="D615" s="5" t="s">
        <v>62</v>
      </c>
      <c r="E615" s="5" t="s">
        <v>68</v>
      </c>
      <c r="F615" s="26" t="n">
        <v>29.93</v>
      </c>
      <c r="G615" s="26" t="n">
        <v>29.43</v>
      </c>
      <c r="H615" s="30" t="n">
        <v>3.815</v>
      </c>
      <c r="I615" s="28" t="n">
        <f aca="false">H615*G615/3.6</f>
        <v>31.187625</v>
      </c>
      <c r="J615" s="30" t="n">
        <v>3.32</v>
      </c>
      <c r="K615" s="30" t="n">
        <v>2.527</v>
      </c>
      <c r="L615" s="30" t="n">
        <v>1.453</v>
      </c>
      <c r="M615" s="30" t="n">
        <v>4.35</v>
      </c>
      <c r="N615" s="25" t="n">
        <v>0.140088867715014</v>
      </c>
      <c r="O615" s="17" t="n">
        <v>0</v>
      </c>
      <c r="P615" s="26" t="n">
        <v>0</v>
      </c>
      <c r="Q615" s="24" t="n">
        <f aca="false">IF(O615=1,1/(1+EXP(-(P615-Inputs!$B$12)/Inputs!$B$13)),0)</f>
        <v>0</v>
      </c>
      <c r="R615" s="24" t="n">
        <f aca="false">N615*O615</f>
        <v>0</v>
      </c>
      <c r="S615" s="12" t="n">
        <f aca="false">N615*Q615</f>
        <v>0</v>
      </c>
      <c r="T615" s="24" t="n">
        <f aca="false">N615^2</f>
        <v>0.0196248908576746</v>
      </c>
    </row>
    <row r="616" customFormat="false" ht="15" hidden="false" customHeight="false" outlineLevel="0" collapsed="false">
      <c r="A616" s="5" t="s">
        <v>868</v>
      </c>
      <c r="B616" s="5" t="s">
        <v>199</v>
      </c>
      <c r="C616" s="5" t="s">
        <v>58</v>
      </c>
      <c r="D616" s="5" t="s">
        <v>62</v>
      </c>
      <c r="E616" s="5" t="s">
        <v>70</v>
      </c>
      <c r="F616" s="26" t="n">
        <v>24.13</v>
      </c>
      <c r="G616" s="26" t="n">
        <v>27.91</v>
      </c>
      <c r="H616" s="30" t="n">
        <v>2.026</v>
      </c>
      <c r="I616" s="28" t="n">
        <f aca="false">H616*G616/3.6</f>
        <v>15.7071277777778</v>
      </c>
      <c r="J616" s="30" t="n">
        <v>5.39</v>
      </c>
      <c r="K616" s="30" t="n">
        <v>1.868</v>
      </c>
      <c r="L616" s="30" t="n">
        <v>1.304</v>
      </c>
      <c r="M616" s="30" t="n">
        <v>6.14</v>
      </c>
      <c r="N616" s="25" t="n">
        <v>0.282620913074644</v>
      </c>
      <c r="O616" s="17" t="n">
        <v>0</v>
      </c>
      <c r="P616" s="26" t="n">
        <v>0</v>
      </c>
      <c r="Q616" s="24" t="n">
        <f aca="false">IF(O616=1,1/(1+EXP(-(P616-Inputs!$B$12)/Inputs!$B$13)),0)</f>
        <v>0</v>
      </c>
      <c r="R616" s="24" t="n">
        <f aca="false">N616*O616</f>
        <v>0</v>
      </c>
      <c r="S616" s="12" t="n">
        <f aca="false">N616*Q616</f>
        <v>0</v>
      </c>
      <c r="T616" s="24" t="n">
        <f aca="false">N616^2</f>
        <v>0.0798745805071457</v>
      </c>
    </row>
    <row r="617" customFormat="false" ht="15" hidden="false" customHeight="false" outlineLevel="0" collapsed="false">
      <c r="A617" s="5" t="s">
        <v>869</v>
      </c>
      <c r="B617" s="5" t="s">
        <v>199</v>
      </c>
      <c r="C617" s="5" t="s">
        <v>58</v>
      </c>
      <c r="D617" s="5" t="s">
        <v>62</v>
      </c>
      <c r="E617" s="5" t="s">
        <v>70</v>
      </c>
      <c r="F617" s="26" t="n">
        <v>31.89</v>
      </c>
      <c r="G617" s="26" t="n">
        <v>30.25</v>
      </c>
      <c r="H617" s="30" t="n">
        <v>2.459</v>
      </c>
      <c r="I617" s="28" t="n">
        <f aca="false">H617*G617/3.6</f>
        <v>20.6624305555556</v>
      </c>
      <c r="J617" s="30" t="n">
        <v>3.9</v>
      </c>
      <c r="K617" s="30" t="n">
        <v>3.319</v>
      </c>
      <c r="L617" s="30" t="n">
        <v>1.64</v>
      </c>
      <c r="M617" s="30" t="n">
        <v>4.05</v>
      </c>
      <c r="N617" s="25" t="n">
        <v>0.0648087957544876</v>
      </c>
      <c r="O617" s="17" t="n">
        <v>0</v>
      </c>
      <c r="P617" s="26" t="n">
        <v>0</v>
      </c>
      <c r="Q617" s="24" t="n">
        <f aca="false">IF(O617=1,1/(1+EXP(-(P617-Inputs!$B$12)/Inputs!$B$13)),0)</f>
        <v>0</v>
      </c>
      <c r="R617" s="24" t="n">
        <f aca="false">N617*O617</f>
        <v>0</v>
      </c>
      <c r="S617" s="12" t="n">
        <f aca="false">N617*Q617</f>
        <v>0</v>
      </c>
      <c r="T617" s="24" t="n">
        <f aca="false">N617^2</f>
        <v>0.00420018000714689</v>
      </c>
    </row>
    <row r="618" customFormat="false" ht="15" hidden="false" customHeight="false" outlineLevel="0" collapsed="false">
      <c r="A618" s="5" t="s">
        <v>870</v>
      </c>
      <c r="B618" s="5" t="s">
        <v>199</v>
      </c>
      <c r="C618" s="5" t="s">
        <v>58</v>
      </c>
      <c r="D618" s="5" t="s">
        <v>62</v>
      </c>
      <c r="E618" s="5" t="s">
        <v>70</v>
      </c>
      <c r="F618" s="26" t="n">
        <v>30.46</v>
      </c>
      <c r="G618" s="26" t="n">
        <v>32.48</v>
      </c>
      <c r="H618" s="30" t="n">
        <v>2.428</v>
      </c>
      <c r="I618" s="28" t="n">
        <f aca="false">H618*G618/3.6</f>
        <v>21.9059555555556</v>
      </c>
      <c r="J618" s="30" t="n">
        <v>2.92</v>
      </c>
      <c r="K618" s="30" t="n">
        <v>2.531</v>
      </c>
      <c r="L618" s="30" t="n">
        <v>1.235</v>
      </c>
      <c r="M618" s="30" t="n">
        <v>7.17</v>
      </c>
      <c r="N618" s="25" t="n">
        <v>0.122387356894915</v>
      </c>
      <c r="O618" s="17" t="n">
        <v>0</v>
      </c>
      <c r="P618" s="26" t="n">
        <v>0</v>
      </c>
      <c r="Q618" s="24" t="n">
        <f aca="false">IF(O618=1,1/(1+EXP(-(P618-Inputs!$B$12)/Inputs!$B$13)),0)</f>
        <v>0</v>
      </c>
      <c r="R618" s="24" t="n">
        <f aca="false">N618*O618</f>
        <v>0</v>
      </c>
      <c r="S618" s="12" t="n">
        <f aca="false">N618*Q618</f>
        <v>0</v>
      </c>
      <c r="T618" s="24" t="n">
        <f aca="false">N618^2</f>
        <v>0.0149786651277232</v>
      </c>
    </row>
    <row r="619" customFormat="false" ht="15" hidden="false" customHeight="false" outlineLevel="0" collapsed="false">
      <c r="A619" s="5" t="s">
        <v>871</v>
      </c>
      <c r="B619" s="5" t="s">
        <v>199</v>
      </c>
      <c r="C619" s="5" t="s">
        <v>58</v>
      </c>
      <c r="D619" s="5" t="s">
        <v>62</v>
      </c>
      <c r="E619" s="5" t="s">
        <v>70</v>
      </c>
      <c r="F619" s="26" t="n">
        <v>24.38</v>
      </c>
      <c r="G619" s="26" t="n">
        <v>22.34</v>
      </c>
      <c r="H619" s="30" t="n">
        <v>2.048</v>
      </c>
      <c r="I619" s="28" t="n">
        <f aca="false">H619*G619/3.6</f>
        <v>12.7089777777778</v>
      </c>
      <c r="J619" s="30" t="n">
        <v>4.66</v>
      </c>
      <c r="K619" s="30" t="n">
        <v>1.392</v>
      </c>
      <c r="L619" s="30" t="n">
        <v>1.457</v>
      </c>
      <c r="M619" s="30" t="n">
        <v>4.78</v>
      </c>
      <c r="N619" s="25" t="n">
        <v>0.452561601602989</v>
      </c>
      <c r="O619" s="17" t="n">
        <v>0</v>
      </c>
      <c r="P619" s="26" t="n">
        <v>0</v>
      </c>
      <c r="Q619" s="24" t="n">
        <f aca="false">IF(O619=1,1/(1+EXP(-(P619-Inputs!$B$12)/Inputs!$B$13)),0)</f>
        <v>0</v>
      </c>
      <c r="R619" s="24" t="n">
        <f aca="false">N619*O619</f>
        <v>0</v>
      </c>
      <c r="S619" s="12" t="n">
        <f aca="false">N619*Q619</f>
        <v>0</v>
      </c>
      <c r="T619" s="24" t="n">
        <f aca="false">N619^2</f>
        <v>0.204812003245463</v>
      </c>
    </row>
    <row r="620" customFormat="false" ht="15" hidden="false" customHeight="false" outlineLevel="0" collapsed="false">
      <c r="A620" s="5" t="s">
        <v>872</v>
      </c>
      <c r="B620" s="5" t="s">
        <v>199</v>
      </c>
      <c r="C620" s="5" t="s">
        <v>58</v>
      </c>
      <c r="D620" s="5" t="s">
        <v>62</v>
      </c>
      <c r="E620" s="5" t="s">
        <v>70</v>
      </c>
      <c r="F620" s="26" t="n">
        <v>21.73</v>
      </c>
      <c r="G620" s="26" t="n">
        <v>18.99</v>
      </c>
      <c r="H620" s="30" t="n">
        <v>2.245</v>
      </c>
      <c r="I620" s="28" t="n">
        <f aca="false">H620*G620/3.6</f>
        <v>11.842375</v>
      </c>
      <c r="J620" s="30" t="n">
        <v>3.81</v>
      </c>
      <c r="K620" s="30" t="n">
        <v>1.051</v>
      </c>
      <c r="L620" s="30" t="n">
        <v>2.764</v>
      </c>
      <c r="M620" s="30" t="n">
        <v>6.33</v>
      </c>
      <c r="N620" s="25" t="n">
        <v>0.0171977163718113</v>
      </c>
      <c r="O620" s="17" t="n">
        <v>0</v>
      </c>
      <c r="P620" s="26" t="n">
        <v>0</v>
      </c>
      <c r="Q620" s="24" t="n">
        <f aca="false">IF(O620=1,1/(1+EXP(-(P620-Inputs!$B$12)/Inputs!$B$13)),0)</f>
        <v>0</v>
      </c>
      <c r="R620" s="24" t="n">
        <f aca="false">N620*O620</f>
        <v>0</v>
      </c>
      <c r="S620" s="12" t="n">
        <f aca="false">N620*Q620</f>
        <v>0</v>
      </c>
      <c r="T620" s="24" t="n">
        <f aca="false">N620^2</f>
        <v>0.000295761448405265</v>
      </c>
    </row>
    <row r="621" customFormat="false" ht="15" hidden="false" customHeight="false" outlineLevel="0" collapsed="false">
      <c r="A621" s="5" t="s">
        <v>873</v>
      </c>
      <c r="B621" s="5" t="s">
        <v>199</v>
      </c>
      <c r="C621" s="5" t="s">
        <v>58</v>
      </c>
      <c r="D621" s="5" t="s">
        <v>62</v>
      </c>
      <c r="E621" s="5" t="s">
        <v>70</v>
      </c>
      <c r="F621" s="26" t="n">
        <v>29.27</v>
      </c>
      <c r="G621" s="26" t="n">
        <v>28.53</v>
      </c>
      <c r="H621" s="30" t="n">
        <v>2.51</v>
      </c>
      <c r="I621" s="28" t="n">
        <f aca="false">H621*G621/3.6</f>
        <v>19.89175</v>
      </c>
      <c r="J621" s="30" t="n">
        <v>4.24</v>
      </c>
      <c r="K621" s="30" t="n">
        <v>2.714</v>
      </c>
      <c r="L621" s="30" t="n">
        <v>1.408</v>
      </c>
      <c r="M621" s="30" t="n">
        <v>3.88</v>
      </c>
      <c r="N621" s="25" t="n">
        <v>0.197952482187025</v>
      </c>
      <c r="O621" s="17" t="n">
        <v>0</v>
      </c>
      <c r="P621" s="26" t="n">
        <v>0</v>
      </c>
      <c r="Q621" s="24" t="n">
        <f aca="false">IF(O621=1,1/(1+EXP(-(P621-Inputs!$B$12)/Inputs!$B$13)),0)</f>
        <v>0</v>
      </c>
      <c r="R621" s="24" t="n">
        <f aca="false">N621*O621</f>
        <v>0</v>
      </c>
      <c r="S621" s="12" t="n">
        <f aca="false">N621*Q621</f>
        <v>0</v>
      </c>
      <c r="T621" s="24" t="n">
        <f aca="false">N621^2</f>
        <v>0.0391851852040043</v>
      </c>
    </row>
    <row r="622" customFormat="false" ht="15" hidden="false" customHeight="false" outlineLevel="0" collapsed="false">
      <c r="A622" s="5" t="s">
        <v>874</v>
      </c>
      <c r="B622" s="5" t="s">
        <v>199</v>
      </c>
      <c r="C622" s="5" t="s">
        <v>58</v>
      </c>
      <c r="D622" s="5" t="s">
        <v>62</v>
      </c>
      <c r="E622" s="5" t="s">
        <v>70</v>
      </c>
      <c r="F622" s="26" t="n">
        <v>29.24</v>
      </c>
      <c r="G622" s="26" t="n">
        <v>28.32</v>
      </c>
      <c r="H622" s="30" t="n">
        <v>2.438</v>
      </c>
      <c r="I622" s="28" t="n">
        <f aca="false">H622*G622/3.6</f>
        <v>19.1789333333333</v>
      </c>
      <c r="J622" s="30" t="n">
        <v>3.78</v>
      </c>
      <c r="K622" s="30" t="n">
        <v>2.85</v>
      </c>
      <c r="L622" s="30" t="n">
        <v>1.126</v>
      </c>
      <c r="M622" s="30" t="n">
        <v>7.53</v>
      </c>
      <c r="N622" s="25" t="n">
        <v>0.116519302664599</v>
      </c>
      <c r="O622" s="17" t="n">
        <v>0</v>
      </c>
      <c r="P622" s="26" t="n">
        <v>0</v>
      </c>
      <c r="Q622" s="24" t="n">
        <f aca="false">IF(O622=1,1/(1+EXP(-(P622-Inputs!$B$12)/Inputs!$B$13)),0)</f>
        <v>0</v>
      </c>
      <c r="R622" s="24" t="n">
        <f aca="false">N622*O622</f>
        <v>0</v>
      </c>
      <c r="S622" s="12" t="n">
        <f aca="false">N622*Q622</f>
        <v>0</v>
      </c>
      <c r="T622" s="24" t="n">
        <f aca="false">N622^2</f>
        <v>0.0135767478934444</v>
      </c>
    </row>
    <row r="623" customFormat="false" ht="15" hidden="false" customHeight="false" outlineLevel="0" collapsed="false">
      <c r="A623" s="5" t="s">
        <v>875</v>
      </c>
      <c r="B623" s="5" t="s">
        <v>199</v>
      </c>
      <c r="C623" s="5" t="s">
        <v>58</v>
      </c>
      <c r="D623" s="5" t="s">
        <v>62</v>
      </c>
      <c r="E623" s="5" t="s">
        <v>70</v>
      </c>
      <c r="F623" s="26" t="n">
        <v>26.23</v>
      </c>
      <c r="G623" s="26" t="n">
        <v>25.98</v>
      </c>
      <c r="H623" s="30" t="n">
        <v>2.155</v>
      </c>
      <c r="I623" s="28" t="n">
        <f aca="false">H623*G623/3.6</f>
        <v>15.5519166666667</v>
      </c>
      <c r="J623" s="30" t="n">
        <v>3.07</v>
      </c>
      <c r="K623" s="30" t="n">
        <v>1.374</v>
      </c>
      <c r="L623" s="30" t="n">
        <v>2.098</v>
      </c>
      <c r="M623" s="30" t="n">
        <v>4.11</v>
      </c>
      <c r="N623" s="25" t="n">
        <v>0.112208527808938</v>
      </c>
      <c r="O623" s="17" t="n">
        <v>0</v>
      </c>
      <c r="P623" s="26" t="n">
        <v>0</v>
      </c>
      <c r="Q623" s="24" t="n">
        <f aca="false">IF(O623=1,1/(1+EXP(-(P623-Inputs!$B$12)/Inputs!$B$13)),0)</f>
        <v>0</v>
      </c>
      <c r="R623" s="24" t="n">
        <f aca="false">N623*O623</f>
        <v>0</v>
      </c>
      <c r="S623" s="12" t="n">
        <f aca="false">N623*Q623</f>
        <v>0</v>
      </c>
      <c r="T623" s="24" t="n">
        <f aca="false">N623^2</f>
        <v>0.0125907537130491</v>
      </c>
    </row>
    <row r="624" customFormat="false" ht="15" hidden="false" customHeight="false" outlineLevel="0" collapsed="false">
      <c r="A624" s="5" t="s">
        <v>876</v>
      </c>
      <c r="B624" s="5" t="s">
        <v>199</v>
      </c>
      <c r="C624" s="5" t="s">
        <v>58</v>
      </c>
      <c r="D624" s="5" t="s">
        <v>62</v>
      </c>
      <c r="E624" s="5" t="s">
        <v>70</v>
      </c>
      <c r="F624" s="26" t="n">
        <v>24.6</v>
      </c>
      <c r="G624" s="26" t="n">
        <v>22.67</v>
      </c>
      <c r="H624" s="30" t="n">
        <v>2.479</v>
      </c>
      <c r="I624" s="28" t="n">
        <f aca="false">H624*G624/3.6</f>
        <v>15.6108138888889</v>
      </c>
      <c r="J624" s="30" t="n">
        <v>5.43</v>
      </c>
      <c r="K624" s="30" t="n">
        <v>1.761</v>
      </c>
      <c r="L624" s="30" t="n">
        <v>1.434</v>
      </c>
      <c r="M624" s="30" t="n">
        <v>4.9</v>
      </c>
      <c r="N624" s="25" t="n">
        <v>0.306847041223532</v>
      </c>
      <c r="O624" s="17" t="n">
        <v>0</v>
      </c>
      <c r="P624" s="26" t="n">
        <v>0</v>
      </c>
      <c r="Q624" s="24" t="n">
        <f aca="false">IF(O624=1,1/(1+EXP(-(P624-Inputs!$B$12)/Inputs!$B$13)),0)</f>
        <v>0</v>
      </c>
      <c r="R624" s="24" t="n">
        <f aca="false">N624*O624</f>
        <v>0</v>
      </c>
      <c r="S624" s="12" t="n">
        <f aca="false">N624*Q624</f>
        <v>0</v>
      </c>
      <c r="T624" s="24" t="n">
        <f aca="false">N624^2</f>
        <v>0.0941551067076361</v>
      </c>
    </row>
    <row r="625" customFormat="false" ht="15" hidden="false" customHeight="false" outlineLevel="0" collapsed="false">
      <c r="A625" s="5" t="s">
        <v>877</v>
      </c>
      <c r="B625" s="5" t="s">
        <v>199</v>
      </c>
      <c r="C625" s="5" t="s">
        <v>58</v>
      </c>
      <c r="D625" s="5" t="s">
        <v>62</v>
      </c>
      <c r="E625" s="5" t="s">
        <v>70</v>
      </c>
      <c r="F625" s="26" t="n">
        <v>31.63</v>
      </c>
      <c r="G625" s="26" t="n">
        <v>31.27</v>
      </c>
      <c r="H625" s="30" t="n">
        <v>2.531</v>
      </c>
      <c r="I625" s="28" t="n">
        <f aca="false">H625*G625/3.6</f>
        <v>21.9845472222222</v>
      </c>
      <c r="J625" s="30" t="n">
        <v>2.78</v>
      </c>
      <c r="K625" s="30" t="n">
        <v>1.124</v>
      </c>
      <c r="L625" s="30" t="n">
        <v>1.11</v>
      </c>
      <c r="M625" s="30" t="n">
        <v>6.35</v>
      </c>
      <c r="N625" s="25" t="n">
        <v>1.09687809803983</v>
      </c>
      <c r="O625" s="17" t="n">
        <v>0</v>
      </c>
      <c r="P625" s="26" t="n">
        <v>0</v>
      </c>
      <c r="Q625" s="24" t="n">
        <f aca="false">IF(O625=1,1/(1+EXP(-(P625-Inputs!$B$12)/Inputs!$B$13)),0)</f>
        <v>0</v>
      </c>
      <c r="R625" s="24" t="n">
        <f aca="false">N625*O625</f>
        <v>0</v>
      </c>
      <c r="S625" s="12" t="n">
        <f aca="false">N625*Q625</f>
        <v>0</v>
      </c>
      <c r="T625" s="24" t="n">
        <f aca="false">N625^2</f>
        <v>1.20314156195947</v>
      </c>
    </row>
    <row r="626" customFormat="false" ht="15" hidden="false" customHeight="false" outlineLevel="0" collapsed="false">
      <c r="A626" s="5" t="s">
        <v>878</v>
      </c>
      <c r="B626" s="5" t="s">
        <v>200</v>
      </c>
      <c r="C626" s="5" t="s">
        <v>58</v>
      </c>
      <c r="D626" s="5" t="s">
        <v>62</v>
      </c>
      <c r="E626" s="5" t="s">
        <v>71</v>
      </c>
      <c r="F626" s="26" t="n">
        <v>27.55</v>
      </c>
      <c r="G626" s="26" t="n">
        <v>30.36</v>
      </c>
      <c r="H626" s="30" t="n">
        <v>1.579</v>
      </c>
      <c r="I626" s="28" t="n">
        <f aca="false">H626*G626/3.6</f>
        <v>13.3162333333333</v>
      </c>
      <c r="J626" s="30" t="n">
        <v>3.14</v>
      </c>
      <c r="K626" s="30" t="n">
        <v>0.632</v>
      </c>
      <c r="L626" s="30" t="n">
        <v>1.837</v>
      </c>
      <c r="M626" s="30" t="n">
        <v>6.16</v>
      </c>
      <c r="N626" s="25" t="n">
        <v>0.463715140925446</v>
      </c>
      <c r="O626" s="17" t="n">
        <v>0</v>
      </c>
      <c r="P626" s="26" t="n">
        <v>0</v>
      </c>
      <c r="Q626" s="24" t="n">
        <f aca="false">IF(O626=1,1/(1+EXP(-(P626-Inputs!$B$12)/Inputs!$B$13)),0)</f>
        <v>0</v>
      </c>
      <c r="R626" s="24" t="n">
        <f aca="false">N626*O626</f>
        <v>0</v>
      </c>
      <c r="S626" s="12" t="n">
        <f aca="false">N626*Q626</f>
        <v>0</v>
      </c>
      <c r="T626" s="24" t="n">
        <f aca="false">N626^2</f>
        <v>0.215031731923506</v>
      </c>
    </row>
    <row r="627" customFormat="false" ht="15" hidden="false" customHeight="false" outlineLevel="0" collapsed="false">
      <c r="A627" s="5" t="s">
        <v>879</v>
      </c>
      <c r="B627" s="5" t="s">
        <v>200</v>
      </c>
      <c r="C627" s="5" t="s">
        <v>58</v>
      </c>
      <c r="D627" s="5" t="s">
        <v>62</v>
      </c>
      <c r="E627" s="5" t="s">
        <v>71</v>
      </c>
      <c r="F627" s="26" t="n">
        <v>24.28</v>
      </c>
      <c r="G627" s="26" t="n">
        <v>18.83</v>
      </c>
      <c r="H627" s="30" t="n">
        <v>1.527</v>
      </c>
      <c r="I627" s="28" t="n">
        <f aca="false">H627*G627/3.6</f>
        <v>7.98705833333333</v>
      </c>
      <c r="J627" s="30" t="n">
        <v>4.28</v>
      </c>
      <c r="K627" s="30" t="n">
        <v>1.055</v>
      </c>
      <c r="L627" s="30" t="n">
        <v>1.581</v>
      </c>
      <c r="M627" s="30" t="n">
        <v>7.51</v>
      </c>
      <c r="N627" s="25" t="n">
        <v>0.223093940437835</v>
      </c>
      <c r="O627" s="17" t="n">
        <v>0</v>
      </c>
      <c r="P627" s="26" t="n">
        <v>0</v>
      </c>
      <c r="Q627" s="24" t="n">
        <f aca="false">IF(O627=1,1/(1+EXP(-(P627-Inputs!$B$12)/Inputs!$B$13)),0)</f>
        <v>0</v>
      </c>
      <c r="R627" s="24" t="n">
        <f aca="false">N627*O627</f>
        <v>0</v>
      </c>
      <c r="S627" s="12" t="n">
        <f aca="false">N627*Q627</f>
        <v>0</v>
      </c>
      <c r="T627" s="24" t="n">
        <f aca="false">N627^2</f>
        <v>0.0497709062600805</v>
      </c>
    </row>
    <row r="628" customFormat="false" ht="15" hidden="false" customHeight="false" outlineLevel="0" collapsed="false">
      <c r="A628" s="5" t="s">
        <v>880</v>
      </c>
      <c r="B628" s="5" t="s">
        <v>200</v>
      </c>
      <c r="C628" s="5" t="s">
        <v>58</v>
      </c>
      <c r="D628" s="5" t="s">
        <v>62</v>
      </c>
      <c r="E628" s="5" t="s">
        <v>71</v>
      </c>
      <c r="F628" s="26" t="n">
        <v>21.23</v>
      </c>
      <c r="G628" s="26" t="n">
        <v>19.52</v>
      </c>
      <c r="H628" s="30" t="n">
        <v>1.812</v>
      </c>
      <c r="I628" s="28" t="n">
        <f aca="false">H628*G628/3.6</f>
        <v>9.82506666666667</v>
      </c>
      <c r="J628" s="30" t="n">
        <v>5.52</v>
      </c>
      <c r="K628" s="30" t="n">
        <v>0.944</v>
      </c>
      <c r="L628" s="30" t="n">
        <v>1.69</v>
      </c>
      <c r="M628" s="30" t="n">
        <v>3.95</v>
      </c>
      <c r="N628" s="25" t="n">
        <v>1.10488248207514</v>
      </c>
      <c r="O628" s="17" t="n">
        <v>0</v>
      </c>
      <c r="P628" s="26" t="n">
        <v>0</v>
      </c>
      <c r="Q628" s="24" t="n">
        <f aca="false">IF(O628=1,1/(1+EXP(-(P628-Inputs!$B$12)/Inputs!$B$13)),0)</f>
        <v>0</v>
      </c>
      <c r="R628" s="24" t="n">
        <f aca="false">N628*O628</f>
        <v>0</v>
      </c>
      <c r="S628" s="12" t="n">
        <f aca="false">N628*Q628</f>
        <v>0</v>
      </c>
      <c r="T628" s="24" t="n">
        <f aca="false">N628^2</f>
        <v>1.22076529919653</v>
      </c>
    </row>
    <row r="629" customFormat="false" ht="15" hidden="false" customHeight="false" outlineLevel="0" collapsed="false">
      <c r="A629" s="5" t="s">
        <v>881</v>
      </c>
      <c r="B629" s="5" t="s">
        <v>200</v>
      </c>
      <c r="C629" s="5" t="s">
        <v>58</v>
      </c>
      <c r="D629" s="5" t="s">
        <v>62</v>
      </c>
      <c r="E629" s="5" t="s">
        <v>71</v>
      </c>
      <c r="F629" s="26" t="n">
        <v>34.81</v>
      </c>
      <c r="G629" s="26" t="n">
        <v>33.62</v>
      </c>
      <c r="H629" s="30" t="n">
        <v>1.725</v>
      </c>
      <c r="I629" s="28" t="n">
        <f aca="false">H629*G629/3.6</f>
        <v>16.1095833333333</v>
      </c>
      <c r="J629" s="30" t="n">
        <v>5.25</v>
      </c>
      <c r="K629" s="30" t="n">
        <v>1.668</v>
      </c>
      <c r="L629" s="30" t="n">
        <v>1.231</v>
      </c>
      <c r="M629" s="30" t="n">
        <v>6.07</v>
      </c>
      <c r="N629" s="25" t="n">
        <v>0.321509447185782</v>
      </c>
      <c r="O629" s="17" t="n">
        <v>0</v>
      </c>
      <c r="P629" s="26" t="n">
        <v>0</v>
      </c>
      <c r="Q629" s="24" t="n">
        <f aca="false">IF(O629=1,1/(1+EXP(-(P629-Inputs!$B$12)/Inputs!$B$13)),0)</f>
        <v>0</v>
      </c>
      <c r="R629" s="24" t="n">
        <f aca="false">N629*O629</f>
        <v>0</v>
      </c>
      <c r="S629" s="12" t="n">
        <f aca="false">N629*Q629</f>
        <v>0</v>
      </c>
      <c r="T629" s="24" t="n">
        <f aca="false">N629^2</f>
        <v>0.103368324629707</v>
      </c>
    </row>
    <row r="630" customFormat="false" ht="15" hidden="false" customHeight="false" outlineLevel="0" collapsed="false">
      <c r="A630" s="5" t="s">
        <v>882</v>
      </c>
      <c r="B630" s="5" t="s">
        <v>200</v>
      </c>
      <c r="C630" s="5" t="s">
        <v>58</v>
      </c>
      <c r="D630" s="5" t="s">
        <v>62</v>
      </c>
      <c r="E630" s="5" t="s">
        <v>71</v>
      </c>
      <c r="F630" s="26" t="n">
        <v>26.03</v>
      </c>
      <c r="G630" s="26" t="n">
        <v>24.8</v>
      </c>
      <c r="H630" s="30" t="n">
        <v>1.647</v>
      </c>
      <c r="I630" s="28" t="n">
        <f aca="false">H630*G630/3.6</f>
        <v>11.346</v>
      </c>
      <c r="J630" s="30" t="n">
        <v>5.4</v>
      </c>
      <c r="K630" s="30" t="n">
        <v>0.693</v>
      </c>
      <c r="L630" s="30" t="n">
        <v>1.314</v>
      </c>
      <c r="M630" s="30" t="n">
        <v>4.19</v>
      </c>
      <c r="N630" s="25" t="n">
        <v>2.6657302093737</v>
      </c>
      <c r="O630" s="17" t="n">
        <v>0</v>
      </c>
      <c r="P630" s="26" t="n">
        <v>0</v>
      </c>
      <c r="Q630" s="24" t="n">
        <f aca="false">IF(O630=1,1/(1+EXP(-(P630-Inputs!$B$12)/Inputs!$B$13)),0)</f>
        <v>0</v>
      </c>
      <c r="R630" s="24" t="n">
        <f aca="false">N630*O630</f>
        <v>0</v>
      </c>
      <c r="S630" s="12" t="n">
        <f aca="false">N630*Q630</f>
        <v>0</v>
      </c>
      <c r="T630" s="24" t="n">
        <f aca="false">N630^2</f>
        <v>7.10611754916757</v>
      </c>
    </row>
    <row r="631" customFormat="false" ht="15" hidden="false" customHeight="false" outlineLevel="0" collapsed="false">
      <c r="A631" s="5" t="s">
        <v>883</v>
      </c>
      <c r="B631" s="5" t="s">
        <v>200</v>
      </c>
      <c r="C631" s="5" t="s">
        <v>58</v>
      </c>
      <c r="D631" s="5" t="s">
        <v>62</v>
      </c>
      <c r="E631" s="5" t="s">
        <v>71</v>
      </c>
      <c r="F631" s="26" t="n">
        <v>28.88</v>
      </c>
      <c r="G631" s="26" t="n">
        <v>29.71</v>
      </c>
      <c r="H631" s="30" t="n">
        <v>1.816</v>
      </c>
      <c r="I631" s="28" t="n">
        <f aca="false">H631*G631/3.6</f>
        <v>14.9870444444444</v>
      </c>
      <c r="J631" s="30" t="n">
        <v>4.72</v>
      </c>
      <c r="K631" s="30" t="n">
        <v>2.464</v>
      </c>
      <c r="L631" s="30" t="n">
        <v>1.961</v>
      </c>
      <c r="M631" s="30" t="n">
        <v>4.23</v>
      </c>
      <c r="N631" s="25" t="n">
        <v>0.0673491415327634</v>
      </c>
      <c r="O631" s="17" t="n">
        <v>1</v>
      </c>
      <c r="P631" s="26" t="n">
        <v>16.63</v>
      </c>
      <c r="Q631" s="24" t="n">
        <f aca="false">IF(O631=1,1/(1+EXP(-(P631-Inputs!$B$12)/Inputs!$B$13)),0)</f>
        <v>0.0170760115990645</v>
      </c>
      <c r="R631" s="24" t="n">
        <f aca="false">N631*O631</f>
        <v>0.0673491415327634</v>
      </c>
      <c r="S631" s="12" t="n">
        <f aca="false">N631*Q631</f>
        <v>0.0011500547220005</v>
      </c>
      <c r="T631" s="24" t="n">
        <f aca="false">N631^2</f>
        <v>0.00453590686520019</v>
      </c>
    </row>
    <row r="632" customFormat="false" ht="15" hidden="false" customHeight="false" outlineLevel="0" collapsed="false">
      <c r="A632" s="5" t="s">
        <v>884</v>
      </c>
      <c r="B632" s="5" t="s">
        <v>200</v>
      </c>
      <c r="C632" s="5" t="s">
        <v>58</v>
      </c>
      <c r="D632" s="5" t="s">
        <v>62</v>
      </c>
      <c r="E632" s="5" t="s">
        <v>71</v>
      </c>
      <c r="F632" s="26" t="n">
        <v>28.93</v>
      </c>
      <c r="G632" s="26" t="n">
        <v>28.45</v>
      </c>
      <c r="H632" s="30" t="n">
        <v>1.51</v>
      </c>
      <c r="I632" s="28" t="n">
        <f aca="false">H632*G632/3.6</f>
        <v>11.9331944444444</v>
      </c>
      <c r="J632" s="30" t="n">
        <v>3.43</v>
      </c>
      <c r="K632" s="30" t="n">
        <v>1.141</v>
      </c>
      <c r="L632" s="30" t="n">
        <v>3.995</v>
      </c>
      <c r="M632" s="30" t="n">
        <v>3.94</v>
      </c>
      <c r="N632" s="25" t="n">
        <v>0.00489325409905763</v>
      </c>
      <c r="O632" s="17" t="n">
        <v>1</v>
      </c>
      <c r="P632" s="26" t="n">
        <v>13.7</v>
      </c>
      <c r="Q632" s="24" t="n">
        <f aca="false">IF(O632=1,1/(1+EXP(-(P632-Inputs!$B$12)/Inputs!$B$13)),0)</f>
        <v>0.0113017838180855</v>
      </c>
      <c r="R632" s="24" t="n">
        <f aca="false">N632*O632</f>
        <v>0.00489325409905763</v>
      </c>
      <c r="S632" s="12" t="n">
        <f aca="false">N632*Q632</f>
        <v>5.530249999451E-005</v>
      </c>
      <c r="T632" s="24" t="n">
        <f aca="false">N632^2</f>
        <v>2.39439356779443E-005</v>
      </c>
    </row>
    <row r="633" customFormat="false" ht="15" hidden="false" customHeight="false" outlineLevel="0" collapsed="false">
      <c r="A633" s="5" t="s">
        <v>885</v>
      </c>
      <c r="B633" s="5" t="s">
        <v>200</v>
      </c>
      <c r="C633" s="5" t="s">
        <v>58</v>
      </c>
      <c r="D633" s="5" t="s">
        <v>62</v>
      </c>
      <c r="E633" s="5" t="s">
        <v>71</v>
      </c>
      <c r="F633" s="26" t="n">
        <v>31.9</v>
      </c>
      <c r="G633" s="26" t="n">
        <v>33.17</v>
      </c>
      <c r="H633" s="30" t="n">
        <v>1.631</v>
      </c>
      <c r="I633" s="28" t="n">
        <f aca="false">H633*G633/3.6</f>
        <v>15.0278527777778</v>
      </c>
      <c r="J633" s="30" t="n">
        <v>3.18</v>
      </c>
      <c r="K633" s="30" t="n">
        <v>0.795</v>
      </c>
      <c r="L633" s="30" t="n">
        <v>1.272</v>
      </c>
      <c r="M633" s="30" t="n">
        <v>6.33</v>
      </c>
      <c r="N633" s="25" t="n">
        <v>1.18789315740232</v>
      </c>
      <c r="O633" s="17" t="n">
        <v>0</v>
      </c>
      <c r="P633" s="26" t="n">
        <v>0</v>
      </c>
      <c r="Q633" s="24" t="n">
        <f aca="false">IF(O633=1,1/(1+EXP(-(P633-Inputs!$B$12)/Inputs!$B$13)),0)</f>
        <v>0</v>
      </c>
      <c r="R633" s="24" t="n">
        <f aca="false">N633*O633</f>
        <v>0</v>
      </c>
      <c r="S633" s="12" t="n">
        <f aca="false">N633*Q633</f>
        <v>0</v>
      </c>
      <c r="T633" s="24" t="n">
        <f aca="false">N633^2</f>
        <v>1.41109015340326</v>
      </c>
    </row>
    <row r="634" customFormat="false" ht="15" hidden="false" customHeight="false" outlineLevel="0" collapsed="false">
      <c r="A634" s="5" t="s">
        <v>886</v>
      </c>
      <c r="B634" s="5" t="s">
        <v>200</v>
      </c>
      <c r="C634" s="5" t="s">
        <v>58</v>
      </c>
      <c r="D634" s="5" t="s">
        <v>62</v>
      </c>
      <c r="E634" s="5" t="s">
        <v>71</v>
      </c>
      <c r="F634" s="26" t="n">
        <v>31.95</v>
      </c>
      <c r="G634" s="26" t="n">
        <v>33.07</v>
      </c>
      <c r="H634" s="30" t="n">
        <v>1.617</v>
      </c>
      <c r="I634" s="28" t="n">
        <f aca="false">H634*G634/3.6</f>
        <v>14.8539416666667</v>
      </c>
      <c r="J634" s="30" t="n">
        <v>5.91</v>
      </c>
      <c r="K634" s="30" t="n">
        <v>1.527</v>
      </c>
      <c r="L634" s="30" t="n">
        <v>1.312</v>
      </c>
      <c r="M634" s="30" t="n">
        <v>5.3</v>
      </c>
      <c r="N634" s="25" t="n">
        <v>0.387077513893702</v>
      </c>
      <c r="O634" s="17" t="n">
        <v>0</v>
      </c>
      <c r="P634" s="26" t="n">
        <v>0</v>
      </c>
      <c r="Q634" s="24" t="n">
        <f aca="false">IF(O634=1,1/(1+EXP(-(P634-Inputs!$B$12)/Inputs!$B$13)),0)</f>
        <v>0</v>
      </c>
      <c r="R634" s="24" t="n">
        <f aca="false">N634*O634</f>
        <v>0</v>
      </c>
      <c r="S634" s="12" t="n">
        <f aca="false">N634*Q634</f>
        <v>0</v>
      </c>
      <c r="T634" s="24" t="n">
        <f aca="false">N634^2</f>
        <v>0.149829001762129</v>
      </c>
    </row>
    <row r="635" customFormat="false" ht="15" hidden="false" customHeight="false" outlineLevel="0" collapsed="false">
      <c r="A635" s="5" t="s">
        <v>887</v>
      </c>
      <c r="B635" s="5" t="s">
        <v>200</v>
      </c>
      <c r="C635" s="5" t="s">
        <v>58</v>
      </c>
      <c r="D635" s="5" t="s">
        <v>62</v>
      </c>
      <c r="E635" s="5" t="s">
        <v>71</v>
      </c>
      <c r="F635" s="26" t="n">
        <v>26.63</v>
      </c>
      <c r="G635" s="26" t="n">
        <v>27.28</v>
      </c>
      <c r="H635" s="30" t="n">
        <v>1.78</v>
      </c>
      <c r="I635" s="28" t="n">
        <f aca="false">H635*G635/3.6</f>
        <v>13.4884444444444</v>
      </c>
      <c r="J635" s="30" t="n">
        <v>4.67</v>
      </c>
      <c r="K635" s="30" t="n">
        <v>1.93</v>
      </c>
      <c r="L635" s="30" t="n">
        <v>2.119</v>
      </c>
      <c r="M635" s="30" t="n">
        <v>4.89</v>
      </c>
      <c r="N635" s="25" t="n">
        <v>0.0528084478592797</v>
      </c>
      <c r="O635" s="17" t="n">
        <v>1</v>
      </c>
      <c r="P635" s="26" t="n">
        <v>18.12</v>
      </c>
      <c r="Q635" s="24" t="n">
        <f aca="false">IF(O635=1,1/(1+EXP(-(P635-Inputs!$B$12)/Inputs!$B$13)),0)</f>
        <v>0.0210413470204683</v>
      </c>
      <c r="R635" s="24" t="n">
        <f aca="false">N635*O635</f>
        <v>0.0528084478592797</v>
      </c>
      <c r="S635" s="12" t="n">
        <f aca="false">N635*Q635</f>
        <v>0.00111116087701941</v>
      </c>
      <c r="T635" s="24" t="n">
        <f aca="false">N635^2</f>
        <v>0.00278873216530626</v>
      </c>
    </row>
    <row r="636" customFormat="false" ht="15" hidden="false" customHeight="false" outlineLevel="0" collapsed="false">
      <c r="A636" s="5" t="s">
        <v>888</v>
      </c>
      <c r="B636" s="5" t="s">
        <v>201</v>
      </c>
      <c r="C636" s="5" t="s">
        <v>58</v>
      </c>
      <c r="D636" s="5" t="s">
        <v>62</v>
      </c>
      <c r="E636" s="5" t="s">
        <v>72</v>
      </c>
      <c r="F636" s="26" t="n">
        <v>33.99</v>
      </c>
      <c r="G636" s="26" t="n">
        <v>30.28</v>
      </c>
      <c r="H636" s="30" t="n">
        <v>1.129</v>
      </c>
      <c r="I636" s="28" t="n">
        <f aca="false">H636*G636/3.6</f>
        <v>9.49614444444445</v>
      </c>
      <c r="J636" s="30" t="n">
        <v>5.83</v>
      </c>
      <c r="K636" s="30" t="n">
        <v>1.37</v>
      </c>
      <c r="L636" s="30" t="n">
        <v>1.169</v>
      </c>
      <c r="M636" s="30" t="n">
        <v>3.82</v>
      </c>
      <c r="N636" s="25" t="n">
        <v>1.05687801942807</v>
      </c>
      <c r="O636" s="17" t="n">
        <v>0</v>
      </c>
      <c r="P636" s="26" t="n">
        <v>0</v>
      </c>
      <c r="Q636" s="24" t="n">
        <f aca="false">IF(O636=1,1/(1+EXP(-(P636-Inputs!$B$12)/Inputs!$B$13)),0)</f>
        <v>0</v>
      </c>
      <c r="R636" s="24" t="n">
        <f aca="false">N636*O636</f>
        <v>0</v>
      </c>
      <c r="S636" s="12" t="n">
        <f aca="false">N636*Q636</f>
        <v>0</v>
      </c>
      <c r="T636" s="24" t="n">
        <f aca="false">N636^2</f>
        <v>1.11699114795019</v>
      </c>
    </row>
    <row r="637" customFormat="false" ht="15" hidden="false" customHeight="false" outlineLevel="0" collapsed="false">
      <c r="A637" s="5" t="s">
        <v>889</v>
      </c>
      <c r="B637" s="5" t="s">
        <v>201</v>
      </c>
      <c r="C637" s="5" t="s">
        <v>58</v>
      </c>
      <c r="D637" s="5" t="s">
        <v>62</v>
      </c>
      <c r="E637" s="5" t="s">
        <v>72</v>
      </c>
      <c r="F637" s="26" t="n">
        <v>22.84</v>
      </c>
      <c r="G637" s="26" t="n">
        <v>24.56</v>
      </c>
      <c r="H637" s="30" t="n">
        <v>1.122</v>
      </c>
      <c r="I637" s="28" t="n">
        <f aca="false">H637*G637/3.6</f>
        <v>7.65453333333333</v>
      </c>
      <c r="J637" s="30" t="n">
        <v>5.2</v>
      </c>
      <c r="K637" s="30" t="n">
        <v>2.184</v>
      </c>
      <c r="L637" s="30" t="n">
        <v>2.052</v>
      </c>
      <c r="M637" s="30" t="n">
        <v>3.55</v>
      </c>
      <c r="N637" s="25" t="n">
        <v>0.0983498418265625</v>
      </c>
      <c r="O637" s="17" t="n">
        <v>1</v>
      </c>
      <c r="P637" s="26" t="n">
        <v>24.56</v>
      </c>
      <c r="Q637" s="24" t="n">
        <f aca="false">IF(O637=1,1/(1+EXP(-(P637-Inputs!$B$12)/Inputs!$B$13)),0)</f>
        <v>0.0511737009170916</v>
      </c>
      <c r="R637" s="24" t="n">
        <f aca="false">N637*O637</f>
        <v>0.0983498418265625</v>
      </c>
      <c r="S637" s="12" t="n">
        <f aca="false">N637*Q637</f>
        <v>0.00503292539087578</v>
      </c>
      <c r="T637" s="24" t="n">
        <f aca="false">N637^2</f>
        <v>0.00967269138730986</v>
      </c>
    </row>
    <row r="638" customFormat="false" ht="15" hidden="false" customHeight="false" outlineLevel="0" collapsed="false">
      <c r="A638" s="5" t="s">
        <v>890</v>
      </c>
      <c r="B638" s="5" t="s">
        <v>201</v>
      </c>
      <c r="C638" s="5" t="s">
        <v>58</v>
      </c>
      <c r="D638" s="5" t="s">
        <v>62</v>
      </c>
      <c r="E638" s="5" t="s">
        <v>72</v>
      </c>
      <c r="F638" s="26" t="n">
        <v>21.07</v>
      </c>
      <c r="G638" s="26" t="n">
        <v>22.34</v>
      </c>
      <c r="H638" s="30" t="n">
        <v>1.071</v>
      </c>
      <c r="I638" s="28" t="n">
        <f aca="false">H638*G638/3.6</f>
        <v>6.64615</v>
      </c>
      <c r="J638" s="30" t="n">
        <v>2.83</v>
      </c>
      <c r="K638" s="30" t="n">
        <v>0.868</v>
      </c>
      <c r="L638" s="30" t="n">
        <v>1.854</v>
      </c>
      <c r="M638" s="30" t="n">
        <v>3.81</v>
      </c>
      <c r="N638" s="25" t="n">
        <v>0.612083077228469</v>
      </c>
      <c r="O638" s="17" t="n">
        <v>0</v>
      </c>
      <c r="P638" s="26" t="n">
        <v>0</v>
      </c>
      <c r="Q638" s="24" t="n">
        <f aca="false">IF(O638=1,1/(1+EXP(-(P638-Inputs!$B$12)/Inputs!$B$13)),0)</f>
        <v>0</v>
      </c>
      <c r="R638" s="24" t="n">
        <f aca="false">N638*O638</f>
        <v>0</v>
      </c>
      <c r="S638" s="12" t="n">
        <f aca="false">N638*Q638</f>
        <v>0</v>
      </c>
      <c r="T638" s="24" t="n">
        <f aca="false">N638^2</f>
        <v>0.374645693429472</v>
      </c>
    </row>
    <row r="639" customFormat="false" ht="15" hidden="false" customHeight="false" outlineLevel="0" collapsed="false">
      <c r="A639" s="5" t="s">
        <v>891</v>
      </c>
      <c r="B639" s="5" t="s">
        <v>201</v>
      </c>
      <c r="C639" s="5" t="s">
        <v>58</v>
      </c>
      <c r="D639" s="5" t="s">
        <v>62</v>
      </c>
      <c r="E639" s="5" t="s">
        <v>72</v>
      </c>
      <c r="F639" s="26" t="n">
        <v>27.21</v>
      </c>
      <c r="G639" s="26" t="n">
        <v>29.58</v>
      </c>
      <c r="H639" s="30" t="n">
        <v>1.169</v>
      </c>
      <c r="I639" s="28" t="n">
        <f aca="false">H639*G639/3.6</f>
        <v>9.60528333333333</v>
      </c>
      <c r="J639" s="30" t="n">
        <v>5.44</v>
      </c>
      <c r="K639" s="30" t="n">
        <v>0.795</v>
      </c>
      <c r="L639" s="30" t="n">
        <v>2.146</v>
      </c>
      <c r="M639" s="30" t="n">
        <v>5.99</v>
      </c>
      <c r="N639" s="25" t="n">
        <v>0.151030013948478</v>
      </c>
      <c r="O639" s="17" t="n">
        <v>1</v>
      </c>
      <c r="P639" s="26" t="n">
        <v>15.45</v>
      </c>
      <c r="Q639" s="24" t="n">
        <f aca="false">IF(O639=1,1/(1+EXP(-(P639-Inputs!$B$12)/Inputs!$B$13)),0)</f>
        <v>0.0144653440108996</v>
      </c>
      <c r="R639" s="24" t="n">
        <f aca="false">N639*O639</f>
        <v>0.151030013948478</v>
      </c>
      <c r="S639" s="12" t="n">
        <f aca="false">N639*Q639</f>
        <v>0.00218470110773569</v>
      </c>
      <c r="T639" s="24" t="n">
        <f aca="false">N639^2</f>
        <v>0.0228100651132774</v>
      </c>
    </row>
    <row r="640" customFormat="false" ht="15" hidden="false" customHeight="false" outlineLevel="0" collapsed="false">
      <c r="A640" s="5" t="s">
        <v>892</v>
      </c>
      <c r="B640" s="5" t="s">
        <v>201</v>
      </c>
      <c r="C640" s="5" t="s">
        <v>58</v>
      </c>
      <c r="D640" s="5" t="s">
        <v>62</v>
      </c>
      <c r="E640" s="5" t="s">
        <v>72</v>
      </c>
      <c r="F640" s="26" t="n">
        <v>23.39</v>
      </c>
      <c r="G640" s="26" t="n">
        <v>26.04</v>
      </c>
      <c r="H640" s="30" t="n">
        <v>1.193</v>
      </c>
      <c r="I640" s="28" t="n">
        <f aca="false">H640*G640/3.6</f>
        <v>8.62936666666667</v>
      </c>
      <c r="J640" s="30" t="n">
        <v>5.06</v>
      </c>
      <c r="K640" s="30" t="n">
        <v>1.375</v>
      </c>
      <c r="L640" s="30" t="n">
        <v>1.172</v>
      </c>
      <c r="M640" s="30" t="n">
        <v>7.66</v>
      </c>
      <c r="N640" s="25" t="n">
        <v>0.410974962466579</v>
      </c>
      <c r="O640" s="17" t="n">
        <v>0</v>
      </c>
      <c r="P640" s="26" t="n">
        <v>0</v>
      </c>
      <c r="Q640" s="24" t="n">
        <f aca="false">IF(O640=1,1/(1+EXP(-(P640-Inputs!$B$12)/Inputs!$B$13)),0)</f>
        <v>0</v>
      </c>
      <c r="R640" s="24" t="n">
        <f aca="false">N640*O640</f>
        <v>0</v>
      </c>
      <c r="S640" s="12" t="n">
        <f aca="false">N640*Q640</f>
        <v>0</v>
      </c>
      <c r="T640" s="24" t="n">
        <f aca="false">N640^2</f>
        <v>0.168900419774406</v>
      </c>
    </row>
    <row r="641" customFormat="false" ht="15" hidden="false" customHeight="false" outlineLevel="0" collapsed="false">
      <c r="A641" s="5" t="s">
        <v>893</v>
      </c>
      <c r="B641" s="5" t="s">
        <v>201</v>
      </c>
      <c r="C641" s="5" t="s">
        <v>58</v>
      </c>
      <c r="D641" s="5" t="s">
        <v>62</v>
      </c>
      <c r="E641" s="5" t="s">
        <v>72</v>
      </c>
      <c r="F641" s="26" t="n">
        <v>31.1</v>
      </c>
      <c r="G641" s="26" t="n">
        <v>32.29</v>
      </c>
      <c r="H641" s="30" t="n">
        <v>1.167</v>
      </c>
      <c r="I641" s="28" t="n">
        <f aca="false">H641*G641/3.6</f>
        <v>10.4673416666667</v>
      </c>
      <c r="J641" s="30" t="n">
        <v>3.41</v>
      </c>
      <c r="K641" s="30" t="n">
        <v>1.555</v>
      </c>
      <c r="L641" s="30" t="n">
        <v>2.167</v>
      </c>
      <c r="M641" s="30" t="n">
        <v>5.98</v>
      </c>
      <c r="N641" s="25" t="n">
        <v>0.0378787050128668</v>
      </c>
      <c r="O641" s="17" t="n">
        <v>1</v>
      </c>
      <c r="P641" s="26" t="n">
        <v>6.77</v>
      </c>
      <c r="Q641" s="24" t="n">
        <f aca="false">IF(O641=1,1/(1+EXP(-(P641-Inputs!$B$12)/Inputs!$B$13)),0)</f>
        <v>0.00422951876342774</v>
      </c>
      <c r="R641" s="24" t="n">
        <f aca="false">N641*O641</f>
        <v>0.0378787050128668</v>
      </c>
      <c r="S641" s="12" t="n">
        <f aca="false">N641*Q641</f>
        <v>0.000160208693586264</v>
      </c>
      <c r="T641" s="24" t="n">
        <f aca="false">N641^2</f>
        <v>0.00143479629345178</v>
      </c>
    </row>
    <row r="642" customFormat="false" ht="15" hidden="false" customHeight="false" outlineLevel="0" collapsed="false">
      <c r="A642" s="5" t="s">
        <v>894</v>
      </c>
      <c r="B642" s="5" t="s">
        <v>201</v>
      </c>
      <c r="C642" s="5" t="s">
        <v>58</v>
      </c>
      <c r="D642" s="5" t="s">
        <v>62</v>
      </c>
      <c r="E642" s="5" t="s">
        <v>72</v>
      </c>
      <c r="F642" s="26" t="n">
        <v>27.49</v>
      </c>
      <c r="G642" s="26" t="n">
        <v>26.83</v>
      </c>
      <c r="H642" s="30" t="n">
        <v>1.126</v>
      </c>
      <c r="I642" s="28" t="n">
        <f aca="false">H642*G642/3.6</f>
        <v>8.39182777777778</v>
      </c>
      <c r="J642" s="30" t="n">
        <v>5.54</v>
      </c>
      <c r="K642" s="30" t="n">
        <v>1.268</v>
      </c>
      <c r="L642" s="30" t="n">
        <v>1.667</v>
      </c>
      <c r="M642" s="30" t="n">
        <v>5.4</v>
      </c>
      <c r="N642" s="25" t="n">
        <v>0.229858829233993</v>
      </c>
      <c r="O642" s="17" t="n">
        <v>1</v>
      </c>
      <c r="P642" s="26" t="n">
        <v>20.19</v>
      </c>
      <c r="Q642" s="24" t="n">
        <f aca="false">IF(O642=1,1/(1+EXP(-(P642-Inputs!$B$12)/Inputs!$B$13)),0)</f>
        <v>0.0280780951997829</v>
      </c>
      <c r="R642" s="24" t="n">
        <f aca="false">N642*O642</f>
        <v>0.229858829233993</v>
      </c>
      <c r="S642" s="12" t="n">
        <f aca="false">N642*Q642</f>
        <v>0.00645399808974269</v>
      </c>
      <c r="T642" s="24" t="n">
        <f aca="false">N642^2</f>
        <v>0.0528350813768221</v>
      </c>
    </row>
    <row r="643" customFormat="false" ht="15" hidden="false" customHeight="false" outlineLevel="0" collapsed="false">
      <c r="A643" s="5" t="s">
        <v>895</v>
      </c>
      <c r="B643" s="5" t="s">
        <v>201</v>
      </c>
      <c r="C643" s="5" t="s">
        <v>58</v>
      </c>
      <c r="D643" s="5" t="s">
        <v>62</v>
      </c>
      <c r="E643" s="5" t="s">
        <v>72</v>
      </c>
      <c r="F643" s="26" t="n">
        <v>33.69</v>
      </c>
      <c r="G643" s="26" t="n">
        <v>34.31</v>
      </c>
      <c r="H643" s="30" t="n">
        <v>1.342</v>
      </c>
      <c r="I643" s="28" t="n">
        <f aca="false">H643*G643/3.6</f>
        <v>12.7900055555556</v>
      </c>
      <c r="J643" s="30" t="n">
        <v>3.21</v>
      </c>
      <c r="K643" s="30" t="n">
        <v>0.77</v>
      </c>
      <c r="L643" s="30" t="n">
        <v>1.502</v>
      </c>
      <c r="M643" s="30" t="n">
        <v>6.54</v>
      </c>
      <c r="N643" s="25" t="n">
        <v>0.997135799497103</v>
      </c>
      <c r="O643" s="17" t="n">
        <v>0</v>
      </c>
      <c r="P643" s="26" t="n">
        <v>0</v>
      </c>
      <c r="Q643" s="24" t="n">
        <f aca="false">IF(O643=1,1/(1+EXP(-(P643-Inputs!$B$12)/Inputs!$B$13)),0)</f>
        <v>0</v>
      </c>
      <c r="R643" s="24" t="n">
        <f aca="false">N643*O643</f>
        <v>0</v>
      </c>
      <c r="S643" s="12" t="n">
        <f aca="false">N643*Q643</f>
        <v>0</v>
      </c>
      <c r="T643" s="24" t="n">
        <f aca="false">N643^2</f>
        <v>0.994279802638727</v>
      </c>
    </row>
    <row r="644" customFormat="false" ht="15" hidden="false" customHeight="false" outlineLevel="0" collapsed="false">
      <c r="A644" s="5" t="s">
        <v>896</v>
      </c>
      <c r="B644" s="5" t="s">
        <v>201</v>
      </c>
      <c r="C644" s="5" t="s">
        <v>58</v>
      </c>
      <c r="D644" s="5" t="s">
        <v>62</v>
      </c>
      <c r="E644" s="5" t="s">
        <v>72</v>
      </c>
      <c r="F644" s="26" t="n">
        <v>29.5</v>
      </c>
      <c r="G644" s="26" t="n">
        <v>27.34</v>
      </c>
      <c r="H644" s="30" t="n">
        <v>1.19</v>
      </c>
      <c r="I644" s="28" t="n">
        <f aca="false">H644*G644/3.6</f>
        <v>9.03738888888889</v>
      </c>
      <c r="J644" s="30" t="n">
        <v>2.54</v>
      </c>
      <c r="K644" s="30" t="n">
        <v>1.012</v>
      </c>
      <c r="L644" s="30" t="n">
        <v>1.439</v>
      </c>
      <c r="M644" s="30" t="n">
        <v>5.52</v>
      </c>
      <c r="N644" s="25" t="n">
        <v>0.644145029113898</v>
      </c>
      <c r="O644" s="17" t="n">
        <v>0</v>
      </c>
      <c r="P644" s="26" t="n">
        <v>0</v>
      </c>
      <c r="Q644" s="24" t="n">
        <f aca="false">IF(O644=1,1/(1+EXP(-(P644-Inputs!$B$12)/Inputs!$B$13)),0)</f>
        <v>0</v>
      </c>
      <c r="R644" s="24" t="n">
        <f aca="false">N644*O644</f>
        <v>0</v>
      </c>
      <c r="S644" s="12" t="n">
        <f aca="false">N644*Q644</f>
        <v>0</v>
      </c>
      <c r="T644" s="24" t="n">
        <f aca="false">N644^2</f>
        <v>0.414922818532144</v>
      </c>
    </row>
    <row r="645" customFormat="false" ht="15" hidden="false" customHeight="false" outlineLevel="0" collapsed="false">
      <c r="A645" s="5" t="s">
        <v>897</v>
      </c>
      <c r="B645" s="5" t="s">
        <v>201</v>
      </c>
      <c r="C645" s="5" t="s">
        <v>58</v>
      </c>
      <c r="D645" s="5" t="s">
        <v>62</v>
      </c>
      <c r="E645" s="5" t="s">
        <v>72</v>
      </c>
      <c r="F645" s="26" t="n">
        <v>30.66</v>
      </c>
      <c r="G645" s="26" t="n">
        <v>28.89</v>
      </c>
      <c r="H645" s="30" t="n">
        <v>1.088</v>
      </c>
      <c r="I645" s="28" t="n">
        <f aca="false">H645*G645/3.6</f>
        <v>8.7312</v>
      </c>
      <c r="J645" s="30" t="n">
        <v>2.62</v>
      </c>
      <c r="K645" s="30" t="n">
        <v>1.958</v>
      </c>
      <c r="L645" s="30" t="n">
        <v>2.86</v>
      </c>
      <c r="M645" s="30" t="n">
        <v>5.35</v>
      </c>
      <c r="N645" s="25" t="n">
        <v>0.00575652365349184</v>
      </c>
      <c r="O645" s="17" t="n">
        <v>1</v>
      </c>
      <c r="P645" s="26" t="n">
        <v>14.58</v>
      </c>
      <c r="Q645" s="24" t="n">
        <f aca="false">IF(O645=1,1/(1+EXP(-(P645-Inputs!$B$12)/Inputs!$B$13)),0)</f>
        <v>0.012796376411579</v>
      </c>
      <c r="R645" s="24" t="n">
        <f aca="false">N645*O645</f>
        <v>0.00575652365349184</v>
      </c>
      <c r="S645" s="12" t="n">
        <f aca="false">N645*Q645</f>
        <v>7.36626434922397E-005</v>
      </c>
      <c r="T645" s="24" t="n">
        <f aca="false">N645^2</f>
        <v>3.3137564573211E-005</v>
      </c>
    </row>
    <row r="646" customFormat="false" ht="15" hidden="false" customHeight="false" outlineLevel="0" collapsed="false">
      <c r="A646" s="5" t="s">
        <v>898</v>
      </c>
      <c r="B646" s="5" t="s">
        <v>202</v>
      </c>
      <c r="C646" s="5" t="s">
        <v>58</v>
      </c>
      <c r="D646" s="5" t="s">
        <v>62</v>
      </c>
      <c r="E646" s="5" t="s">
        <v>73</v>
      </c>
      <c r="F646" s="26" t="n">
        <v>28.81</v>
      </c>
      <c r="G646" s="26" t="n">
        <v>25.73</v>
      </c>
      <c r="H646" s="30" t="n">
        <v>0.873</v>
      </c>
      <c r="I646" s="28" t="n">
        <f aca="false">H646*G646/3.6</f>
        <v>6.239525</v>
      </c>
      <c r="J646" s="30" t="n">
        <v>4.87</v>
      </c>
      <c r="K646" s="30" t="n">
        <v>1.623</v>
      </c>
      <c r="L646" s="30" t="n">
        <v>1.446</v>
      </c>
      <c r="M646" s="30" t="n">
        <v>5.96</v>
      </c>
      <c r="N646" s="25" t="n">
        <v>0.434001637310573</v>
      </c>
      <c r="O646" s="17" t="n">
        <v>1</v>
      </c>
      <c r="P646" s="26" t="n">
        <v>16.47</v>
      </c>
      <c r="Q646" s="24" t="n">
        <f aca="false">IF(O646=1,1/(1+EXP(-(P646-Inputs!$B$12)/Inputs!$B$13)),0)</f>
        <v>0.0166965725482665</v>
      </c>
      <c r="R646" s="24" t="n">
        <f aca="false">N646*O646</f>
        <v>0.434001637310573</v>
      </c>
      <c r="S646" s="12" t="n">
        <f aca="false">N646*Q646</f>
        <v>0.00724633982342244</v>
      </c>
      <c r="T646" s="24" t="n">
        <f aca="false">N646^2</f>
        <v>0.188357421188258</v>
      </c>
    </row>
    <row r="647" customFormat="false" ht="15" hidden="false" customHeight="false" outlineLevel="0" collapsed="false">
      <c r="A647" s="5" t="s">
        <v>899</v>
      </c>
      <c r="B647" s="5" t="s">
        <v>202</v>
      </c>
      <c r="C647" s="5" t="s">
        <v>58</v>
      </c>
      <c r="D647" s="5" t="s">
        <v>62</v>
      </c>
      <c r="E647" s="5" t="s">
        <v>73</v>
      </c>
      <c r="F647" s="26" t="n">
        <v>34.2</v>
      </c>
      <c r="G647" s="26" t="n">
        <v>35.39</v>
      </c>
      <c r="H647" s="30" t="n">
        <v>0.631</v>
      </c>
      <c r="I647" s="28" t="n">
        <f aca="false">H647*G647/3.6</f>
        <v>6.20308055555556</v>
      </c>
      <c r="J647" s="30" t="n">
        <v>4.69</v>
      </c>
      <c r="K647" s="30" t="n">
        <v>1.641</v>
      </c>
      <c r="L647" s="30" t="n">
        <v>2.025</v>
      </c>
      <c r="M647" s="30" t="n">
        <v>6.34</v>
      </c>
      <c r="N647" s="25" t="n">
        <v>0.0406004686584163</v>
      </c>
      <c r="O647" s="17" t="n">
        <v>1</v>
      </c>
      <c r="P647" s="26" t="n">
        <v>27.51</v>
      </c>
      <c r="Q647" s="24" t="n">
        <f aca="false">IF(O647=1,1/(1+EXP(-(P647-Inputs!$B$12)/Inputs!$B$13)),0)</f>
        <v>0.0759583888889393</v>
      </c>
      <c r="R647" s="24" t="n">
        <f aca="false">N647*O647</f>
        <v>0.0406004686584163</v>
      </c>
      <c r="S647" s="12" t="n">
        <f aca="false">N647*Q647</f>
        <v>0.00308394618742917</v>
      </c>
      <c r="T647" s="24" t="n">
        <f aca="false">N647^2</f>
        <v>0.00164839805528304</v>
      </c>
    </row>
    <row r="648" customFormat="false" ht="15" hidden="false" customHeight="false" outlineLevel="0" collapsed="false">
      <c r="A648" s="5" t="s">
        <v>900</v>
      </c>
      <c r="B648" s="5" t="s">
        <v>202</v>
      </c>
      <c r="C648" s="5" t="s">
        <v>58</v>
      </c>
      <c r="D648" s="5" t="s">
        <v>62</v>
      </c>
      <c r="E648" s="5" t="s">
        <v>73</v>
      </c>
      <c r="F648" s="26" t="n">
        <v>25.63</v>
      </c>
      <c r="G648" s="26" t="n">
        <v>26.53</v>
      </c>
      <c r="H648" s="30" t="n">
        <v>0.593</v>
      </c>
      <c r="I648" s="28" t="n">
        <f aca="false">H648*G648/3.6</f>
        <v>4.37008055555556</v>
      </c>
      <c r="J648" s="30" t="n">
        <v>4.91</v>
      </c>
      <c r="K648" s="30" t="n">
        <v>2.696</v>
      </c>
      <c r="L648" s="30" t="n">
        <v>1.779</v>
      </c>
      <c r="M648" s="30" t="n">
        <v>4.8</v>
      </c>
      <c r="N648" s="25" t="n">
        <v>0.0484309858028423</v>
      </c>
      <c r="O648" s="17" t="n">
        <v>1</v>
      </c>
      <c r="P648" s="26" t="n">
        <v>23.53</v>
      </c>
      <c r="Q648" s="24" t="n">
        <f aca="false">IF(O648=1,1/(1+EXP(-(P648-Inputs!$B$12)/Inputs!$B$13)),0)</f>
        <v>0.0444831106982402</v>
      </c>
      <c r="R648" s="24" t="n">
        <f aca="false">N648*O648</f>
        <v>0.0484309858028423</v>
      </c>
      <c r="S648" s="12" t="n">
        <f aca="false">N648*Q648</f>
        <v>0.00215436090269274</v>
      </c>
      <c r="T648" s="24" t="n">
        <f aca="false">N648^2</f>
        <v>0.00234556038583511</v>
      </c>
    </row>
    <row r="649" customFormat="false" ht="15" hidden="false" customHeight="false" outlineLevel="0" collapsed="false">
      <c r="A649" s="5" t="s">
        <v>901</v>
      </c>
      <c r="B649" s="5" t="s">
        <v>202</v>
      </c>
      <c r="C649" s="5" t="s">
        <v>58</v>
      </c>
      <c r="D649" s="5" t="s">
        <v>62</v>
      </c>
      <c r="E649" s="5" t="s">
        <v>73</v>
      </c>
      <c r="F649" s="26" t="n">
        <v>29.94</v>
      </c>
      <c r="G649" s="26" t="n">
        <v>33.06</v>
      </c>
      <c r="H649" s="30" t="n">
        <v>0.549</v>
      </c>
      <c r="I649" s="28" t="n">
        <f aca="false">H649*G649/3.6</f>
        <v>5.04165</v>
      </c>
      <c r="J649" s="30" t="n">
        <v>5.91</v>
      </c>
      <c r="K649" s="30" t="n">
        <v>1.623</v>
      </c>
      <c r="L649" s="30" t="n">
        <v>2.199</v>
      </c>
      <c r="M649" s="30" t="n">
        <v>5.46</v>
      </c>
      <c r="N649" s="25" t="n">
        <v>0.0389680628301458</v>
      </c>
      <c r="O649" s="17" t="n">
        <v>1</v>
      </c>
      <c r="P649" s="26" t="n">
        <v>28</v>
      </c>
      <c r="Q649" s="24" t="n">
        <f aca="false">IF(O649=1,1/(1+EXP(-(P649-Inputs!$B$12)/Inputs!$B$13)),0)</f>
        <v>0.0810197686653079</v>
      </c>
      <c r="R649" s="24" t="n">
        <f aca="false">N649*O649</f>
        <v>0.0389680628301458</v>
      </c>
      <c r="S649" s="12" t="n">
        <f aca="false">N649*Q649</f>
        <v>0.00315718343583359</v>
      </c>
      <c r="T649" s="24" t="n">
        <f aca="false">N649^2</f>
        <v>0.00151850992073419</v>
      </c>
    </row>
    <row r="650" customFormat="false" ht="15" hidden="false" customHeight="false" outlineLevel="0" collapsed="false">
      <c r="A650" s="5" t="s">
        <v>902</v>
      </c>
      <c r="B650" s="5" t="s">
        <v>202</v>
      </c>
      <c r="C650" s="5" t="s">
        <v>58</v>
      </c>
      <c r="D650" s="5" t="s">
        <v>62</v>
      </c>
      <c r="E650" s="5" t="s">
        <v>73</v>
      </c>
      <c r="F650" s="26" t="n">
        <v>21.13</v>
      </c>
      <c r="G650" s="26" t="n">
        <v>20.71</v>
      </c>
      <c r="H650" s="30" t="n">
        <v>0.778</v>
      </c>
      <c r="I650" s="28" t="n">
        <f aca="false">H650*G650/3.6</f>
        <v>4.47566111111111</v>
      </c>
      <c r="J650" s="30" t="n">
        <v>5.47</v>
      </c>
      <c r="K650" s="30" t="n">
        <v>1.321</v>
      </c>
      <c r="L650" s="30" t="n">
        <v>2.336</v>
      </c>
      <c r="M650" s="30" t="n">
        <v>4.35</v>
      </c>
      <c r="N650" s="25" t="n">
        <v>0.0904535456284581</v>
      </c>
      <c r="O650" s="17" t="n">
        <v>1</v>
      </c>
      <c r="P650" s="26" t="n">
        <v>20.71</v>
      </c>
      <c r="Q650" s="24" t="n">
        <f aca="false">IF(O650=1,1/(1+EXP(-(P650-Inputs!$B$12)/Inputs!$B$13)),0)</f>
        <v>0.0301779814858759</v>
      </c>
      <c r="R650" s="24" t="n">
        <f aca="false">N650*O650</f>
        <v>0.0904535456284581</v>
      </c>
      <c r="S650" s="12" t="n">
        <f aca="false">N650*Q650</f>
        <v>0.00272970542530744</v>
      </c>
      <c r="T650" s="24" t="n">
        <f aca="false">N650^2</f>
        <v>0.00818184391675954</v>
      </c>
    </row>
    <row r="651" customFormat="false" ht="15" hidden="false" customHeight="false" outlineLevel="0" collapsed="false">
      <c r="A651" s="5" t="s">
        <v>903</v>
      </c>
      <c r="B651" s="5" t="s">
        <v>202</v>
      </c>
      <c r="C651" s="5" t="s">
        <v>58</v>
      </c>
      <c r="D651" s="5" t="s">
        <v>62</v>
      </c>
      <c r="E651" s="5" t="s">
        <v>73</v>
      </c>
      <c r="F651" s="26" t="n">
        <v>32.32</v>
      </c>
      <c r="G651" s="26" t="n">
        <v>32.84</v>
      </c>
      <c r="H651" s="30" t="n">
        <v>0.676</v>
      </c>
      <c r="I651" s="28" t="n">
        <f aca="false">H651*G651/3.6</f>
        <v>6.16662222222222</v>
      </c>
      <c r="J651" s="30" t="n">
        <v>4.46</v>
      </c>
      <c r="K651" s="30" t="n">
        <v>1.372</v>
      </c>
      <c r="L651" s="30" t="n">
        <v>0.668</v>
      </c>
      <c r="M651" s="30" t="n">
        <v>7.85</v>
      </c>
      <c r="N651" s="25" t="n">
        <v>1.01514861087407</v>
      </c>
      <c r="O651" s="17" t="n">
        <v>0</v>
      </c>
      <c r="P651" s="26" t="n">
        <v>0</v>
      </c>
      <c r="Q651" s="24" t="n">
        <f aca="false">IF(O651=1,1/(1+EXP(-(P651-Inputs!$B$12)/Inputs!$B$13)),0)</f>
        <v>0</v>
      </c>
      <c r="R651" s="24" t="n">
        <f aca="false">N651*O651</f>
        <v>0</v>
      </c>
      <c r="S651" s="12" t="n">
        <f aca="false">N651*Q651</f>
        <v>0</v>
      </c>
      <c r="T651" s="24" t="n">
        <f aca="false">N651^2</f>
        <v>1.03052670215954</v>
      </c>
    </row>
    <row r="652" customFormat="false" ht="15" hidden="false" customHeight="false" outlineLevel="0" collapsed="false">
      <c r="A652" s="5" t="s">
        <v>904</v>
      </c>
      <c r="B652" s="5" t="s">
        <v>202</v>
      </c>
      <c r="C652" s="5" t="s">
        <v>58</v>
      </c>
      <c r="D652" s="5" t="s">
        <v>62</v>
      </c>
      <c r="E652" s="5" t="s">
        <v>73</v>
      </c>
      <c r="F652" s="26" t="n">
        <v>23.87</v>
      </c>
      <c r="G652" s="26" t="n">
        <v>21.96</v>
      </c>
      <c r="H652" s="30" t="n">
        <v>0.733</v>
      </c>
      <c r="I652" s="28" t="n">
        <f aca="false">H652*G652/3.6</f>
        <v>4.4713</v>
      </c>
      <c r="J652" s="30" t="n">
        <v>4.32</v>
      </c>
      <c r="K652" s="30" t="n">
        <v>0.772</v>
      </c>
      <c r="L652" s="30" t="n">
        <v>1.472</v>
      </c>
      <c r="M652" s="30" t="n">
        <v>5.06</v>
      </c>
      <c r="N652" s="25" t="n">
        <v>1.32273997607471</v>
      </c>
      <c r="O652" s="17" t="n">
        <v>0</v>
      </c>
      <c r="P652" s="26" t="n">
        <v>0</v>
      </c>
      <c r="Q652" s="24" t="n">
        <f aca="false">IF(O652=1,1/(1+EXP(-(P652-Inputs!$B$12)/Inputs!$B$13)),0)</f>
        <v>0</v>
      </c>
      <c r="R652" s="24" t="n">
        <f aca="false">N652*O652</f>
        <v>0</v>
      </c>
      <c r="S652" s="12" t="n">
        <f aca="false">N652*Q652</f>
        <v>0</v>
      </c>
      <c r="T652" s="24" t="n">
        <f aca="false">N652^2</f>
        <v>1.74964104430612</v>
      </c>
    </row>
    <row r="653" customFormat="false" ht="15" hidden="false" customHeight="false" outlineLevel="0" collapsed="false">
      <c r="A653" s="5" t="s">
        <v>905</v>
      </c>
      <c r="B653" s="5" t="s">
        <v>202</v>
      </c>
      <c r="C653" s="5" t="s">
        <v>58</v>
      </c>
      <c r="D653" s="5" t="s">
        <v>62</v>
      </c>
      <c r="E653" s="5" t="s">
        <v>73</v>
      </c>
      <c r="F653" s="26" t="n">
        <v>28.7</v>
      </c>
      <c r="G653" s="26" t="n">
        <v>27.67</v>
      </c>
      <c r="H653" s="30" t="n">
        <v>0.513</v>
      </c>
      <c r="I653" s="28" t="n">
        <f aca="false">H653*G653/3.6</f>
        <v>3.942975</v>
      </c>
      <c r="J653" s="30" t="n">
        <v>2.96</v>
      </c>
      <c r="K653" s="30" t="n">
        <v>0.736</v>
      </c>
      <c r="L653" s="30" t="n">
        <v>3.961</v>
      </c>
      <c r="M653" s="30" t="n">
        <v>4.17</v>
      </c>
      <c r="N653" s="25" t="n">
        <v>0.00944396194775573</v>
      </c>
      <c r="O653" s="17" t="n">
        <v>1</v>
      </c>
      <c r="P653" s="26" t="n">
        <v>6.85</v>
      </c>
      <c r="Q653" s="24" t="n">
        <f aca="false">IF(O653=1,1/(1+EXP(-(P653-Inputs!$B$12)/Inputs!$B$13)),0)</f>
        <v>0.00427792541970497</v>
      </c>
      <c r="R653" s="24" t="n">
        <f aca="false">N653*O653</f>
        <v>0.00944396194775573</v>
      </c>
      <c r="S653" s="12" t="n">
        <f aca="false">N653*Q653</f>
        <v>4.04005648790307E-005</v>
      </c>
      <c r="T653" s="24" t="n">
        <f aca="false">N653^2</f>
        <v>8.91884172706582E-005</v>
      </c>
    </row>
    <row r="654" customFormat="false" ht="15" hidden="false" customHeight="false" outlineLevel="0" collapsed="false">
      <c r="A654" s="5" t="s">
        <v>906</v>
      </c>
      <c r="B654" s="5" t="s">
        <v>202</v>
      </c>
      <c r="C654" s="5" t="s">
        <v>58</v>
      </c>
      <c r="D654" s="5" t="s">
        <v>62</v>
      </c>
      <c r="E654" s="5" t="s">
        <v>73</v>
      </c>
      <c r="F654" s="26" t="n">
        <v>29.12</v>
      </c>
      <c r="G654" s="26" t="n">
        <v>33.08</v>
      </c>
      <c r="H654" s="30" t="n">
        <v>0.565</v>
      </c>
      <c r="I654" s="28" t="n">
        <f aca="false">H654*G654/3.6</f>
        <v>5.19172222222222</v>
      </c>
      <c r="J654" s="30" t="n">
        <v>5.93</v>
      </c>
      <c r="K654" s="30" t="n">
        <v>1.055</v>
      </c>
      <c r="L654" s="30" t="n">
        <v>1.705</v>
      </c>
      <c r="M654" s="30" t="n">
        <v>5.13</v>
      </c>
      <c r="N654" s="25" t="n">
        <v>0.328363472674395</v>
      </c>
      <c r="O654" s="17" t="n">
        <v>1</v>
      </c>
      <c r="P654" s="26" t="n">
        <v>26.6</v>
      </c>
      <c r="Q654" s="24" t="n">
        <f aca="false">IF(O654=1,1/(1+EXP(-(P654-Inputs!$B$12)/Inputs!$B$13)),0)</f>
        <v>0.0673220949202242</v>
      </c>
      <c r="R654" s="24" t="n">
        <f aca="false">N654*O654</f>
        <v>0.328363472674395</v>
      </c>
      <c r="S654" s="12" t="n">
        <f aca="false">N654*Q654</f>
        <v>0.0221061168757201</v>
      </c>
      <c r="T654" s="24" t="n">
        <f aca="false">N654^2</f>
        <v>0.107822570186788</v>
      </c>
    </row>
    <row r="655" customFormat="false" ht="15" hidden="false" customHeight="false" outlineLevel="0" collapsed="false">
      <c r="A655" s="5" t="s">
        <v>907</v>
      </c>
      <c r="B655" s="5" t="s">
        <v>202</v>
      </c>
      <c r="C655" s="5" t="s">
        <v>58</v>
      </c>
      <c r="D655" s="5" t="s">
        <v>62</v>
      </c>
      <c r="E655" s="5" t="s">
        <v>73</v>
      </c>
      <c r="F655" s="26" t="n">
        <v>20.02</v>
      </c>
      <c r="G655" s="26" t="n">
        <v>18.18</v>
      </c>
      <c r="H655" s="30" t="n">
        <v>0.599</v>
      </c>
      <c r="I655" s="28" t="n">
        <f aca="false">H655*G655/3.6</f>
        <v>3.02495</v>
      </c>
      <c r="J655" s="30" t="n">
        <v>3.27</v>
      </c>
      <c r="K655" s="30" t="n">
        <v>2.078</v>
      </c>
      <c r="L655" s="30" t="n">
        <v>1.563</v>
      </c>
      <c r="M655" s="30" t="n">
        <v>3.9</v>
      </c>
      <c r="N655" s="25" t="n">
        <v>0.21862488084934</v>
      </c>
      <c r="O655" s="17" t="n">
        <v>1</v>
      </c>
      <c r="P655" s="26" t="n">
        <v>16.07</v>
      </c>
      <c r="Q655" s="24" t="n">
        <f aca="false">IF(O655=1,1/(1+EXP(-(P655-Inputs!$B$12)/Inputs!$B$13)),0)</f>
        <v>0.0157838675437703</v>
      </c>
      <c r="R655" s="24" t="n">
        <f aca="false">N655*O655</f>
        <v>0.21862488084934</v>
      </c>
      <c r="S655" s="12" t="n">
        <f aca="false">N655*Q655</f>
        <v>0.00345074616109853</v>
      </c>
      <c r="T655" s="24" t="n">
        <f aca="false">N655^2</f>
        <v>0.0477968385263879</v>
      </c>
    </row>
    <row r="656" customFormat="false" ht="15" hidden="false" customHeight="false" outlineLevel="0" collapsed="false">
      <c r="A656" s="5" t="s">
        <v>908</v>
      </c>
      <c r="B656" s="5" t="s">
        <v>203</v>
      </c>
      <c r="C656" s="5" t="s">
        <v>58</v>
      </c>
      <c r="D656" s="5" t="s">
        <v>64</v>
      </c>
      <c r="E656" s="5" t="s">
        <v>68</v>
      </c>
      <c r="F656" s="26" t="n">
        <v>36.49</v>
      </c>
      <c r="G656" s="26" t="n">
        <v>34.91</v>
      </c>
      <c r="H656" s="30" t="n">
        <v>4.596</v>
      </c>
      <c r="I656" s="28" t="n">
        <f aca="false">H656*G656/3.6</f>
        <v>44.5684333333333</v>
      </c>
      <c r="J656" s="30" t="n">
        <v>5.07</v>
      </c>
      <c r="K656" s="30" t="n">
        <v>1.308</v>
      </c>
      <c r="L656" s="30" t="n">
        <v>1.043</v>
      </c>
      <c r="M656" s="30" t="n">
        <v>3.9</v>
      </c>
      <c r="N656" s="25" t="n">
        <v>2.21037968201499</v>
      </c>
      <c r="O656" s="17" t="n">
        <v>0</v>
      </c>
      <c r="P656" s="26" t="n">
        <v>0</v>
      </c>
      <c r="Q656" s="24" t="n">
        <f aca="false">IF(O656=1,1/(1+EXP(-(P656-Inputs!$B$12)/Inputs!$B$13)),0)</f>
        <v>0</v>
      </c>
      <c r="R656" s="24" t="n">
        <f aca="false">N656*O656</f>
        <v>0</v>
      </c>
      <c r="S656" s="12" t="n">
        <f aca="false">N656*Q656</f>
        <v>0</v>
      </c>
      <c r="T656" s="24" t="n">
        <f aca="false">N656^2</f>
        <v>4.88577833866469</v>
      </c>
    </row>
    <row r="657" customFormat="false" ht="15" hidden="false" customHeight="false" outlineLevel="0" collapsed="false">
      <c r="A657" s="5" t="s">
        <v>909</v>
      </c>
      <c r="B657" s="5" t="s">
        <v>203</v>
      </c>
      <c r="C657" s="5" t="s">
        <v>58</v>
      </c>
      <c r="D657" s="5" t="s">
        <v>64</v>
      </c>
      <c r="E657" s="5" t="s">
        <v>68</v>
      </c>
      <c r="F657" s="26" t="n">
        <v>51.97</v>
      </c>
      <c r="G657" s="26" t="n">
        <v>52.55</v>
      </c>
      <c r="H657" s="30" t="n">
        <v>4.809</v>
      </c>
      <c r="I657" s="28" t="n">
        <f aca="false">H657*G657/3.6</f>
        <v>70.1980416666667</v>
      </c>
      <c r="J657" s="30" t="n">
        <v>3.93</v>
      </c>
      <c r="K657" s="30" t="n">
        <v>0.637</v>
      </c>
      <c r="L657" s="30" t="n">
        <v>0.821</v>
      </c>
      <c r="M657" s="30" t="n">
        <v>7.92</v>
      </c>
      <c r="N657" s="25" t="n">
        <v>4.02866295238869</v>
      </c>
      <c r="O657" s="17" t="n">
        <v>0</v>
      </c>
      <c r="P657" s="26" t="n">
        <v>0</v>
      </c>
      <c r="Q657" s="24" t="n">
        <f aca="false">IF(O657=1,1/(1+EXP(-(P657-Inputs!$B$12)/Inputs!$B$13)),0)</f>
        <v>0</v>
      </c>
      <c r="R657" s="24" t="n">
        <f aca="false">N657*O657</f>
        <v>0</v>
      </c>
      <c r="S657" s="12" t="n">
        <f aca="false">N657*Q657</f>
        <v>0</v>
      </c>
      <c r="T657" s="24" t="n">
        <f aca="false">N657^2</f>
        <v>16.2301251839491</v>
      </c>
    </row>
    <row r="658" customFormat="false" ht="15" hidden="false" customHeight="false" outlineLevel="0" collapsed="false">
      <c r="A658" s="5" t="s">
        <v>910</v>
      </c>
      <c r="B658" s="5" t="s">
        <v>203</v>
      </c>
      <c r="C658" s="5" t="s">
        <v>58</v>
      </c>
      <c r="D658" s="5" t="s">
        <v>64</v>
      </c>
      <c r="E658" s="5" t="s">
        <v>68</v>
      </c>
      <c r="F658" s="26" t="n">
        <v>38.94</v>
      </c>
      <c r="G658" s="26" t="n">
        <v>39.41</v>
      </c>
      <c r="H658" s="30" t="n">
        <v>3.239</v>
      </c>
      <c r="I658" s="28" t="n">
        <f aca="false">H658*G658/3.6</f>
        <v>35.4580527777778</v>
      </c>
      <c r="J658" s="30" t="n">
        <v>3.4</v>
      </c>
      <c r="K658" s="30" t="n">
        <v>0.674</v>
      </c>
      <c r="L658" s="30" t="n">
        <v>1.365</v>
      </c>
      <c r="M658" s="30" t="n">
        <v>6.65</v>
      </c>
      <c r="N658" s="25" t="n">
        <v>1.31144144369995</v>
      </c>
      <c r="O658" s="17" t="n">
        <v>0</v>
      </c>
      <c r="P658" s="26" t="n">
        <v>0</v>
      </c>
      <c r="Q658" s="24" t="n">
        <f aca="false">IF(O658=1,1/(1+EXP(-(P658-Inputs!$B$12)/Inputs!$B$13)),0)</f>
        <v>0</v>
      </c>
      <c r="R658" s="24" t="n">
        <f aca="false">N658*O658</f>
        <v>0</v>
      </c>
      <c r="S658" s="12" t="n">
        <f aca="false">N658*Q658</f>
        <v>0</v>
      </c>
      <c r="T658" s="24" t="n">
        <f aca="false">N658^2</f>
        <v>1.7198786602538</v>
      </c>
    </row>
    <row r="659" customFormat="false" ht="15" hidden="false" customHeight="false" outlineLevel="0" collapsed="false">
      <c r="A659" s="5" t="s">
        <v>911</v>
      </c>
      <c r="B659" s="5" t="s">
        <v>203</v>
      </c>
      <c r="C659" s="5" t="s">
        <v>58</v>
      </c>
      <c r="D659" s="5" t="s">
        <v>64</v>
      </c>
      <c r="E659" s="5" t="s">
        <v>68</v>
      </c>
      <c r="F659" s="26" t="n">
        <v>49.91</v>
      </c>
      <c r="G659" s="26" t="n">
        <v>49.76</v>
      </c>
      <c r="H659" s="30" t="n">
        <v>4.065</v>
      </c>
      <c r="I659" s="28" t="n">
        <f aca="false">H659*G659/3.6</f>
        <v>56.1873333333333</v>
      </c>
      <c r="J659" s="30" t="n">
        <v>3.42</v>
      </c>
      <c r="K659" s="30" t="n">
        <v>1.592</v>
      </c>
      <c r="L659" s="30" t="n">
        <v>1.998</v>
      </c>
      <c r="M659" s="30" t="n">
        <v>6.73</v>
      </c>
      <c r="N659" s="25" t="n">
        <v>0.0438118525650182</v>
      </c>
      <c r="O659" s="17" t="n">
        <v>0</v>
      </c>
      <c r="P659" s="26" t="n">
        <v>0</v>
      </c>
      <c r="Q659" s="24" t="n">
        <f aca="false">IF(O659=1,1/(1+EXP(-(P659-Inputs!$B$12)/Inputs!$B$13)),0)</f>
        <v>0</v>
      </c>
      <c r="R659" s="24" t="n">
        <f aca="false">N659*O659</f>
        <v>0</v>
      </c>
      <c r="S659" s="12" t="n">
        <f aca="false">N659*Q659</f>
        <v>0</v>
      </c>
      <c r="T659" s="24" t="n">
        <f aca="false">N659^2</f>
        <v>0.0019194784251789</v>
      </c>
    </row>
    <row r="660" customFormat="false" ht="15" hidden="false" customHeight="false" outlineLevel="0" collapsed="false">
      <c r="A660" s="5" t="s">
        <v>912</v>
      </c>
      <c r="B660" s="5" t="s">
        <v>203</v>
      </c>
      <c r="C660" s="5" t="s">
        <v>58</v>
      </c>
      <c r="D660" s="5" t="s">
        <v>64</v>
      </c>
      <c r="E660" s="5" t="s">
        <v>68</v>
      </c>
      <c r="F660" s="26" t="n">
        <v>36</v>
      </c>
      <c r="G660" s="26" t="n">
        <v>38.67</v>
      </c>
      <c r="H660" s="30" t="n">
        <v>3.196</v>
      </c>
      <c r="I660" s="28" t="n">
        <f aca="false">H660*G660/3.6</f>
        <v>34.3303666666667</v>
      </c>
      <c r="J660" s="30" t="n">
        <v>5.28</v>
      </c>
      <c r="K660" s="30" t="n">
        <v>0.781</v>
      </c>
      <c r="L660" s="30" t="n">
        <v>0.688</v>
      </c>
      <c r="M660" s="30" t="n">
        <v>7.67</v>
      </c>
      <c r="N660" s="25" t="n">
        <v>3.87898608861537</v>
      </c>
      <c r="O660" s="17" t="n">
        <v>0</v>
      </c>
      <c r="P660" s="26" t="n">
        <v>0</v>
      </c>
      <c r="Q660" s="24" t="n">
        <f aca="false">IF(O660=1,1/(1+EXP(-(P660-Inputs!$B$12)/Inputs!$B$13)),0)</f>
        <v>0</v>
      </c>
      <c r="R660" s="24" t="n">
        <f aca="false">N660*O660</f>
        <v>0</v>
      </c>
      <c r="S660" s="12" t="n">
        <f aca="false">N660*Q660</f>
        <v>0</v>
      </c>
      <c r="T660" s="24" t="n">
        <f aca="false">N660^2</f>
        <v>15.0465330756716</v>
      </c>
    </row>
    <row r="661" customFormat="false" ht="15" hidden="false" customHeight="false" outlineLevel="0" collapsed="false">
      <c r="A661" s="5" t="s">
        <v>913</v>
      </c>
      <c r="B661" s="5" t="s">
        <v>203</v>
      </c>
      <c r="C661" s="5" t="s">
        <v>58</v>
      </c>
      <c r="D661" s="5" t="s">
        <v>64</v>
      </c>
      <c r="E661" s="5" t="s">
        <v>68</v>
      </c>
      <c r="F661" s="26" t="n">
        <v>44.8</v>
      </c>
      <c r="G661" s="26" t="n">
        <v>45.26</v>
      </c>
      <c r="H661" s="30" t="n">
        <v>4.862</v>
      </c>
      <c r="I661" s="28" t="n">
        <f aca="false">H661*G661/3.6</f>
        <v>61.1261444444444</v>
      </c>
      <c r="J661" s="30" t="n">
        <v>3.21</v>
      </c>
      <c r="K661" s="30" t="n">
        <v>1.095</v>
      </c>
      <c r="L661" s="30" t="n">
        <v>0.97</v>
      </c>
      <c r="M661" s="30" t="n">
        <v>7.22</v>
      </c>
      <c r="N661" s="25" t="n">
        <v>1.67241605991522</v>
      </c>
      <c r="O661" s="17" t="n">
        <v>0</v>
      </c>
      <c r="P661" s="26" t="n">
        <v>0</v>
      </c>
      <c r="Q661" s="24" t="n">
        <f aca="false">IF(O661=1,1/(1+EXP(-(P661-Inputs!$B$12)/Inputs!$B$13)),0)</f>
        <v>0</v>
      </c>
      <c r="R661" s="24" t="n">
        <f aca="false">N661*O661</f>
        <v>0</v>
      </c>
      <c r="S661" s="12" t="n">
        <f aca="false">N661*Q661</f>
        <v>0</v>
      </c>
      <c r="T661" s="24" t="n">
        <f aca="false">N661^2</f>
        <v>2.79697547746235</v>
      </c>
    </row>
    <row r="662" customFormat="false" ht="15" hidden="false" customHeight="false" outlineLevel="0" collapsed="false">
      <c r="A662" s="5" t="s">
        <v>914</v>
      </c>
      <c r="B662" s="5" t="s">
        <v>203</v>
      </c>
      <c r="C662" s="5" t="s">
        <v>58</v>
      </c>
      <c r="D662" s="5" t="s">
        <v>64</v>
      </c>
      <c r="E662" s="5" t="s">
        <v>68</v>
      </c>
      <c r="F662" s="26" t="n">
        <v>50.76</v>
      </c>
      <c r="G662" s="26" t="n">
        <v>48.65</v>
      </c>
      <c r="H662" s="30" t="n">
        <v>3.387</v>
      </c>
      <c r="I662" s="28" t="n">
        <f aca="false">H662*G662/3.6</f>
        <v>45.7715416666667</v>
      </c>
      <c r="J662" s="30" t="n">
        <v>4.15</v>
      </c>
      <c r="K662" s="30" t="n">
        <v>2.894</v>
      </c>
      <c r="L662" s="30" t="n">
        <v>1.95</v>
      </c>
      <c r="M662" s="30" t="n">
        <v>3.51</v>
      </c>
      <c r="N662" s="25" t="n">
        <v>0.0961294417120182</v>
      </c>
      <c r="O662" s="17" t="n">
        <v>0</v>
      </c>
      <c r="P662" s="26" t="n">
        <v>0</v>
      </c>
      <c r="Q662" s="24" t="n">
        <f aca="false">IF(O662=1,1/(1+EXP(-(P662-Inputs!$B$12)/Inputs!$B$13)),0)</f>
        <v>0</v>
      </c>
      <c r="R662" s="24" t="n">
        <f aca="false">N662*O662</f>
        <v>0</v>
      </c>
      <c r="S662" s="12" t="n">
        <f aca="false">N662*Q662</f>
        <v>0</v>
      </c>
      <c r="T662" s="24" t="n">
        <f aca="false">N662^2</f>
        <v>0.0092408695638643</v>
      </c>
    </row>
    <row r="663" customFormat="false" ht="15" hidden="false" customHeight="false" outlineLevel="0" collapsed="false">
      <c r="A663" s="5" t="s">
        <v>915</v>
      </c>
      <c r="B663" s="5" t="s">
        <v>203</v>
      </c>
      <c r="C663" s="5" t="s">
        <v>58</v>
      </c>
      <c r="D663" s="5" t="s">
        <v>64</v>
      </c>
      <c r="E663" s="5" t="s">
        <v>68</v>
      </c>
      <c r="F663" s="26" t="n">
        <v>54.34</v>
      </c>
      <c r="G663" s="26" t="n">
        <v>52.04</v>
      </c>
      <c r="H663" s="30" t="n">
        <v>5.271</v>
      </c>
      <c r="I663" s="28" t="n">
        <f aca="false">H663*G663/3.6</f>
        <v>76.1952333333333</v>
      </c>
      <c r="J663" s="30" t="n">
        <v>5.73</v>
      </c>
      <c r="K663" s="30" t="n">
        <v>0.983</v>
      </c>
      <c r="L663" s="30" t="n">
        <v>1.287</v>
      </c>
      <c r="M663" s="30" t="n">
        <v>4.78</v>
      </c>
      <c r="N663" s="25" t="n">
        <v>1.75194222454065</v>
      </c>
      <c r="O663" s="17" t="n">
        <v>0</v>
      </c>
      <c r="P663" s="26" t="n">
        <v>0</v>
      </c>
      <c r="Q663" s="24" t="n">
        <f aca="false">IF(O663=1,1/(1+EXP(-(P663-Inputs!$B$12)/Inputs!$B$13)),0)</f>
        <v>0</v>
      </c>
      <c r="R663" s="24" t="n">
        <f aca="false">N663*O663</f>
        <v>0</v>
      </c>
      <c r="S663" s="12" t="n">
        <f aca="false">N663*Q663</f>
        <v>0</v>
      </c>
      <c r="T663" s="24" t="n">
        <f aca="false">N663^2</f>
        <v>3.06930155812844</v>
      </c>
    </row>
    <row r="664" customFormat="false" ht="15" hidden="false" customHeight="false" outlineLevel="0" collapsed="false">
      <c r="A664" s="5" t="s">
        <v>916</v>
      </c>
      <c r="B664" s="5" t="s">
        <v>203</v>
      </c>
      <c r="C664" s="5" t="s">
        <v>58</v>
      </c>
      <c r="D664" s="5" t="s">
        <v>64</v>
      </c>
      <c r="E664" s="5" t="s">
        <v>68</v>
      </c>
      <c r="F664" s="26" t="n">
        <v>49.81</v>
      </c>
      <c r="G664" s="26" t="n">
        <v>47.37</v>
      </c>
      <c r="H664" s="30" t="n">
        <v>3.661</v>
      </c>
      <c r="I664" s="28" t="n">
        <f aca="false">H664*G664/3.6</f>
        <v>48.1726583333333</v>
      </c>
      <c r="J664" s="30" t="n">
        <v>5.36</v>
      </c>
      <c r="K664" s="30" t="n">
        <v>1.515</v>
      </c>
      <c r="L664" s="30" t="n">
        <v>1.977</v>
      </c>
      <c r="M664" s="30" t="n">
        <v>7.86</v>
      </c>
      <c r="N664" s="25" t="n">
        <v>0.0241227390261366</v>
      </c>
      <c r="O664" s="17" t="n">
        <v>0</v>
      </c>
      <c r="P664" s="26" t="n">
        <v>0</v>
      </c>
      <c r="Q664" s="24" t="n">
        <f aca="false">IF(O664=1,1/(1+EXP(-(P664-Inputs!$B$12)/Inputs!$B$13)),0)</f>
        <v>0</v>
      </c>
      <c r="R664" s="24" t="n">
        <f aca="false">N664*O664</f>
        <v>0</v>
      </c>
      <c r="S664" s="12" t="n">
        <f aca="false">N664*Q664</f>
        <v>0</v>
      </c>
      <c r="T664" s="24" t="n">
        <f aca="false">N664^2</f>
        <v>0.000581906538123092</v>
      </c>
    </row>
    <row r="665" customFormat="false" ht="15" hidden="false" customHeight="false" outlineLevel="0" collapsed="false">
      <c r="A665" s="5" t="s">
        <v>917</v>
      </c>
      <c r="B665" s="5" t="s">
        <v>203</v>
      </c>
      <c r="C665" s="5" t="s">
        <v>58</v>
      </c>
      <c r="D665" s="5" t="s">
        <v>64</v>
      </c>
      <c r="E665" s="5" t="s">
        <v>68</v>
      </c>
      <c r="F665" s="26" t="n">
        <v>45.29</v>
      </c>
      <c r="G665" s="26" t="n">
        <v>47.39</v>
      </c>
      <c r="H665" s="30" t="n">
        <v>3.376</v>
      </c>
      <c r="I665" s="28" t="n">
        <f aca="false">H665*G665/3.6</f>
        <v>44.4412888888889</v>
      </c>
      <c r="J665" s="30" t="n">
        <v>5.44</v>
      </c>
      <c r="K665" s="30" t="n">
        <v>3.608</v>
      </c>
      <c r="L665" s="30" t="n">
        <v>0.918</v>
      </c>
      <c r="M665" s="30" t="n">
        <v>7.66</v>
      </c>
      <c r="N665" s="25" t="n">
        <v>0.106887732992853</v>
      </c>
      <c r="O665" s="17" t="n">
        <v>0</v>
      </c>
      <c r="P665" s="26" t="n">
        <v>0</v>
      </c>
      <c r="Q665" s="24" t="n">
        <f aca="false">IF(O665=1,1/(1+EXP(-(P665-Inputs!$B$12)/Inputs!$B$13)),0)</f>
        <v>0</v>
      </c>
      <c r="R665" s="24" t="n">
        <f aca="false">N665*O665</f>
        <v>0</v>
      </c>
      <c r="S665" s="12" t="n">
        <f aca="false">N665*Q665</f>
        <v>0</v>
      </c>
      <c r="T665" s="24" t="n">
        <f aca="false">N665^2</f>
        <v>0.0114249874643514</v>
      </c>
    </row>
    <row r="666" customFormat="false" ht="15" hidden="false" customHeight="false" outlineLevel="0" collapsed="false">
      <c r="A666" s="5" t="s">
        <v>918</v>
      </c>
      <c r="B666" s="5" t="s">
        <v>204</v>
      </c>
      <c r="C666" s="5" t="s">
        <v>58</v>
      </c>
      <c r="D666" s="5" t="s">
        <v>64</v>
      </c>
      <c r="E666" s="5" t="s">
        <v>70</v>
      </c>
      <c r="F666" s="26" t="n">
        <v>35.34</v>
      </c>
      <c r="G666" s="26" t="n">
        <v>33.78</v>
      </c>
      <c r="H666" s="30" t="n">
        <v>2.022</v>
      </c>
      <c r="I666" s="28" t="n">
        <f aca="false">H666*G666/3.6</f>
        <v>18.9731</v>
      </c>
      <c r="J666" s="30" t="n">
        <v>3.37</v>
      </c>
      <c r="K666" s="30" t="n">
        <v>0.508</v>
      </c>
      <c r="L666" s="30" t="n">
        <v>1.58</v>
      </c>
      <c r="M666" s="30" t="n">
        <v>5.68</v>
      </c>
      <c r="N666" s="25" t="n">
        <v>1.94341131947043</v>
      </c>
      <c r="O666" s="17" t="n">
        <v>0</v>
      </c>
      <c r="P666" s="26" t="n">
        <v>0</v>
      </c>
      <c r="Q666" s="24" t="n">
        <f aca="false">IF(O666=1,1/(1+EXP(-(P666-Inputs!$B$12)/Inputs!$B$13)),0)</f>
        <v>0</v>
      </c>
      <c r="R666" s="24" t="n">
        <f aca="false">N666*O666</f>
        <v>0</v>
      </c>
      <c r="S666" s="12" t="n">
        <f aca="false">N666*Q666</f>
        <v>0</v>
      </c>
      <c r="T666" s="24" t="n">
        <f aca="false">N666^2</f>
        <v>3.77684755664578</v>
      </c>
    </row>
    <row r="667" customFormat="false" ht="15" hidden="false" customHeight="false" outlineLevel="0" collapsed="false">
      <c r="A667" s="5" t="s">
        <v>919</v>
      </c>
      <c r="B667" s="5" t="s">
        <v>204</v>
      </c>
      <c r="C667" s="5" t="s">
        <v>58</v>
      </c>
      <c r="D667" s="5" t="s">
        <v>64</v>
      </c>
      <c r="E667" s="5" t="s">
        <v>70</v>
      </c>
      <c r="F667" s="26" t="n">
        <v>36.15</v>
      </c>
      <c r="G667" s="26" t="n">
        <v>36.92</v>
      </c>
      <c r="H667" s="30" t="n">
        <v>2.091</v>
      </c>
      <c r="I667" s="28" t="n">
        <f aca="false">H667*G667/3.6</f>
        <v>21.4443666666667</v>
      </c>
      <c r="J667" s="30" t="n">
        <v>3.42</v>
      </c>
      <c r="K667" s="30" t="n">
        <v>0.912</v>
      </c>
      <c r="L667" s="30" t="n">
        <v>1.812</v>
      </c>
      <c r="M667" s="30" t="n">
        <v>6.87</v>
      </c>
      <c r="N667" s="25" t="n">
        <v>0.199974996457542</v>
      </c>
      <c r="O667" s="17" t="n">
        <v>0</v>
      </c>
      <c r="P667" s="26" t="n">
        <v>0</v>
      </c>
      <c r="Q667" s="24" t="n">
        <f aca="false">IF(O667=1,1/(1+EXP(-(P667-Inputs!$B$12)/Inputs!$B$13)),0)</f>
        <v>0</v>
      </c>
      <c r="R667" s="24" t="n">
        <f aca="false">N667*O667</f>
        <v>0</v>
      </c>
      <c r="S667" s="12" t="n">
        <f aca="false">N667*Q667</f>
        <v>0</v>
      </c>
      <c r="T667" s="24" t="n">
        <f aca="false">N667^2</f>
        <v>0.039989999208194</v>
      </c>
    </row>
    <row r="668" customFormat="false" ht="15" hidden="false" customHeight="false" outlineLevel="0" collapsed="false">
      <c r="A668" s="5" t="s">
        <v>920</v>
      </c>
      <c r="B668" s="5" t="s">
        <v>204</v>
      </c>
      <c r="C668" s="5" t="s">
        <v>58</v>
      </c>
      <c r="D668" s="5" t="s">
        <v>64</v>
      </c>
      <c r="E668" s="5" t="s">
        <v>70</v>
      </c>
      <c r="F668" s="26" t="n">
        <v>35.78</v>
      </c>
      <c r="G668" s="26" t="n">
        <v>36.82</v>
      </c>
      <c r="H668" s="30" t="n">
        <v>2.048</v>
      </c>
      <c r="I668" s="28" t="n">
        <f aca="false">H668*G668/3.6</f>
        <v>20.9464888888889</v>
      </c>
      <c r="J668" s="30" t="n">
        <v>3</v>
      </c>
      <c r="K668" s="30" t="n">
        <v>0.604</v>
      </c>
      <c r="L668" s="30" t="n">
        <v>1.841</v>
      </c>
      <c r="M668" s="30" t="n">
        <v>5.06</v>
      </c>
      <c r="N668" s="25" t="n">
        <v>0.780612798593108</v>
      </c>
      <c r="O668" s="17" t="n">
        <v>0</v>
      </c>
      <c r="P668" s="26" t="n">
        <v>0</v>
      </c>
      <c r="Q668" s="24" t="n">
        <f aca="false">IF(O668=1,1/(1+EXP(-(P668-Inputs!$B$12)/Inputs!$B$13)),0)</f>
        <v>0</v>
      </c>
      <c r="R668" s="24" t="n">
        <f aca="false">N668*O668</f>
        <v>0</v>
      </c>
      <c r="S668" s="12" t="n">
        <f aca="false">N668*Q668</f>
        <v>0</v>
      </c>
      <c r="T668" s="24" t="n">
        <f aca="false">N668^2</f>
        <v>0.609356341327365</v>
      </c>
    </row>
    <row r="669" customFormat="false" ht="15" hidden="false" customHeight="false" outlineLevel="0" collapsed="false">
      <c r="A669" s="5" t="s">
        <v>921</v>
      </c>
      <c r="B669" s="5" t="s">
        <v>204</v>
      </c>
      <c r="C669" s="5" t="s">
        <v>58</v>
      </c>
      <c r="D669" s="5" t="s">
        <v>64</v>
      </c>
      <c r="E669" s="5" t="s">
        <v>70</v>
      </c>
      <c r="F669" s="26" t="n">
        <v>37.86</v>
      </c>
      <c r="G669" s="26" t="n">
        <v>39.12</v>
      </c>
      <c r="H669" s="30" t="n">
        <v>2.433</v>
      </c>
      <c r="I669" s="28" t="n">
        <f aca="false">H669*G669/3.6</f>
        <v>26.4386</v>
      </c>
      <c r="J669" s="30" t="n">
        <v>5.18</v>
      </c>
      <c r="K669" s="30" t="n">
        <v>0.855</v>
      </c>
      <c r="L669" s="30" t="n">
        <v>1.536</v>
      </c>
      <c r="M669" s="30" t="n">
        <v>4.81</v>
      </c>
      <c r="N669" s="25" t="n">
        <v>0.98794194245379</v>
      </c>
      <c r="O669" s="17" t="n">
        <v>0</v>
      </c>
      <c r="P669" s="26" t="n">
        <v>0</v>
      </c>
      <c r="Q669" s="24" t="n">
        <f aca="false">IF(O669=1,1/(1+EXP(-(P669-Inputs!$B$12)/Inputs!$B$13)),0)</f>
        <v>0</v>
      </c>
      <c r="R669" s="24" t="n">
        <f aca="false">N669*O669</f>
        <v>0</v>
      </c>
      <c r="S669" s="12" t="n">
        <f aca="false">N669*Q669</f>
        <v>0</v>
      </c>
      <c r="T669" s="24" t="n">
        <f aca="false">N669^2</f>
        <v>0.976029281659367</v>
      </c>
    </row>
    <row r="670" customFormat="false" ht="15" hidden="false" customHeight="false" outlineLevel="0" collapsed="false">
      <c r="A670" s="5" t="s">
        <v>922</v>
      </c>
      <c r="B670" s="5" t="s">
        <v>204</v>
      </c>
      <c r="C670" s="5" t="s">
        <v>58</v>
      </c>
      <c r="D670" s="5" t="s">
        <v>64</v>
      </c>
      <c r="E670" s="5" t="s">
        <v>70</v>
      </c>
      <c r="F670" s="26" t="n">
        <v>52.46</v>
      </c>
      <c r="G670" s="26" t="n">
        <v>52.18</v>
      </c>
      <c r="H670" s="30" t="n">
        <v>2.537</v>
      </c>
      <c r="I670" s="28" t="n">
        <f aca="false">H670*G670/3.6</f>
        <v>36.7724055555556</v>
      </c>
      <c r="J670" s="30" t="n">
        <v>4.83</v>
      </c>
      <c r="K670" s="30" t="n">
        <v>0.989</v>
      </c>
      <c r="L670" s="30" t="n">
        <v>1.208</v>
      </c>
      <c r="M670" s="30" t="n">
        <v>6.6</v>
      </c>
      <c r="N670" s="25" t="n">
        <v>1.01071350800133</v>
      </c>
      <c r="O670" s="17" t="n">
        <v>0</v>
      </c>
      <c r="P670" s="26" t="n">
        <v>0</v>
      </c>
      <c r="Q670" s="24" t="n">
        <f aca="false">IF(O670=1,1/(1+EXP(-(P670-Inputs!$B$12)/Inputs!$B$13)),0)</f>
        <v>0</v>
      </c>
      <c r="R670" s="24" t="n">
        <f aca="false">N670*O670</f>
        <v>0</v>
      </c>
      <c r="S670" s="12" t="n">
        <f aca="false">N670*Q670</f>
        <v>0</v>
      </c>
      <c r="T670" s="24" t="n">
        <f aca="false">N670^2</f>
        <v>1.02154179525635</v>
      </c>
    </row>
    <row r="671" customFormat="false" ht="15" hidden="false" customHeight="false" outlineLevel="0" collapsed="false">
      <c r="A671" s="5" t="s">
        <v>923</v>
      </c>
      <c r="B671" s="5" t="s">
        <v>204</v>
      </c>
      <c r="C671" s="5" t="s">
        <v>58</v>
      </c>
      <c r="D671" s="5" t="s">
        <v>64</v>
      </c>
      <c r="E671" s="5" t="s">
        <v>70</v>
      </c>
      <c r="F671" s="26" t="n">
        <v>38.78</v>
      </c>
      <c r="G671" s="26" t="n">
        <v>39.06</v>
      </c>
      <c r="H671" s="30" t="n">
        <v>2.127</v>
      </c>
      <c r="I671" s="28" t="n">
        <f aca="false">H671*G671/3.6</f>
        <v>23.07795</v>
      </c>
      <c r="J671" s="30" t="n">
        <v>5.37</v>
      </c>
      <c r="K671" s="30" t="n">
        <v>1.191</v>
      </c>
      <c r="L671" s="30" t="n">
        <v>1.803</v>
      </c>
      <c r="M671" s="30" t="n">
        <v>6.18</v>
      </c>
      <c r="N671" s="25" t="n">
        <v>0.150306444095546</v>
      </c>
      <c r="O671" s="17" t="n">
        <v>0</v>
      </c>
      <c r="P671" s="26" t="n">
        <v>0</v>
      </c>
      <c r="Q671" s="24" t="n">
        <f aca="false">IF(O671=1,1/(1+EXP(-(P671-Inputs!$B$12)/Inputs!$B$13)),0)</f>
        <v>0</v>
      </c>
      <c r="R671" s="24" t="n">
        <f aca="false">N671*O671</f>
        <v>0</v>
      </c>
      <c r="S671" s="12" t="n">
        <f aca="false">N671*Q671</f>
        <v>0</v>
      </c>
      <c r="T671" s="24" t="n">
        <f aca="false">N671^2</f>
        <v>0.0225920271366476</v>
      </c>
    </row>
    <row r="672" customFormat="false" ht="15" hidden="false" customHeight="false" outlineLevel="0" collapsed="false">
      <c r="A672" s="5" t="s">
        <v>924</v>
      </c>
      <c r="B672" s="5" t="s">
        <v>204</v>
      </c>
      <c r="C672" s="5" t="s">
        <v>58</v>
      </c>
      <c r="D672" s="5" t="s">
        <v>64</v>
      </c>
      <c r="E672" s="5" t="s">
        <v>70</v>
      </c>
      <c r="F672" s="26" t="n">
        <v>45.95</v>
      </c>
      <c r="G672" s="26" t="n">
        <v>45.04</v>
      </c>
      <c r="H672" s="30" t="n">
        <v>2.631</v>
      </c>
      <c r="I672" s="28" t="n">
        <f aca="false">H672*G672/3.6</f>
        <v>32.9167333333333</v>
      </c>
      <c r="J672" s="30" t="n">
        <v>5.42</v>
      </c>
      <c r="K672" s="30" t="n">
        <v>0.938</v>
      </c>
      <c r="L672" s="30" t="n">
        <v>0.803</v>
      </c>
      <c r="M672" s="30" t="n">
        <v>7.22</v>
      </c>
      <c r="N672" s="25" t="n">
        <v>3.23758237769423</v>
      </c>
      <c r="O672" s="17" t="n">
        <v>0</v>
      </c>
      <c r="P672" s="26" t="n">
        <v>0</v>
      </c>
      <c r="Q672" s="24" t="n">
        <f aca="false">IF(O672=1,1/(1+EXP(-(P672-Inputs!$B$12)/Inputs!$B$13)),0)</f>
        <v>0</v>
      </c>
      <c r="R672" s="24" t="n">
        <f aca="false">N672*O672</f>
        <v>0</v>
      </c>
      <c r="S672" s="12" t="n">
        <f aca="false">N672*Q672</f>
        <v>0</v>
      </c>
      <c r="T672" s="24" t="n">
        <f aca="false">N672^2</f>
        <v>10.4819396523562</v>
      </c>
    </row>
    <row r="673" customFormat="false" ht="15" hidden="false" customHeight="false" outlineLevel="0" collapsed="false">
      <c r="A673" s="5" t="s">
        <v>925</v>
      </c>
      <c r="B673" s="5" t="s">
        <v>204</v>
      </c>
      <c r="C673" s="5" t="s">
        <v>58</v>
      </c>
      <c r="D673" s="5" t="s">
        <v>64</v>
      </c>
      <c r="E673" s="5" t="s">
        <v>70</v>
      </c>
      <c r="F673" s="26" t="n">
        <v>42.24</v>
      </c>
      <c r="G673" s="26" t="n">
        <v>43.4</v>
      </c>
      <c r="H673" s="30" t="n">
        <v>2.223</v>
      </c>
      <c r="I673" s="28" t="n">
        <f aca="false">H673*G673/3.6</f>
        <v>26.7995</v>
      </c>
      <c r="J673" s="30" t="n">
        <v>2.96</v>
      </c>
      <c r="K673" s="30" t="n">
        <v>1.054</v>
      </c>
      <c r="L673" s="30" t="n">
        <v>1.211</v>
      </c>
      <c r="M673" s="30" t="n">
        <v>6.6</v>
      </c>
      <c r="N673" s="25" t="n">
        <v>0.79209424642873</v>
      </c>
      <c r="O673" s="17" t="n">
        <v>0</v>
      </c>
      <c r="P673" s="26" t="n">
        <v>0</v>
      </c>
      <c r="Q673" s="24" t="n">
        <f aca="false">IF(O673=1,1/(1+EXP(-(P673-Inputs!$B$12)/Inputs!$B$13)),0)</f>
        <v>0</v>
      </c>
      <c r="R673" s="24" t="n">
        <f aca="false">N673*O673</f>
        <v>0</v>
      </c>
      <c r="S673" s="12" t="n">
        <f aca="false">N673*Q673</f>
        <v>0</v>
      </c>
      <c r="T673" s="24" t="n">
        <f aca="false">N673^2</f>
        <v>0.627413295225497</v>
      </c>
    </row>
    <row r="674" customFormat="false" ht="15" hidden="false" customHeight="false" outlineLevel="0" collapsed="false">
      <c r="A674" s="5" t="s">
        <v>926</v>
      </c>
      <c r="B674" s="5" t="s">
        <v>204</v>
      </c>
      <c r="C674" s="5" t="s">
        <v>58</v>
      </c>
      <c r="D674" s="5" t="s">
        <v>64</v>
      </c>
      <c r="E674" s="5" t="s">
        <v>70</v>
      </c>
      <c r="F674" s="26" t="n">
        <v>51</v>
      </c>
      <c r="G674" s="26" t="n">
        <v>54.79</v>
      </c>
      <c r="H674" s="30" t="n">
        <v>2.168</v>
      </c>
      <c r="I674" s="28" t="n">
        <f aca="false">H674*G674/3.6</f>
        <v>32.9957555555556</v>
      </c>
      <c r="J674" s="30" t="n">
        <v>4.36</v>
      </c>
      <c r="K674" s="30" t="n">
        <v>0.783</v>
      </c>
      <c r="L674" s="30" t="n">
        <v>1.529</v>
      </c>
      <c r="M674" s="30" t="n">
        <v>4.45</v>
      </c>
      <c r="N674" s="25" t="n">
        <v>1.09351764028929</v>
      </c>
      <c r="O674" s="17" t="n">
        <v>0</v>
      </c>
      <c r="P674" s="26" t="n">
        <v>0</v>
      </c>
      <c r="Q674" s="24" t="n">
        <f aca="false">IF(O674=1,1/(1+EXP(-(P674-Inputs!$B$12)/Inputs!$B$13)),0)</f>
        <v>0</v>
      </c>
      <c r="R674" s="24" t="n">
        <f aca="false">N674*O674</f>
        <v>0</v>
      </c>
      <c r="S674" s="12" t="n">
        <f aca="false">N674*Q674</f>
        <v>0</v>
      </c>
      <c r="T674" s="24" t="n">
        <f aca="false">N674^2</f>
        <v>1.19578082962385</v>
      </c>
    </row>
    <row r="675" customFormat="false" ht="15" hidden="false" customHeight="false" outlineLevel="0" collapsed="false">
      <c r="A675" s="5" t="s">
        <v>927</v>
      </c>
      <c r="B675" s="5" t="s">
        <v>204</v>
      </c>
      <c r="C675" s="5" t="s">
        <v>58</v>
      </c>
      <c r="D675" s="5" t="s">
        <v>64</v>
      </c>
      <c r="E675" s="5" t="s">
        <v>70</v>
      </c>
      <c r="F675" s="26" t="n">
        <v>44.84</v>
      </c>
      <c r="G675" s="26" t="n">
        <v>45.06</v>
      </c>
      <c r="H675" s="30" t="n">
        <v>2.399</v>
      </c>
      <c r="I675" s="28" t="n">
        <f aca="false">H675*G675/3.6</f>
        <v>30.0274833333333</v>
      </c>
      <c r="J675" s="30" t="n">
        <v>4.25</v>
      </c>
      <c r="K675" s="30" t="n">
        <v>2.641</v>
      </c>
      <c r="L675" s="30" t="n">
        <v>1.549</v>
      </c>
      <c r="M675" s="30" t="n">
        <v>4.17</v>
      </c>
      <c r="N675" s="25" t="n">
        <v>0.119728574138675</v>
      </c>
      <c r="O675" s="17" t="n">
        <v>0</v>
      </c>
      <c r="P675" s="26" t="n">
        <v>0</v>
      </c>
      <c r="Q675" s="24" t="n">
        <f aca="false">IF(O675=1,1/(1+EXP(-(P675-Inputs!$B$12)/Inputs!$B$13)),0)</f>
        <v>0</v>
      </c>
      <c r="R675" s="24" t="n">
        <f aca="false">N675*O675</f>
        <v>0</v>
      </c>
      <c r="S675" s="12" t="n">
        <f aca="false">N675*Q675</f>
        <v>0</v>
      </c>
      <c r="T675" s="24" t="n">
        <f aca="false">N675^2</f>
        <v>0.0143349314652801</v>
      </c>
    </row>
    <row r="676" customFormat="false" ht="15" hidden="false" customHeight="false" outlineLevel="0" collapsed="false">
      <c r="A676" s="5" t="s">
        <v>928</v>
      </c>
      <c r="B676" s="5" t="s">
        <v>205</v>
      </c>
      <c r="C676" s="5" t="s">
        <v>58</v>
      </c>
      <c r="D676" s="5" t="s">
        <v>64</v>
      </c>
      <c r="E676" s="5" t="s">
        <v>71</v>
      </c>
      <c r="F676" s="26" t="n">
        <v>47.34</v>
      </c>
      <c r="G676" s="26" t="n">
        <v>49.58</v>
      </c>
      <c r="H676" s="30" t="n">
        <v>1.604</v>
      </c>
      <c r="I676" s="28" t="n">
        <f aca="false">H676*G676/3.6</f>
        <v>22.0906444444444</v>
      </c>
      <c r="J676" s="30" t="n">
        <v>2.5</v>
      </c>
      <c r="K676" s="30" t="n">
        <v>1.926</v>
      </c>
      <c r="L676" s="30" t="n">
        <v>2.705</v>
      </c>
      <c r="M676" s="30" t="n">
        <v>4.64</v>
      </c>
      <c r="N676" s="25" t="n">
        <v>0.0110334495620079</v>
      </c>
      <c r="O676" s="17" t="n">
        <v>0</v>
      </c>
      <c r="P676" s="26" t="n">
        <v>0</v>
      </c>
      <c r="Q676" s="24" t="n">
        <f aca="false">IF(O676=1,1/(1+EXP(-(P676-Inputs!$B$12)/Inputs!$B$13)),0)</f>
        <v>0</v>
      </c>
      <c r="R676" s="24" t="n">
        <f aca="false">N676*O676</f>
        <v>0</v>
      </c>
      <c r="S676" s="12" t="n">
        <f aca="false">N676*Q676</f>
        <v>0</v>
      </c>
      <c r="T676" s="24" t="n">
        <f aca="false">N676^2</f>
        <v>0.000121737009237371</v>
      </c>
    </row>
    <row r="677" customFormat="false" ht="15" hidden="false" customHeight="false" outlineLevel="0" collapsed="false">
      <c r="A677" s="5" t="s">
        <v>929</v>
      </c>
      <c r="B677" s="5" t="s">
        <v>205</v>
      </c>
      <c r="C677" s="5" t="s">
        <v>58</v>
      </c>
      <c r="D677" s="5" t="s">
        <v>64</v>
      </c>
      <c r="E677" s="5" t="s">
        <v>71</v>
      </c>
      <c r="F677" s="26" t="n">
        <v>48.46</v>
      </c>
      <c r="G677" s="26" t="n">
        <v>48.15</v>
      </c>
      <c r="H677" s="30" t="n">
        <v>1.672</v>
      </c>
      <c r="I677" s="28" t="n">
        <f aca="false">H677*G677/3.6</f>
        <v>22.363</v>
      </c>
      <c r="J677" s="30" t="n">
        <v>3.72</v>
      </c>
      <c r="K677" s="30" t="n">
        <v>0.596</v>
      </c>
      <c r="L677" s="30" t="n">
        <v>0.891</v>
      </c>
      <c r="M677" s="30" t="n">
        <v>5.58</v>
      </c>
      <c r="N677" s="25" t="n">
        <v>6.20131231236024</v>
      </c>
      <c r="O677" s="17" t="n">
        <v>0</v>
      </c>
      <c r="P677" s="26" t="n">
        <v>0</v>
      </c>
      <c r="Q677" s="24" t="n">
        <f aca="false">IF(O677=1,1/(1+EXP(-(P677-Inputs!$B$12)/Inputs!$B$13)),0)</f>
        <v>0</v>
      </c>
      <c r="R677" s="24" t="n">
        <f aca="false">N677*O677</f>
        <v>0</v>
      </c>
      <c r="S677" s="12" t="n">
        <f aca="false">N677*Q677</f>
        <v>0</v>
      </c>
      <c r="T677" s="24" t="n">
        <f aca="false">N677^2</f>
        <v>38.4562743954307</v>
      </c>
    </row>
    <row r="678" customFormat="false" ht="15" hidden="false" customHeight="false" outlineLevel="0" collapsed="false">
      <c r="A678" s="5" t="s">
        <v>930</v>
      </c>
      <c r="B678" s="5" t="s">
        <v>205</v>
      </c>
      <c r="C678" s="5" t="s">
        <v>58</v>
      </c>
      <c r="D678" s="5" t="s">
        <v>64</v>
      </c>
      <c r="E678" s="5" t="s">
        <v>71</v>
      </c>
      <c r="F678" s="26" t="n">
        <v>43.95</v>
      </c>
      <c r="G678" s="26" t="n">
        <v>43.46</v>
      </c>
      <c r="H678" s="30" t="n">
        <v>1.692</v>
      </c>
      <c r="I678" s="28" t="n">
        <f aca="false">H678*G678/3.6</f>
        <v>20.4262</v>
      </c>
      <c r="J678" s="30" t="n">
        <v>2.52</v>
      </c>
      <c r="K678" s="30" t="n">
        <v>2.776</v>
      </c>
      <c r="L678" s="30" t="n">
        <v>1.611</v>
      </c>
      <c r="M678" s="30" t="n">
        <v>5.46</v>
      </c>
      <c r="N678" s="25" t="n">
        <v>0.0617748438000242</v>
      </c>
      <c r="O678" s="17" t="n">
        <v>0</v>
      </c>
      <c r="P678" s="26" t="n">
        <v>0</v>
      </c>
      <c r="Q678" s="24" t="n">
        <f aca="false">IF(O678=1,1/(1+EXP(-(P678-Inputs!$B$12)/Inputs!$B$13)),0)</f>
        <v>0</v>
      </c>
      <c r="R678" s="24" t="n">
        <f aca="false">N678*O678</f>
        <v>0</v>
      </c>
      <c r="S678" s="12" t="n">
        <f aca="false">N678*Q678</f>
        <v>0</v>
      </c>
      <c r="T678" s="24" t="n">
        <f aca="false">N678^2</f>
        <v>0.00381613132651739</v>
      </c>
    </row>
    <row r="679" customFormat="false" ht="15" hidden="false" customHeight="false" outlineLevel="0" collapsed="false">
      <c r="A679" s="5" t="s">
        <v>931</v>
      </c>
      <c r="B679" s="5" t="s">
        <v>205</v>
      </c>
      <c r="C679" s="5" t="s">
        <v>58</v>
      </c>
      <c r="D679" s="5" t="s">
        <v>64</v>
      </c>
      <c r="E679" s="5" t="s">
        <v>71</v>
      </c>
      <c r="F679" s="26" t="n">
        <v>41.27</v>
      </c>
      <c r="G679" s="26" t="n">
        <v>40.29</v>
      </c>
      <c r="H679" s="30" t="n">
        <v>1.503</v>
      </c>
      <c r="I679" s="28" t="n">
        <f aca="false">H679*G679/3.6</f>
        <v>16.821075</v>
      </c>
      <c r="J679" s="30" t="n">
        <v>4.23</v>
      </c>
      <c r="K679" s="30" t="n">
        <v>1.701</v>
      </c>
      <c r="L679" s="30" t="n">
        <v>1.162</v>
      </c>
      <c r="M679" s="30" t="n">
        <v>7.09</v>
      </c>
      <c r="N679" s="25" t="n">
        <v>0.44437174773409</v>
      </c>
      <c r="O679" s="17" t="n">
        <v>0</v>
      </c>
      <c r="P679" s="26" t="n">
        <v>0</v>
      </c>
      <c r="Q679" s="24" t="n">
        <f aca="false">IF(O679=1,1/(1+EXP(-(P679-Inputs!$B$12)/Inputs!$B$13)),0)</f>
        <v>0</v>
      </c>
      <c r="R679" s="24" t="n">
        <f aca="false">N679*O679</f>
        <v>0</v>
      </c>
      <c r="S679" s="12" t="n">
        <f aca="false">N679*Q679</f>
        <v>0</v>
      </c>
      <c r="T679" s="24" t="n">
        <f aca="false">N679^2</f>
        <v>0.197466250184249</v>
      </c>
    </row>
    <row r="680" customFormat="false" ht="15" hidden="false" customHeight="false" outlineLevel="0" collapsed="false">
      <c r="A680" s="5" t="s">
        <v>932</v>
      </c>
      <c r="B680" s="5" t="s">
        <v>205</v>
      </c>
      <c r="C680" s="5" t="s">
        <v>58</v>
      </c>
      <c r="D680" s="5" t="s">
        <v>64</v>
      </c>
      <c r="E680" s="5" t="s">
        <v>71</v>
      </c>
      <c r="F680" s="26" t="n">
        <v>49.88</v>
      </c>
      <c r="G680" s="26" t="n">
        <v>49.11</v>
      </c>
      <c r="H680" s="30" t="n">
        <v>1.888</v>
      </c>
      <c r="I680" s="28" t="n">
        <f aca="false">H680*G680/3.6</f>
        <v>25.7554666666667</v>
      </c>
      <c r="J680" s="30" t="n">
        <v>5.49</v>
      </c>
      <c r="K680" s="30" t="n">
        <v>2.009</v>
      </c>
      <c r="L680" s="30" t="n">
        <v>2.079</v>
      </c>
      <c r="M680" s="30" t="n">
        <v>5.08</v>
      </c>
      <c r="N680" s="25" t="n">
        <v>0.0800756217109683</v>
      </c>
      <c r="O680" s="17" t="n">
        <v>0</v>
      </c>
      <c r="P680" s="26" t="n">
        <v>0</v>
      </c>
      <c r="Q680" s="24" t="n">
        <f aca="false">IF(O680=1,1/(1+EXP(-(P680-Inputs!$B$12)/Inputs!$B$13)),0)</f>
        <v>0</v>
      </c>
      <c r="R680" s="24" t="n">
        <f aca="false">N680*O680</f>
        <v>0</v>
      </c>
      <c r="S680" s="12" t="n">
        <f aca="false">N680*Q680</f>
        <v>0</v>
      </c>
      <c r="T680" s="24" t="n">
        <f aca="false">N680^2</f>
        <v>0.0064121051923981</v>
      </c>
    </row>
    <row r="681" customFormat="false" ht="15" hidden="false" customHeight="false" outlineLevel="0" collapsed="false">
      <c r="A681" s="5" t="s">
        <v>933</v>
      </c>
      <c r="B681" s="5" t="s">
        <v>205</v>
      </c>
      <c r="C681" s="5" t="s">
        <v>58</v>
      </c>
      <c r="D681" s="5" t="s">
        <v>64</v>
      </c>
      <c r="E681" s="5" t="s">
        <v>71</v>
      </c>
      <c r="F681" s="26" t="n">
        <v>37.54</v>
      </c>
      <c r="G681" s="26" t="n">
        <v>38.59</v>
      </c>
      <c r="H681" s="30" t="n">
        <v>1.839</v>
      </c>
      <c r="I681" s="28" t="n">
        <f aca="false">H681*G681/3.6</f>
        <v>19.7130583333333</v>
      </c>
      <c r="J681" s="30" t="n">
        <v>3.7</v>
      </c>
      <c r="K681" s="30" t="n">
        <v>1.097</v>
      </c>
      <c r="L681" s="30" t="n">
        <v>2.059</v>
      </c>
      <c r="M681" s="30" t="n">
        <v>5.9</v>
      </c>
      <c r="N681" s="25" t="n">
        <v>0.196653473914158</v>
      </c>
      <c r="O681" s="17" t="n">
        <v>0</v>
      </c>
      <c r="P681" s="26" t="n">
        <v>0</v>
      </c>
      <c r="Q681" s="24" t="n">
        <f aca="false">IF(O681=1,1/(1+EXP(-(P681-Inputs!$B$12)/Inputs!$B$13)),0)</f>
        <v>0</v>
      </c>
      <c r="R681" s="24" t="n">
        <f aca="false">N681*O681</f>
        <v>0</v>
      </c>
      <c r="S681" s="12" t="n">
        <f aca="false">N681*Q681</f>
        <v>0</v>
      </c>
      <c r="T681" s="24" t="n">
        <f aca="false">N681^2</f>
        <v>0.0386725888025064</v>
      </c>
    </row>
    <row r="682" customFormat="false" ht="15" hidden="false" customHeight="false" outlineLevel="0" collapsed="false">
      <c r="A682" s="5" t="s">
        <v>934</v>
      </c>
      <c r="B682" s="5" t="s">
        <v>205</v>
      </c>
      <c r="C682" s="5" t="s">
        <v>58</v>
      </c>
      <c r="D682" s="5" t="s">
        <v>64</v>
      </c>
      <c r="E682" s="5" t="s">
        <v>71</v>
      </c>
      <c r="F682" s="26" t="n">
        <v>48.51</v>
      </c>
      <c r="G682" s="26" t="n">
        <v>50.07</v>
      </c>
      <c r="H682" s="30" t="n">
        <v>1.61</v>
      </c>
      <c r="I682" s="28" t="n">
        <f aca="false">H682*G682/3.6</f>
        <v>22.3924166666667</v>
      </c>
      <c r="J682" s="30" t="n">
        <v>3.05</v>
      </c>
      <c r="K682" s="30" t="n">
        <v>1.008</v>
      </c>
      <c r="L682" s="30" t="n">
        <v>1.153</v>
      </c>
      <c r="M682" s="30" t="n">
        <v>5.28</v>
      </c>
      <c r="N682" s="25" t="n">
        <v>1.30570569457143</v>
      </c>
      <c r="O682" s="17" t="n">
        <v>0</v>
      </c>
      <c r="P682" s="26" t="n">
        <v>0</v>
      </c>
      <c r="Q682" s="24" t="n">
        <f aca="false">IF(O682=1,1/(1+EXP(-(P682-Inputs!$B$12)/Inputs!$B$13)),0)</f>
        <v>0</v>
      </c>
      <c r="R682" s="24" t="n">
        <f aca="false">N682*O682</f>
        <v>0</v>
      </c>
      <c r="S682" s="12" t="n">
        <f aca="false">N682*Q682</f>
        <v>0</v>
      </c>
      <c r="T682" s="24" t="n">
        <f aca="false">N682^2</f>
        <v>1.70486736083626</v>
      </c>
    </row>
    <row r="683" customFormat="false" ht="15" hidden="false" customHeight="false" outlineLevel="0" collapsed="false">
      <c r="A683" s="5" t="s">
        <v>935</v>
      </c>
      <c r="B683" s="5" t="s">
        <v>205</v>
      </c>
      <c r="C683" s="5" t="s">
        <v>58</v>
      </c>
      <c r="D683" s="5" t="s">
        <v>64</v>
      </c>
      <c r="E683" s="5" t="s">
        <v>71</v>
      </c>
      <c r="F683" s="26" t="n">
        <v>50.23</v>
      </c>
      <c r="G683" s="26" t="n">
        <v>47.95</v>
      </c>
      <c r="H683" s="30" t="n">
        <v>1.553</v>
      </c>
      <c r="I683" s="28" t="n">
        <f aca="false">H683*G683/3.6</f>
        <v>20.6850972222222</v>
      </c>
      <c r="J683" s="30" t="n">
        <v>4.64</v>
      </c>
      <c r="K683" s="30" t="n">
        <v>3.801</v>
      </c>
      <c r="L683" s="30" t="n">
        <v>1.636</v>
      </c>
      <c r="M683" s="30" t="n">
        <v>6.77</v>
      </c>
      <c r="N683" s="25" t="n">
        <v>0.020375525187609</v>
      </c>
      <c r="O683" s="17" t="n">
        <v>0</v>
      </c>
      <c r="P683" s="26" t="n">
        <v>0</v>
      </c>
      <c r="Q683" s="24" t="n">
        <f aca="false">IF(O683=1,1/(1+EXP(-(P683-Inputs!$B$12)/Inputs!$B$13)),0)</f>
        <v>0</v>
      </c>
      <c r="R683" s="24" t="n">
        <f aca="false">N683*O683</f>
        <v>0</v>
      </c>
      <c r="S683" s="12" t="n">
        <f aca="false">N683*Q683</f>
        <v>0</v>
      </c>
      <c r="T683" s="24" t="n">
        <f aca="false">N683^2</f>
        <v>0.000415162026670888</v>
      </c>
    </row>
    <row r="684" customFormat="false" ht="15" hidden="false" customHeight="false" outlineLevel="0" collapsed="false">
      <c r="A684" s="5" t="s">
        <v>936</v>
      </c>
      <c r="B684" s="5" t="s">
        <v>205</v>
      </c>
      <c r="C684" s="5" t="s">
        <v>58</v>
      </c>
      <c r="D684" s="5" t="s">
        <v>64</v>
      </c>
      <c r="E684" s="5" t="s">
        <v>71</v>
      </c>
      <c r="F684" s="26" t="n">
        <v>45.75</v>
      </c>
      <c r="G684" s="26" t="n">
        <v>45.28</v>
      </c>
      <c r="H684" s="30" t="n">
        <v>1.61</v>
      </c>
      <c r="I684" s="28" t="n">
        <f aca="false">H684*G684/3.6</f>
        <v>20.2502222222222</v>
      </c>
      <c r="J684" s="30" t="n">
        <v>5.1</v>
      </c>
      <c r="K684" s="30" t="n">
        <v>1.051</v>
      </c>
      <c r="L684" s="30" t="n">
        <v>1.651</v>
      </c>
      <c r="M684" s="30" t="n">
        <v>6.9</v>
      </c>
      <c r="N684" s="25" t="n">
        <v>0.22061980573541</v>
      </c>
      <c r="O684" s="17" t="n">
        <v>0</v>
      </c>
      <c r="P684" s="26" t="n">
        <v>0</v>
      </c>
      <c r="Q684" s="24" t="n">
        <f aca="false">IF(O684=1,1/(1+EXP(-(P684-Inputs!$B$12)/Inputs!$B$13)),0)</f>
        <v>0</v>
      </c>
      <c r="R684" s="24" t="n">
        <f aca="false">N684*O684</f>
        <v>0</v>
      </c>
      <c r="S684" s="12" t="n">
        <f aca="false">N684*Q684</f>
        <v>0</v>
      </c>
      <c r="T684" s="24" t="n">
        <f aca="false">N684^2</f>
        <v>0.04867309868273</v>
      </c>
    </row>
    <row r="685" customFormat="false" ht="15" hidden="false" customHeight="false" outlineLevel="0" collapsed="false">
      <c r="A685" s="5" t="s">
        <v>937</v>
      </c>
      <c r="B685" s="5" t="s">
        <v>205</v>
      </c>
      <c r="C685" s="5" t="s">
        <v>58</v>
      </c>
      <c r="D685" s="5" t="s">
        <v>64</v>
      </c>
      <c r="E685" s="5" t="s">
        <v>71</v>
      </c>
      <c r="F685" s="26" t="n">
        <v>50.22</v>
      </c>
      <c r="G685" s="26" t="n">
        <v>49.46</v>
      </c>
      <c r="H685" s="30" t="n">
        <v>1.504</v>
      </c>
      <c r="I685" s="28" t="n">
        <f aca="false">H685*G685/3.6</f>
        <v>20.6632888888889</v>
      </c>
      <c r="J685" s="30" t="n">
        <v>4.92</v>
      </c>
      <c r="K685" s="30" t="n">
        <v>1.743</v>
      </c>
      <c r="L685" s="30" t="n">
        <v>1.735</v>
      </c>
      <c r="M685" s="30" t="n">
        <v>6.55</v>
      </c>
      <c r="N685" s="25" t="n">
        <v>0.117226735065233</v>
      </c>
      <c r="O685" s="17" t="n">
        <v>0</v>
      </c>
      <c r="P685" s="26" t="n">
        <v>0</v>
      </c>
      <c r="Q685" s="24" t="n">
        <f aca="false">IF(O685=1,1/(1+EXP(-(P685-Inputs!$B$12)/Inputs!$B$13)),0)</f>
        <v>0</v>
      </c>
      <c r="R685" s="24" t="n">
        <f aca="false">N685*O685</f>
        <v>0</v>
      </c>
      <c r="S685" s="12" t="n">
        <f aca="false">N685*Q685</f>
        <v>0</v>
      </c>
      <c r="T685" s="24" t="n">
        <f aca="false">N685^2</f>
        <v>0.0137421074140544</v>
      </c>
    </row>
    <row r="686" customFormat="false" ht="15" hidden="false" customHeight="false" outlineLevel="0" collapsed="false">
      <c r="A686" s="5" t="s">
        <v>938</v>
      </c>
      <c r="B686" s="5" t="s">
        <v>206</v>
      </c>
      <c r="C686" s="5" t="s">
        <v>58</v>
      </c>
      <c r="D686" s="5" t="s">
        <v>64</v>
      </c>
      <c r="E686" s="5" t="s">
        <v>72</v>
      </c>
      <c r="F686" s="26" t="n">
        <v>37.42</v>
      </c>
      <c r="G686" s="26" t="n">
        <v>36.31</v>
      </c>
      <c r="H686" s="30" t="n">
        <v>1.037</v>
      </c>
      <c r="I686" s="28" t="n">
        <f aca="false">H686*G686/3.6</f>
        <v>10.4592972222222</v>
      </c>
      <c r="J686" s="30" t="n">
        <v>3.9</v>
      </c>
      <c r="K686" s="30" t="n">
        <v>0.972</v>
      </c>
      <c r="L686" s="30" t="n">
        <v>1.412</v>
      </c>
      <c r="M686" s="30" t="n">
        <v>5.12</v>
      </c>
      <c r="N686" s="25" t="n">
        <v>0.870897223001486</v>
      </c>
      <c r="O686" s="17" t="n">
        <v>0</v>
      </c>
      <c r="P686" s="26" t="n">
        <v>0</v>
      </c>
      <c r="Q686" s="24" t="n">
        <f aca="false">IF(O686=1,1/(1+EXP(-(P686-Inputs!$B$12)/Inputs!$B$13)),0)</f>
        <v>0</v>
      </c>
      <c r="R686" s="24" t="n">
        <f aca="false">N686*O686</f>
        <v>0</v>
      </c>
      <c r="S686" s="12" t="n">
        <f aca="false">N686*Q686</f>
        <v>0</v>
      </c>
      <c r="T686" s="24" t="n">
        <f aca="false">N686^2</f>
        <v>0.758461973031701</v>
      </c>
    </row>
    <row r="687" customFormat="false" ht="15" hidden="false" customHeight="false" outlineLevel="0" collapsed="false">
      <c r="A687" s="5" t="s">
        <v>939</v>
      </c>
      <c r="B687" s="5" t="s">
        <v>206</v>
      </c>
      <c r="C687" s="5" t="s">
        <v>58</v>
      </c>
      <c r="D687" s="5" t="s">
        <v>64</v>
      </c>
      <c r="E687" s="5" t="s">
        <v>72</v>
      </c>
      <c r="F687" s="26" t="n">
        <v>52.45</v>
      </c>
      <c r="G687" s="26" t="n">
        <v>51.31</v>
      </c>
      <c r="H687" s="30" t="n">
        <v>1.036</v>
      </c>
      <c r="I687" s="28" t="n">
        <f aca="false">H687*G687/3.6</f>
        <v>14.7658777777778</v>
      </c>
      <c r="J687" s="30" t="n">
        <v>3.56</v>
      </c>
      <c r="K687" s="30" t="n">
        <v>2.995</v>
      </c>
      <c r="L687" s="30" t="n">
        <v>1.468</v>
      </c>
      <c r="M687" s="30" t="n">
        <v>7.07</v>
      </c>
      <c r="N687" s="25" t="n">
        <v>0.0478283566318676</v>
      </c>
      <c r="O687" s="17" t="n">
        <v>0</v>
      </c>
      <c r="P687" s="26" t="n">
        <v>0</v>
      </c>
      <c r="Q687" s="24" t="n">
        <f aca="false">IF(O687=1,1/(1+EXP(-(P687-Inputs!$B$12)/Inputs!$B$13)),0)</f>
        <v>0</v>
      </c>
      <c r="R687" s="24" t="n">
        <f aca="false">N687*O687</f>
        <v>0</v>
      </c>
      <c r="S687" s="12" t="n">
        <f aca="false">N687*Q687</f>
        <v>0</v>
      </c>
      <c r="T687" s="24" t="n">
        <f aca="false">N687^2</f>
        <v>0.00228755169810511</v>
      </c>
    </row>
    <row r="688" customFormat="false" ht="15" hidden="false" customHeight="false" outlineLevel="0" collapsed="false">
      <c r="A688" s="5" t="s">
        <v>940</v>
      </c>
      <c r="B688" s="5" t="s">
        <v>206</v>
      </c>
      <c r="C688" s="5" t="s">
        <v>58</v>
      </c>
      <c r="D688" s="5" t="s">
        <v>64</v>
      </c>
      <c r="E688" s="5" t="s">
        <v>72</v>
      </c>
      <c r="F688" s="26" t="n">
        <v>38.53</v>
      </c>
      <c r="G688" s="26" t="n">
        <v>38.57</v>
      </c>
      <c r="H688" s="30" t="n">
        <v>1.309</v>
      </c>
      <c r="I688" s="28" t="n">
        <f aca="false">H688*G688/3.6</f>
        <v>14.0244805555556</v>
      </c>
      <c r="J688" s="30" t="n">
        <v>4.68</v>
      </c>
      <c r="K688" s="30" t="n">
        <v>2.382</v>
      </c>
      <c r="L688" s="30" t="n">
        <v>1.202</v>
      </c>
      <c r="M688" s="30" t="n">
        <v>6.28</v>
      </c>
      <c r="N688" s="25" t="n">
        <v>0.293274191486545</v>
      </c>
      <c r="O688" s="17" t="n">
        <v>0</v>
      </c>
      <c r="P688" s="26" t="n">
        <v>0</v>
      </c>
      <c r="Q688" s="24" t="n">
        <f aca="false">IF(O688=1,1/(1+EXP(-(P688-Inputs!$B$12)/Inputs!$B$13)),0)</f>
        <v>0</v>
      </c>
      <c r="R688" s="24" t="n">
        <f aca="false">N688*O688</f>
        <v>0</v>
      </c>
      <c r="S688" s="12" t="n">
        <f aca="false">N688*Q688</f>
        <v>0</v>
      </c>
      <c r="T688" s="24" t="n">
        <f aca="false">N688^2</f>
        <v>0.0860097513920867</v>
      </c>
    </row>
    <row r="689" customFormat="false" ht="15" hidden="false" customHeight="false" outlineLevel="0" collapsed="false">
      <c r="A689" s="5" t="s">
        <v>941</v>
      </c>
      <c r="B689" s="5" t="s">
        <v>206</v>
      </c>
      <c r="C689" s="5" t="s">
        <v>58</v>
      </c>
      <c r="D689" s="5" t="s">
        <v>64</v>
      </c>
      <c r="E689" s="5" t="s">
        <v>72</v>
      </c>
      <c r="F689" s="26" t="n">
        <v>38.02</v>
      </c>
      <c r="G689" s="26" t="n">
        <v>36.94</v>
      </c>
      <c r="H689" s="30" t="n">
        <v>1.13</v>
      </c>
      <c r="I689" s="28" t="n">
        <f aca="false">H689*G689/3.6</f>
        <v>11.5950555555556</v>
      </c>
      <c r="J689" s="30" t="n">
        <v>4.62</v>
      </c>
      <c r="K689" s="30" t="n">
        <v>0.677</v>
      </c>
      <c r="L689" s="30" t="n">
        <v>1.329</v>
      </c>
      <c r="M689" s="30" t="n">
        <v>6.37</v>
      </c>
      <c r="N689" s="25" t="n">
        <v>1.52881640674081</v>
      </c>
      <c r="O689" s="17" t="n">
        <v>0</v>
      </c>
      <c r="P689" s="26" t="n">
        <v>0</v>
      </c>
      <c r="Q689" s="24" t="n">
        <f aca="false">IF(O689=1,1/(1+EXP(-(P689-Inputs!$B$12)/Inputs!$B$13)),0)</f>
        <v>0</v>
      </c>
      <c r="R689" s="24" t="n">
        <f aca="false">N689*O689</f>
        <v>0</v>
      </c>
      <c r="S689" s="12" t="n">
        <f aca="false">N689*Q689</f>
        <v>0</v>
      </c>
      <c r="T689" s="24" t="n">
        <f aca="false">N689^2</f>
        <v>2.33727960551989</v>
      </c>
    </row>
    <row r="690" customFormat="false" ht="15" hidden="false" customHeight="false" outlineLevel="0" collapsed="false">
      <c r="A690" s="5" t="s">
        <v>942</v>
      </c>
      <c r="B690" s="5" t="s">
        <v>206</v>
      </c>
      <c r="C690" s="5" t="s">
        <v>58</v>
      </c>
      <c r="D690" s="5" t="s">
        <v>64</v>
      </c>
      <c r="E690" s="5" t="s">
        <v>72</v>
      </c>
      <c r="F690" s="26" t="n">
        <v>47.76</v>
      </c>
      <c r="G690" s="26" t="n">
        <v>48.42</v>
      </c>
      <c r="H690" s="30" t="n">
        <v>1.303</v>
      </c>
      <c r="I690" s="28" t="n">
        <f aca="false">H690*G690/3.6</f>
        <v>17.52535</v>
      </c>
      <c r="J690" s="30" t="n">
        <v>5.87</v>
      </c>
      <c r="K690" s="30" t="n">
        <v>1.028</v>
      </c>
      <c r="L690" s="30" t="n">
        <v>0.96</v>
      </c>
      <c r="M690" s="30" t="n">
        <v>7.36</v>
      </c>
      <c r="N690" s="25" t="n">
        <v>1.71957698726015</v>
      </c>
      <c r="O690" s="17" t="n">
        <v>0</v>
      </c>
      <c r="P690" s="26" t="n">
        <v>0</v>
      </c>
      <c r="Q690" s="24" t="n">
        <f aca="false">IF(O690=1,1/(1+EXP(-(P690-Inputs!$B$12)/Inputs!$B$13)),0)</f>
        <v>0</v>
      </c>
      <c r="R690" s="24" t="n">
        <f aca="false">N690*O690</f>
        <v>0</v>
      </c>
      <c r="S690" s="12" t="n">
        <f aca="false">N690*Q690</f>
        <v>0</v>
      </c>
      <c r="T690" s="24" t="n">
        <f aca="false">N690^2</f>
        <v>2.9569450151147</v>
      </c>
    </row>
    <row r="691" customFormat="false" ht="15" hidden="false" customHeight="false" outlineLevel="0" collapsed="false">
      <c r="A691" s="5" t="s">
        <v>943</v>
      </c>
      <c r="B691" s="5" t="s">
        <v>206</v>
      </c>
      <c r="C691" s="5" t="s">
        <v>58</v>
      </c>
      <c r="D691" s="5" t="s">
        <v>64</v>
      </c>
      <c r="E691" s="5" t="s">
        <v>72</v>
      </c>
      <c r="F691" s="26" t="n">
        <v>45.15</v>
      </c>
      <c r="G691" s="26" t="n">
        <v>43.51</v>
      </c>
      <c r="H691" s="30" t="n">
        <v>1.02</v>
      </c>
      <c r="I691" s="28" t="n">
        <f aca="false">H691*G691/3.6</f>
        <v>12.3278333333333</v>
      </c>
      <c r="J691" s="30" t="n">
        <v>2.84</v>
      </c>
      <c r="K691" s="30" t="n">
        <v>3.249</v>
      </c>
      <c r="L691" s="30" t="n">
        <v>1.342</v>
      </c>
      <c r="M691" s="30" t="n">
        <v>7.13</v>
      </c>
      <c r="N691" s="25" t="n">
        <v>0.0611768213419478</v>
      </c>
      <c r="O691" s="17" t="n">
        <v>0</v>
      </c>
      <c r="P691" s="26" t="n">
        <v>0</v>
      </c>
      <c r="Q691" s="24" t="n">
        <f aca="false">IF(O691=1,1/(1+EXP(-(P691-Inputs!$B$12)/Inputs!$B$13)),0)</f>
        <v>0</v>
      </c>
      <c r="R691" s="24" t="n">
        <f aca="false">N691*O691</f>
        <v>0</v>
      </c>
      <c r="S691" s="12" t="n">
        <f aca="false">N691*Q691</f>
        <v>0</v>
      </c>
      <c r="T691" s="24" t="n">
        <f aca="false">N691^2</f>
        <v>0.0037426034695046</v>
      </c>
    </row>
    <row r="692" customFormat="false" ht="15" hidden="false" customHeight="false" outlineLevel="0" collapsed="false">
      <c r="A692" s="5" t="s">
        <v>944</v>
      </c>
      <c r="B692" s="5" t="s">
        <v>206</v>
      </c>
      <c r="C692" s="5" t="s">
        <v>58</v>
      </c>
      <c r="D692" s="5" t="s">
        <v>64</v>
      </c>
      <c r="E692" s="5" t="s">
        <v>72</v>
      </c>
      <c r="F692" s="26" t="n">
        <v>39.64</v>
      </c>
      <c r="G692" s="26" t="n">
        <v>39.73</v>
      </c>
      <c r="H692" s="30" t="n">
        <v>1.177</v>
      </c>
      <c r="I692" s="28" t="n">
        <f aca="false">H692*G692/3.6</f>
        <v>12.9895027777778</v>
      </c>
      <c r="J692" s="30" t="n">
        <v>4.79</v>
      </c>
      <c r="K692" s="30" t="n">
        <v>2.065</v>
      </c>
      <c r="L692" s="30" t="n">
        <v>0.904</v>
      </c>
      <c r="M692" s="30" t="n">
        <v>7.6</v>
      </c>
      <c r="N692" s="25" t="n">
        <v>0.378317104464702</v>
      </c>
      <c r="O692" s="17" t="n">
        <v>0</v>
      </c>
      <c r="P692" s="26" t="n">
        <v>0</v>
      </c>
      <c r="Q692" s="24" t="n">
        <f aca="false">IF(O692=1,1/(1+EXP(-(P692-Inputs!$B$12)/Inputs!$B$13)),0)</f>
        <v>0</v>
      </c>
      <c r="R692" s="24" t="n">
        <f aca="false">N692*O692</f>
        <v>0</v>
      </c>
      <c r="S692" s="12" t="n">
        <f aca="false">N692*Q692</f>
        <v>0</v>
      </c>
      <c r="T692" s="24" t="n">
        <f aca="false">N692^2</f>
        <v>0.143123831530556</v>
      </c>
    </row>
    <row r="693" customFormat="false" ht="15" hidden="false" customHeight="false" outlineLevel="0" collapsed="false">
      <c r="A693" s="5" t="s">
        <v>945</v>
      </c>
      <c r="B693" s="5" t="s">
        <v>206</v>
      </c>
      <c r="C693" s="5" t="s">
        <v>58</v>
      </c>
      <c r="D693" s="5" t="s">
        <v>64</v>
      </c>
      <c r="E693" s="5" t="s">
        <v>72</v>
      </c>
      <c r="F693" s="26" t="n">
        <v>37.03</v>
      </c>
      <c r="G693" s="26" t="n">
        <v>38.42</v>
      </c>
      <c r="H693" s="30" t="n">
        <v>1.138</v>
      </c>
      <c r="I693" s="28" t="n">
        <f aca="false">H693*G693/3.6</f>
        <v>12.1449888888889</v>
      </c>
      <c r="J693" s="30" t="n">
        <v>4.2</v>
      </c>
      <c r="K693" s="30" t="n">
        <v>0.569</v>
      </c>
      <c r="L693" s="30" t="n">
        <v>1.433</v>
      </c>
      <c r="M693" s="30" t="n">
        <v>6.91</v>
      </c>
      <c r="N693" s="25" t="n">
        <v>1.42102991786094</v>
      </c>
      <c r="O693" s="17" t="n">
        <v>0</v>
      </c>
      <c r="P693" s="26" t="n">
        <v>0</v>
      </c>
      <c r="Q693" s="24" t="n">
        <f aca="false">IF(O693=1,1/(1+EXP(-(P693-Inputs!$B$12)/Inputs!$B$13)),0)</f>
        <v>0</v>
      </c>
      <c r="R693" s="24" t="n">
        <f aca="false">N693*O693</f>
        <v>0</v>
      </c>
      <c r="S693" s="12" t="n">
        <f aca="false">N693*Q693</f>
        <v>0</v>
      </c>
      <c r="T693" s="24" t="n">
        <f aca="false">N693^2</f>
        <v>2.01932602745588</v>
      </c>
    </row>
    <row r="694" customFormat="false" ht="15" hidden="false" customHeight="false" outlineLevel="0" collapsed="false">
      <c r="A694" s="5" t="s">
        <v>946</v>
      </c>
      <c r="B694" s="5" t="s">
        <v>206</v>
      </c>
      <c r="C694" s="5" t="s">
        <v>58</v>
      </c>
      <c r="D694" s="5" t="s">
        <v>64</v>
      </c>
      <c r="E694" s="5" t="s">
        <v>72</v>
      </c>
      <c r="F694" s="26" t="n">
        <v>39.19</v>
      </c>
      <c r="G694" s="26" t="n">
        <v>40.73</v>
      </c>
      <c r="H694" s="30" t="n">
        <v>1.122</v>
      </c>
      <c r="I694" s="28" t="n">
        <f aca="false">H694*G694/3.6</f>
        <v>12.6941833333333</v>
      </c>
      <c r="J694" s="30" t="n">
        <v>5.57</v>
      </c>
      <c r="K694" s="30" t="n">
        <v>3.469</v>
      </c>
      <c r="L694" s="30" t="n">
        <v>1.505</v>
      </c>
      <c r="M694" s="30" t="n">
        <v>4.41</v>
      </c>
      <c r="N694" s="25" t="n">
        <v>0.0686649342702555</v>
      </c>
      <c r="O694" s="17" t="n">
        <v>1</v>
      </c>
      <c r="P694" s="26" t="n">
        <v>30.73</v>
      </c>
      <c r="Q694" s="24" t="n">
        <f aca="false">IF(O694=1,1/(1+EXP(-(P694-Inputs!$B$12)/Inputs!$B$13)),0)</f>
        <v>0.115212278313401</v>
      </c>
      <c r="R694" s="24" t="n">
        <f aca="false">N694*O694</f>
        <v>0.0686649342702555</v>
      </c>
      <c r="S694" s="12" t="n">
        <f aca="false">N694*Q694</f>
        <v>0.00791104351751602</v>
      </c>
      <c r="T694" s="24" t="n">
        <f aca="false">N694^2</f>
        <v>0.0047148731983385</v>
      </c>
    </row>
    <row r="695" customFormat="false" ht="15" hidden="false" customHeight="false" outlineLevel="0" collapsed="false">
      <c r="A695" s="5" t="s">
        <v>947</v>
      </c>
      <c r="B695" s="5" t="s">
        <v>206</v>
      </c>
      <c r="C695" s="5" t="s">
        <v>58</v>
      </c>
      <c r="D695" s="5" t="s">
        <v>64</v>
      </c>
      <c r="E695" s="5" t="s">
        <v>72</v>
      </c>
      <c r="F695" s="26" t="n">
        <v>42.55</v>
      </c>
      <c r="G695" s="26" t="n">
        <v>43.36</v>
      </c>
      <c r="H695" s="30" t="n">
        <v>1.046</v>
      </c>
      <c r="I695" s="28" t="n">
        <f aca="false">H695*G695/3.6</f>
        <v>12.5984888888889</v>
      </c>
      <c r="J695" s="30" t="n">
        <v>2.89</v>
      </c>
      <c r="K695" s="30" t="n">
        <v>0.431</v>
      </c>
      <c r="L695" s="30" t="n">
        <v>2.891</v>
      </c>
      <c r="M695" s="30" t="n">
        <v>5.92</v>
      </c>
      <c r="N695" s="25" t="n">
        <v>0.0859165884309988</v>
      </c>
      <c r="O695" s="17" t="n">
        <v>0</v>
      </c>
      <c r="P695" s="26" t="n">
        <v>0</v>
      </c>
      <c r="Q695" s="24" t="n">
        <f aca="false">IF(O695=1,1/(1+EXP(-(P695-Inputs!$B$12)/Inputs!$B$13)),0)</f>
        <v>0</v>
      </c>
      <c r="R695" s="24" t="n">
        <f aca="false">N695*O695</f>
        <v>0</v>
      </c>
      <c r="S695" s="12" t="n">
        <f aca="false">N695*Q695</f>
        <v>0</v>
      </c>
      <c r="T695" s="24" t="n">
        <f aca="false">N695^2</f>
        <v>0.00738166016762163</v>
      </c>
    </row>
    <row r="696" customFormat="false" ht="15" hidden="false" customHeight="false" outlineLevel="0" collapsed="false">
      <c r="A696" s="5" t="s">
        <v>948</v>
      </c>
      <c r="B696" s="5" t="s">
        <v>207</v>
      </c>
      <c r="C696" s="5" t="s">
        <v>58</v>
      </c>
      <c r="D696" s="5" t="s">
        <v>64</v>
      </c>
      <c r="E696" s="5" t="s">
        <v>73</v>
      </c>
      <c r="F696" s="26" t="n">
        <v>38.24</v>
      </c>
      <c r="G696" s="26" t="n">
        <v>38.57</v>
      </c>
      <c r="H696" s="30" t="n">
        <v>0.736</v>
      </c>
      <c r="I696" s="28" t="n">
        <f aca="false">H696*G696/3.6</f>
        <v>7.88542222222222</v>
      </c>
      <c r="J696" s="30" t="n">
        <v>5.72</v>
      </c>
      <c r="K696" s="30" t="n">
        <v>0.816</v>
      </c>
      <c r="L696" s="30" t="n">
        <v>1.698</v>
      </c>
      <c r="M696" s="30" t="n">
        <v>4.56</v>
      </c>
      <c r="N696" s="25" t="n">
        <v>0.817302027546227</v>
      </c>
      <c r="O696" s="17" t="n">
        <v>1</v>
      </c>
      <c r="P696" s="26" t="n">
        <v>9.83</v>
      </c>
      <c r="Q696" s="24" t="n">
        <f aca="false">IF(O696=1,1/(1+EXP(-(P696-Inputs!$B$12)/Inputs!$B$13)),0)</f>
        <v>0.00653331722458406</v>
      </c>
      <c r="R696" s="24" t="n">
        <f aca="false">N696*O696</f>
        <v>0.817302027546227</v>
      </c>
      <c r="S696" s="12" t="n">
        <f aca="false">N696*Q696</f>
        <v>0.00533969341425524</v>
      </c>
      <c r="T696" s="24" t="n">
        <f aca="false">N696^2</f>
        <v>0.667982604231173</v>
      </c>
    </row>
    <row r="697" customFormat="false" ht="15" hidden="false" customHeight="false" outlineLevel="0" collapsed="false">
      <c r="A697" s="5" t="s">
        <v>949</v>
      </c>
      <c r="B697" s="5" t="s">
        <v>207</v>
      </c>
      <c r="C697" s="5" t="s">
        <v>58</v>
      </c>
      <c r="D697" s="5" t="s">
        <v>64</v>
      </c>
      <c r="E697" s="5" t="s">
        <v>73</v>
      </c>
      <c r="F697" s="26" t="n">
        <v>43.99</v>
      </c>
      <c r="G697" s="26" t="n">
        <v>41.97</v>
      </c>
      <c r="H697" s="30" t="n">
        <v>0.589</v>
      </c>
      <c r="I697" s="28" t="n">
        <f aca="false">H697*G697/3.6</f>
        <v>6.86675833333333</v>
      </c>
      <c r="J697" s="30" t="n">
        <v>4.14</v>
      </c>
      <c r="K697" s="30" t="n">
        <v>1.62</v>
      </c>
      <c r="L697" s="30" t="n">
        <v>2.638</v>
      </c>
      <c r="M697" s="30" t="n">
        <v>3.97</v>
      </c>
      <c r="N697" s="25" t="n">
        <v>0.0259310999104986</v>
      </c>
      <c r="O697" s="17" t="n">
        <v>1</v>
      </c>
      <c r="P697" s="26" t="n">
        <v>22.11</v>
      </c>
      <c r="Q697" s="24" t="n">
        <f aca="false">IF(O697=1,1/(1+EXP(-(P697-Inputs!$B$12)/Inputs!$B$13)),0)</f>
        <v>0.0366148282744899</v>
      </c>
      <c r="R697" s="24" t="n">
        <f aca="false">N697*O697</f>
        <v>0.0259310999104986</v>
      </c>
      <c r="S697" s="12" t="n">
        <f aca="false">N697*Q697</f>
        <v>0.000949462770191546</v>
      </c>
      <c r="T697" s="24" t="n">
        <f aca="false">N697^2</f>
        <v>0.00067242194256826</v>
      </c>
    </row>
    <row r="698" customFormat="false" ht="15" hidden="false" customHeight="false" outlineLevel="0" collapsed="false">
      <c r="A698" s="5" t="s">
        <v>950</v>
      </c>
      <c r="B698" s="5" t="s">
        <v>207</v>
      </c>
      <c r="C698" s="5" t="s">
        <v>58</v>
      </c>
      <c r="D698" s="5" t="s">
        <v>64</v>
      </c>
      <c r="E698" s="5" t="s">
        <v>73</v>
      </c>
      <c r="F698" s="26" t="n">
        <v>51.62</v>
      </c>
      <c r="G698" s="26" t="n">
        <v>53.03</v>
      </c>
      <c r="H698" s="30" t="n">
        <v>0.784</v>
      </c>
      <c r="I698" s="28" t="n">
        <f aca="false">H698*G698/3.6</f>
        <v>11.5487555555556</v>
      </c>
      <c r="J698" s="30" t="n">
        <v>5.5</v>
      </c>
      <c r="K698" s="30" t="n">
        <v>1.253</v>
      </c>
      <c r="L698" s="30" t="n">
        <v>0.971</v>
      </c>
      <c r="M698" s="30" t="n">
        <v>5.35</v>
      </c>
      <c r="N698" s="25" t="n">
        <v>1.49424989366014</v>
      </c>
      <c r="O698" s="17" t="n">
        <v>0</v>
      </c>
      <c r="P698" s="26" t="n">
        <v>0</v>
      </c>
      <c r="Q698" s="24" t="n">
        <f aca="false">IF(O698=1,1/(1+EXP(-(P698-Inputs!$B$12)/Inputs!$B$13)),0)</f>
        <v>0</v>
      </c>
      <c r="R698" s="24" t="n">
        <f aca="false">N698*O698</f>
        <v>0</v>
      </c>
      <c r="S698" s="12" t="n">
        <f aca="false">N698*Q698</f>
        <v>0</v>
      </c>
      <c r="T698" s="24" t="n">
        <f aca="false">N698^2</f>
        <v>2.23278274470335</v>
      </c>
    </row>
    <row r="699" customFormat="false" ht="15" hidden="false" customHeight="false" outlineLevel="0" collapsed="false">
      <c r="A699" s="5" t="s">
        <v>951</v>
      </c>
      <c r="B699" s="5" t="s">
        <v>207</v>
      </c>
      <c r="C699" s="5" t="s">
        <v>58</v>
      </c>
      <c r="D699" s="5" t="s">
        <v>64</v>
      </c>
      <c r="E699" s="5" t="s">
        <v>73</v>
      </c>
      <c r="F699" s="26" t="n">
        <v>52.21</v>
      </c>
      <c r="G699" s="26" t="n">
        <v>55.4</v>
      </c>
      <c r="H699" s="30" t="n">
        <v>0.565</v>
      </c>
      <c r="I699" s="28" t="n">
        <f aca="false">H699*G699/3.6</f>
        <v>8.69472222222222</v>
      </c>
      <c r="J699" s="30" t="n">
        <v>3.97</v>
      </c>
      <c r="K699" s="30" t="n">
        <v>0.868</v>
      </c>
      <c r="L699" s="30" t="n">
        <v>1.076</v>
      </c>
      <c r="M699" s="30" t="n">
        <v>7.79</v>
      </c>
      <c r="N699" s="25" t="n">
        <v>0.983002550643763</v>
      </c>
      <c r="O699" s="17" t="n">
        <v>0</v>
      </c>
      <c r="P699" s="26" t="n">
        <v>0</v>
      </c>
      <c r="Q699" s="24" t="n">
        <f aca="false">IF(O699=1,1/(1+EXP(-(P699-Inputs!$B$12)/Inputs!$B$13)),0)</f>
        <v>0</v>
      </c>
      <c r="R699" s="24" t="n">
        <f aca="false">N699*O699</f>
        <v>0</v>
      </c>
      <c r="S699" s="12" t="n">
        <f aca="false">N699*Q699</f>
        <v>0</v>
      </c>
      <c r="T699" s="24" t="n">
        <f aca="false">N699^2</f>
        <v>0.966294014572143</v>
      </c>
    </row>
    <row r="700" customFormat="false" ht="15" hidden="false" customHeight="false" outlineLevel="0" collapsed="false">
      <c r="A700" s="5" t="s">
        <v>952</v>
      </c>
      <c r="B700" s="5" t="s">
        <v>207</v>
      </c>
      <c r="C700" s="5" t="s">
        <v>58</v>
      </c>
      <c r="D700" s="5" t="s">
        <v>64</v>
      </c>
      <c r="E700" s="5" t="s">
        <v>73</v>
      </c>
      <c r="F700" s="26" t="n">
        <v>45.28</v>
      </c>
      <c r="G700" s="26" t="n">
        <v>46.95</v>
      </c>
      <c r="H700" s="30" t="n">
        <v>0.557</v>
      </c>
      <c r="I700" s="28" t="n">
        <f aca="false">H700*G700/3.6</f>
        <v>7.26420833333333</v>
      </c>
      <c r="J700" s="30" t="n">
        <v>2.55</v>
      </c>
      <c r="K700" s="30" t="n">
        <v>1.813</v>
      </c>
      <c r="L700" s="30" t="n">
        <v>1.291</v>
      </c>
      <c r="M700" s="30" t="n">
        <v>5.11</v>
      </c>
      <c r="N700" s="25" t="n">
        <v>0.331785924322191</v>
      </c>
      <c r="O700" s="17" t="n">
        <v>0</v>
      </c>
      <c r="P700" s="26" t="n">
        <v>0</v>
      </c>
      <c r="Q700" s="24" t="n">
        <f aca="false">IF(O700=1,1/(1+EXP(-(P700-Inputs!$B$12)/Inputs!$B$13)),0)</f>
        <v>0</v>
      </c>
      <c r="R700" s="24" t="n">
        <f aca="false">N700*O700</f>
        <v>0</v>
      </c>
      <c r="S700" s="12" t="n">
        <f aca="false">N700*Q700</f>
        <v>0</v>
      </c>
      <c r="T700" s="24" t="n">
        <f aca="false">N700^2</f>
        <v>0.110081899578331</v>
      </c>
    </row>
    <row r="701" customFormat="false" ht="15" hidden="false" customHeight="false" outlineLevel="0" collapsed="false">
      <c r="A701" s="5" t="s">
        <v>953</v>
      </c>
      <c r="B701" s="5" t="s">
        <v>207</v>
      </c>
      <c r="C701" s="5" t="s">
        <v>58</v>
      </c>
      <c r="D701" s="5" t="s">
        <v>64</v>
      </c>
      <c r="E701" s="5" t="s">
        <v>73</v>
      </c>
      <c r="F701" s="26" t="n">
        <v>43.97</v>
      </c>
      <c r="G701" s="26" t="n">
        <v>40.75</v>
      </c>
      <c r="H701" s="30" t="n">
        <v>0.581</v>
      </c>
      <c r="I701" s="28" t="n">
        <f aca="false">H701*G701/3.6</f>
        <v>6.57659722222222</v>
      </c>
      <c r="J701" s="30" t="n">
        <v>4.49</v>
      </c>
      <c r="K701" s="30" t="n">
        <v>1.221</v>
      </c>
      <c r="L701" s="30" t="n">
        <v>1.467</v>
      </c>
      <c r="M701" s="30" t="n">
        <v>4.78</v>
      </c>
      <c r="N701" s="25" t="n">
        <v>0.494528719815068</v>
      </c>
      <c r="O701" s="17" t="n">
        <v>0</v>
      </c>
      <c r="P701" s="26" t="n">
        <v>0</v>
      </c>
      <c r="Q701" s="24" t="n">
        <f aca="false">IF(O701=1,1/(1+EXP(-(P701-Inputs!$B$12)/Inputs!$B$13)),0)</f>
        <v>0</v>
      </c>
      <c r="R701" s="24" t="n">
        <f aca="false">N701*O701</f>
        <v>0</v>
      </c>
      <c r="S701" s="12" t="n">
        <f aca="false">N701*Q701</f>
        <v>0</v>
      </c>
      <c r="T701" s="24" t="n">
        <f aca="false">N701^2</f>
        <v>0.24455865472193</v>
      </c>
    </row>
    <row r="702" customFormat="false" ht="15" hidden="false" customHeight="false" outlineLevel="0" collapsed="false">
      <c r="A702" s="5" t="s">
        <v>954</v>
      </c>
      <c r="B702" s="5" t="s">
        <v>207</v>
      </c>
      <c r="C702" s="5" t="s">
        <v>58</v>
      </c>
      <c r="D702" s="5" t="s">
        <v>64</v>
      </c>
      <c r="E702" s="5" t="s">
        <v>73</v>
      </c>
      <c r="F702" s="26" t="n">
        <v>49.69</v>
      </c>
      <c r="G702" s="26" t="n">
        <v>49.87</v>
      </c>
      <c r="H702" s="30" t="n">
        <v>0.62</v>
      </c>
      <c r="I702" s="28" t="n">
        <f aca="false">H702*G702/3.6</f>
        <v>8.58872222222222</v>
      </c>
      <c r="J702" s="30" t="n">
        <v>4.12</v>
      </c>
      <c r="K702" s="30" t="n">
        <v>1.039</v>
      </c>
      <c r="L702" s="30" t="n">
        <v>0.748</v>
      </c>
      <c r="M702" s="30" t="n">
        <v>6.73</v>
      </c>
      <c r="N702" s="25" t="n">
        <v>2.13279119359765</v>
      </c>
      <c r="O702" s="17" t="n">
        <v>0</v>
      </c>
      <c r="P702" s="26" t="n">
        <v>0</v>
      </c>
      <c r="Q702" s="24" t="n">
        <f aca="false">IF(O702=1,1/(1+EXP(-(P702-Inputs!$B$12)/Inputs!$B$13)),0)</f>
        <v>0</v>
      </c>
      <c r="R702" s="24" t="n">
        <f aca="false">N702*O702</f>
        <v>0</v>
      </c>
      <c r="S702" s="12" t="n">
        <f aca="false">N702*Q702</f>
        <v>0</v>
      </c>
      <c r="T702" s="24" t="n">
        <f aca="false">N702^2</f>
        <v>4.54879827548767</v>
      </c>
    </row>
    <row r="703" customFormat="false" ht="15" hidden="false" customHeight="false" outlineLevel="0" collapsed="false">
      <c r="A703" s="5" t="s">
        <v>955</v>
      </c>
      <c r="B703" s="5" t="s">
        <v>207</v>
      </c>
      <c r="C703" s="5" t="s">
        <v>58</v>
      </c>
      <c r="D703" s="5" t="s">
        <v>64</v>
      </c>
      <c r="E703" s="5" t="s">
        <v>73</v>
      </c>
      <c r="F703" s="26" t="n">
        <v>36.95</v>
      </c>
      <c r="G703" s="26" t="n">
        <v>37.3</v>
      </c>
      <c r="H703" s="30" t="n">
        <v>0.51</v>
      </c>
      <c r="I703" s="28" t="n">
        <f aca="false">H703*G703/3.6</f>
        <v>5.28416666666667</v>
      </c>
      <c r="J703" s="30" t="n">
        <v>2.63</v>
      </c>
      <c r="K703" s="30" t="n">
        <v>1.591</v>
      </c>
      <c r="L703" s="30" t="n">
        <v>1.714</v>
      </c>
      <c r="M703" s="30" t="n">
        <v>7.15</v>
      </c>
      <c r="N703" s="25" t="n">
        <v>0.0938505685754852</v>
      </c>
      <c r="O703" s="17" t="n">
        <v>1</v>
      </c>
      <c r="P703" s="26" t="n">
        <v>2.89</v>
      </c>
      <c r="Q703" s="24" t="n">
        <f aca="false">IF(O703=1,1/(1+EXP(-(P703-Inputs!$B$12)/Inputs!$B$13)),0)</f>
        <v>0.0024341651917276</v>
      </c>
      <c r="R703" s="24" t="n">
        <f aca="false">N703*O703</f>
        <v>0.0938505685754852</v>
      </c>
      <c r="S703" s="12" t="n">
        <f aca="false">N703*Q703</f>
        <v>0.00022844778725029</v>
      </c>
      <c r="T703" s="24" t="n">
        <f aca="false">N703^2</f>
        <v>0.00880792922194184</v>
      </c>
    </row>
    <row r="704" customFormat="false" ht="15" hidden="false" customHeight="false" outlineLevel="0" collapsed="false">
      <c r="A704" s="5" t="s">
        <v>956</v>
      </c>
      <c r="B704" s="5" t="s">
        <v>207</v>
      </c>
      <c r="C704" s="5" t="s">
        <v>58</v>
      </c>
      <c r="D704" s="5" t="s">
        <v>64</v>
      </c>
      <c r="E704" s="5" t="s">
        <v>73</v>
      </c>
      <c r="F704" s="26" t="n">
        <v>42.4</v>
      </c>
      <c r="G704" s="26" t="n">
        <v>43.2</v>
      </c>
      <c r="H704" s="30" t="n">
        <v>0.855</v>
      </c>
      <c r="I704" s="28" t="n">
        <f aca="false">H704*G704/3.6</f>
        <v>10.26</v>
      </c>
      <c r="J704" s="30" t="n">
        <v>4.39</v>
      </c>
      <c r="K704" s="30" t="n">
        <v>1.93</v>
      </c>
      <c r="L704" s="30" t="n">
        <v>0.948</v>
      </c>
      <c r="M704" s="30" t="n">
        <v>5.89</v>
      </c>
      <c r="N704" s="25" t="n">
        <v>0.981468032183286</v>
      </c>
      <c r="O704" s="17" t="n">
        <v>0</v>
      </c>
      <c r="P704" s="26" t="n">
        <v>0</v>
      </c>
      <c r="Q704" s="24" t="n">
        <f aca="false">IF(O704=1,1/(1+EXP(-(P704-Inputs!$B$12)/Inputs!$B$13)),0)</f>
        <v>0</v>
      </c>
      <c r="R704" s="24" t="n">
        <f aca="false">N704*O704</f>
        <v>0</v>
      </c>
      <c r="S704" s="12" t="n">
        <f aca="false">N704*Q704</f>
        <v>0</v>
      </c>
      <c r="T704" s="24" t="n">
        <f aca="false">N704^2</f>
        <v>0.963279498197732</v>
      </c>
    </row>
    <row r="705" customFormat="false" ht="15" hidden="false" customHeight="false" outlineLevel="0" collapsed="false">
      <c r="A705" s="5" t="s">
        <v>957</v>
      </c>
      <c r="B705" s="5" t="s">
        <v>207</v>
      </c>
      <c r="C705" s="5" t="s">
        <v>58</v>
      </c>
      <c r="D705" s="5" t="s">
        <v>64</v>
      </c>
      <c r="E705" s="5" t="s">
        <v>73</v>
      </c>
      <c r="F705" s="26" t="n">
        <v>47.55</v>
      </c>
      <c r="G705" s="26" t="n">
        <v>42.42</v>
      </c>
      <c r="H705" s="30" t="n">
        <v>0.704</v>
      </c>
      <c r="I705" s="28" t="n">
        <f aca="false">H705*G705/3.6</f>
        <v>8.29546666666667</v>
      </c>
      <c r="J705" s="30" t="n">
        <v>5.27</v>
      </c>
      <c r="K705" s="30" t="n">
        <v>1.256</v>
      </c>
      <c r="L705" s="30" t="n">
        <v>0.731</v>
      </c>
      <c r="M705" s="30" t="n">
        <v>7.48</v>
      </c>
      <c r="N705" s="25" t="n">
        <v>1.41832207484147</v>
      </c>
      <c r="O705" s="17" t="n">
        <v>0</v>
      </c>
      <c r="P705" s="26" t="n">
        <v>0</v>
      </c>
      <c r="Q705" s="24" t="n">
        <f aca="false">IF(O705=1,1/(1+EXP(-(P705-Inputs!$B$12)/Inputs!$B$13)),0)</f>
        <v>0</v>
      </c>
      <c r="R705" s="24" t="n">
        <f aca="false">N705*O705</f>
        <v>0</v>
      </c>
      <c r="S705" s="12" t="n">
        <f aca="false">N705*Q705</f>
        <v>0</v>
      </c>
      <c r="T705" s="24" t="n">
        <f aca="false">N705^2</f>
        <v>2.0116375079826</v>
      </c>
    </row>
    <row r="706" customFormat="false" ht="15" hidden="false" customHeight="false" outlineLevel="0" collapsed="false">
      <c r="A706" s="5" t="s">
        <v>958</v>
      </c>
      <c r="B706" s="5" t="s">
        <v>208</v>
      </c>
      <c r="C706" s="5" t="s">
        <v>58</v>
      </c>
      <c r="D706" s="5" t="s">
        <v>65</v>
      </c>
      <c r="E706" s="5" t="s">
        <v>68</v>
      </c>
      <c r="F706" s="26" t="n">
        <v>58.56</v>
      </c>
      <c r="G706" s="26" t="n">
        <v>56.55</v>
      </c>
      <c r="H706" s="30" t="n">
        <v>3.346</v>
      </c>
      <c r="I706" s="28" t="n">
        <f aca="false">H706*G706/3.6</f>
        <v>52.5600833333333</v>
      </c>
      <c r="J706" s="30" t="n">
        <v>4.62</v>
      </c>
      <c r="K706" s="30" t="n">
        <v>1.941</v>
      </c>
      <c r="L706" s="30" t="n">
        <v>1.406</v>
      </c>
      <c r="M706" s="30" t="n">
        <v>7.07</v>
      </c>
      <c r="N706" s="25" t="n">
        <v>0.127491968707472</v>
      </c>
      <c r="O706" s="17" t="n">
        <v>0</v>
      </c>
      <c r="P706" s="26" t="n">
        <v>0</v>
      </c>
      <c r="Q706" s="24" t="n">
        <f aca="false">IF(O706=1,1/(1+EXP(-(P706-Inputs!$B$12)/Inputs!$B$13)),0)</f>
        <v>0</v>
      </c>
      <c r="R706" s="24" t="n">
        <f aca="false">N706*O706</f>
        <v>0</v>
      </c>
      <c r="S706" s="12" t="n">
        <f aca="false">N706*Q706</f>
        <v>0</v>
      </c>
      <c r="T706" s="24" t="n">
        <f aca="false">N706^2</f>
        <v>0.0162542020849069</v>
      </c>
    </row>
    <row r="707" customFormat="false" ht="15" hidden="false" customHeight="false" outlineLevel="0" collapsed="false">
      <c r="A707" s="5" t="s">
        <v>959</v>
      </c>
      <c r="B707" s="5" t="s">
        <v>208</v>
      </c>
      <c r="C707" s="5" t="s">
        <v>58</v>
      </c>
      <c r="D707" s="5" t="s">
        <v>65</v>
      </c>
      <c r="E707" s="5" t="s">
        <v>68</v>
      </c>
      <c r="F707" s="26" t="n">
        <v>62.32</v>
      </c>
      <c r="G707" s="26" t="n">
        <v>62.15</v>
      </c>
      <c r="H707" s="30" t="n">
        <v>3.719</v>
      </c>
      <c r="I707" s="28" t="n">
        <f aca="false">H707*G707/3.6</f>
        <v>64.2044027777778</v>
      </c>
      <c r="J707" s="30" t="n">
        <v>3.5</v>
      </c>
      <c r="K707" s="30" t="n">
        <v>1.892</v>
      </c>
      <c r="L707" s="30" t="n">
        <v>1.354</v>
      </c>
      <c r="M707" s="30" t="n">
        <v>5.7</v>
      </c>
      <c r="N707" s="25" t="n">
        <v>0.220152266816436</v>
      </c>
      <c r="O707" s="17" t="n">
        <v>0</v>
      </c>
      <c r="P707" s="26" t="n">
        <v>0</v>
      </c>
      <c r="Q707" s="24" t="n">
        <f aca="false">IF(O707=1,1/(1+EXP(-(P707-Inputs!$B$12)/Inputs!$B$13)),0)</f>
        <v>0</v>
      </c>
      <c r="R707" s="24" t="n">
        <f aca="false">N707*O707</f>
        <v>0</v>
      </c>
      <c r="S707" s="12" t="n">
        <f aca="false">N707*Q707</f>
        <v>0</v>
      </c>
      <c r="T707" s="24" t="n">
        <f aca="false">N707^2</f>
        <v>0.0484670205844152</v>
      </c>
    </row>
    <row r="708" customFormat="false" ht="15" hidden="false" customHeight="false" outlineLevel="0" collapsed="false">
      <c r="A708" s="5" t="s">
        <v>960</v>
      </c>
      <c r="B708" s="5" t="s">
        <v>208</v>
      </c>
      <c r="C708" s="5" t="s">
        <v>58</v>
      </c>
      <c r="D708" s="5" t="s">
        <v>65</v>
      </c>
      <c r="E708" s="5" t="s">
        <v>68</v>
      </c>
      <c r="F708" s="26" t="n">
        <v>62</v>
      </c>
      <c r="G708" s="26" t="n">
        <v>61.61</v>
      </c>
      <c r="H708" s="30" t="n">
        <v>5.855</v>
      </c>
      <c r="I708" s="28" t="n">
        <f aca="false">H708*G708/3.6</f>
        <v>100.201819444444</v>
      </c>
      <c r="J708" s="30" t="n">
        <v>4.55</v>
      </c>
      <c r="K708" s="30" t="n">
        <v>0.727</v>
      </c>
      <c r="L708" s="30" t="n">
        <v>1</v>
      </c>
      <c r="M708" s="30" t="n">
        <v>5.3</v>
      </c>
      <c r="N708" s="25" t="n">
        <v>33.1267302388757</v>
      </c>
      <c r="O708" s="17" t="n">
        <v>0</v>
      </c>
      <c r="P708" s="26" t="n">
        <v>0</v>
      </c>
      <c r="Q708" s="24" t="n">
        <f aca="false">IF(O708=1,1/(1+EXP(-(P708-Inputs!$B$12)/Inputs!$B$13)),0)</f>
        <v>0</v>
      </c>
      <c r="R708" s="24" t="n">
        <f aca="false">N708*O708</f>
        <v>0</v>
      </c>
      <c r="S708" s="12" t="n">
        <f aca="false">N708*Q708</f>
        <v>0</v>
      </c>
      <c r="T708" s="24" t="n">
        <f aca="false">N708^2</f>
        <v>1097.38025631924</v>
      </c>
    </row>
    <row r="709" customFormat="false" ht="15" hidden="false" customHeight="false" outlineLevel="0" collapsed="false">
      <c r="A709" s="5" t="s">
        <v>961</v>
      </c>
      <c r="B709" s="5" t="s">
        <v>208</v>
      </c>
      <c r="C709" s="5" t="s">
        <v>58</v>
      </c>
      <c r="D709" s="5" t="s">
        <v>65</v>
      </c>
      <c r="E709" s="5" t="s">
        <v>68</v>
      </c>
      <c r="F709" s="26" t="n">
        <v>70.16</v>
      </c>
      <c r="G709" s="26" t="n">
        <v>72.38</v>
      </c>
      <c r="H709" s="30" t="n">
        <v>4.541</v>
      </c>
      <c r="I709" s="28" t="n">
        <f aca="false">H709*G709/3.6</f>
        <v>91.2993277777778</v>
      </c>
      <c r="J709" s="30" t="n">
        <v>5.81</v>
      </c>
      <c r="K709" s="30" t="n">
        <v>1.886</v>
      </c>
      <c r="L709" s="30" t="n">
        <v>2.166</v>
      </c>
      <c r="M709" s="30" t="n">
        <v>4.41</v>
      </c>
      <c r="N709" s="25" t="n">
        <v>0.0513951620153389</v>
      </c>
      <c r="O709" s="17" t="n">
        <v>0</v>
      </c>
      <c r="P709" s="26" t="n">
        <v>0</v>
      </c>
      <c r="Q709" s="24" t="n">
        <f aca="false">IF(O709=1,1/(1+EXP(-(P709-Inputs!$B$12)/Inputs!$B$13)),0)</f>
        <v>0</v>
      </c>
      <c r="R709" s="24" t="n">
        <f aca="false">N709*O709</f>
        <v>0</v>
      </c>
      <c r="S709" s="12" t="n">
        <f aca="false">N709*Q709</f>
        <v>0</v>
      </c>
      <c r="T709" s="24" t="n">
        <f aca="false">N709^2</f>
        <v>0.00264146267858293</v>
      </c>
    </row>
    <row r="710" customFormat="false" ht="15" hidden="false" customHeight="false" outlineLevel="0" collapsed="false">
      <c r="A710" s="5" t="s">
        <v>962</v>
      </c>
      <c r="B710" s="5" t="s">
        <v>208</v>
      </c>
      <c r="C710" s="5" t="s">
        <v>58</v>
      </c>
      <c r="D710" s="5" t="s">
        <v>65</v>
      </c>
      <c r="E710" s="5" t="s">
        <v>68</v>
      </c>
      <c r="F710" s="26" t="n">
        <v>72.72</v>
      </c>
      <c r="G710" s="26" t="n">
        <v>71.66</v>
      </c>
      <c r="H710" s="30" t="n">
        <v>3.408</v>
      </c>
      <c r="I710" s="28" t="n">
        <f aca="false">H710*G710/3.6</f>
        <v>67.8381333333333</v>
      </c>
      <c r="J710" s="30" t="n">
        <v>5.39</v>
      </c>
      <c r="K710" s="30" t="n">
        <v>1.366</v>
      </c>
      <c r="L710" s="30" t="n">
        <v>1.601</v>
      </c>
      <c r="M710" s="30" t="n">
        <v>4.74</v>
      </c>
      <c r="N710" s="25" t="n">
        <v>0.285812804590725</v>
      </c>
      <c r="O710" s="17" t="n">
        <v>0</v>
      </c>
      <c r="P710" s="26" t="n">
        <v>0</v>
      </c>
      <c r="Q710" s="24" t="n">
        <f aca="false">IF(O710=1,1/(1+EXP(-(P710-Inputs!$B$12)/Inputs!$B$13)),0)</f>
        <v>0</v>
      </c>
      <c r="R710" s="24" t="n">
        <f aca="false">N710*O710</f>
        <v>0</v>
      </c>
      <c r="S710" s="12" t="n">
        <f aca="false">N710*Q710</f>
        <v>0</v>
      </c>
      <c r="T710" s="24" t="n">
        <f aca="false">N710^2</f>
        <v>0.0816889592680158</v>
      </c>
    </row>
    <row r="711" customFormat="false" ht="15" hidden="false" customHeight="false" outlineLevel="0" collapsed="false">
      <c r="A711" s="5" t="s">
        <v>963</v>
      </c>
      <c r="B711" s="5" t="s">
        <v>208</v>
      </c>
      <c r="C711" s="5" t="s">
        <v>58</v>
      </c>
      <c r="D711" s="5" t="s">
        <v>65</v>
      </c>
      <c r="E711" s="5" t="s">
        <v>68</v>
      </c>
      <c r="F711" s="26" t="n">
        <v>65.59</v>
      </c>
      <c r="G711" s="26" t="n">
        <v>65.53</v>
      </c>
      <c r="H711" s="30" t="n">
        <v>3.502</v>
      </c>
      <c r="I711" s="28" t="n">
        <f aca="false">H711*G711/3.6</f>
        <v>63.7461277777778</v>
      </c>
      <c r="J711" s="30" t="n">
        <v>3.51</v>
      </c>
      <c r="K711" s="30" t="n">
        <v>0.902</v>
      </c>
      <c r="L711" s="30" t="n">
        <v>1.057</v>
      </c>
      <c r="M711" s="30" t="n">
        <v>5.3</v>
      </c>
      <c r="N711" s="25" t="n">
        <v>2.07669725497804</v>
      </c>
      <c r="O711" s="17" t="n">
        <v>0</v>
      </c>
      <c r="P711" s="26" t="n">
        <v>0</v>
      </c>
      <c r="Q711" s="24" t="n">
        <f aca="false">IF(O711=1,1/(1+EXP(-(P711-Inputs!$B$12)/Inputs!$B$13)),0)</f>
        <v>0</v>
      </c>
      <c r="R711" s="24" t="n">
        <f aca="false">N711*O711</f>
        <v>0</v>
      </c>
      <c r="S711" s="12" t="n">
        <f aca="false">N711*Q711</f>
        <v>0</v>
      </c>
      <c r="T711" s="24" t="n">
        <f aca="false">N711^2</f>
        <v>4.31267148883331</v>
      </c>
    </row>
    <row r="712" customFormat="false" ht="15" hidden="false" customHeight="false" outlineLevel="0" collapsed="false">
      <c r="A712" s="5" t="s">
        <v>964</v>
      </c>
      <c r="B712" s="5" t="s">
        <v>208</v>
      </c>
      <c r="C712" s="5" t="s">
        <v>58</v>
      </c>
      <c r="D712" s="5" t="s">
        <v>65</v>
      </c>
      <c r="E712" s="5" t="s">
        <v>68</v>
      </c>
      <c r="F712" s="26" t="n">
        <v>69.8</v>
      </c>
      <c r="G712" s="26" t="n">
        <v>70.83</v>
      </c>
      <c r="H712" s="30" t="n">
        <v>5.171</v>
      </c>
      <c r="I712" s="28" t="n">
        <f aca="false">H712*G712/3.6</f>
        <v>101.739425</v>
      </c>
      <c r="J712" s="30" t="n">
        <v>3</v>
      </c>
      <c r="K712" s="30" t="n">
        <v>1.155</v>
      </c>
      <c r="L712" s="30" t="n">
        <v>1.583</v>
      </c>
      <c r="M712" s="30" t="n">
        <v>3.9</v>
      </c>
      <c r="N712" s="25" t="n">
        <v>0.97833953583957</v>
      </c>
      <c r="O712" s="17" t="n">
        <v>0</v>
      </c>
      <c r="P712" s="26" t="n">
        <v>0</v>
      </c>
      <c r="Q712" s="24" t="n">
        <f aca="false">IF(O712=1,1/(1+EXP(-(P712-Inputs!$B$12)/Inputs!$B$13)),0)</f>
        <v>0</v>
      </c>
      <c r="R712" s="24" t="n">
        <f aca="false">N712*O712</f>
        <v>0</v>
      </c>
      <c r="S712" s="12" t="n">
        <f aca="false">N712*Q712</f>
        <v>0</v>
      </c>
      <c r="T712" s="24" t="n">
        <f aca="false">N712^2</f>
        <v>0.957148247386784</v>
      </c>
    </row>
    <row r="713" customFormat="false" ht="15" hidden="false" customHeight="false" outlineLevel="0" collapsed="false">
      <c r="A713" s="5" t="s">
        <v>965</v>
      </c>
      <c r="B713" s="5" t="s">
        <v>208</v>
      </c>
      <c r="C713" s="5" t="s">
        <v>58</v>
      </c>
      <c r="D713" s="5" t="s">
        <v>65</v>
      </c>
      <c r="E713" s="5" t="s">
        <v>68</v>
      </c>
      <c r="F713" s="26" t="n">
        <v>74.29</v>
      </c>
      <c r="G713" s="26" t="n">
        <v>75.39</v>
      </c>
      <c r="H713" s="30" t="n">
        <v>3.934</v>
      </c>
      <c r="I713" s="28" t="n">
        <f aca="false">H713*G713/3.6</f>
        <v>82.3845166666667</v>
      </c>
      <c r="J713" s="30" t="n">
        <v>5.58</v>
      </c>
      <c r="K713" s="30" t="n">
        <v>1.241</v>
      </c>
      <c r="L713" s="30" t="n">
        <v>2.038</v>
      </c>
      <c r="M713" s="30" t="n">
        <v>7.19</v>
      </c>
      <c r="N713" s="25" t="n">
        <v>0.0496773091359026</v>
      </c>
      <c r="O713" s="17" t="n">
        <v>0</v>
      </c>
      <c r="P713" s="26" t="n">
        <v>0</v>
      </c>
      <c r="Q713" s="24" t="n">
        <f aca="false">IF(O713=1,1/(1+EXP(-(P713-Inputs!$B$12)/Inputs!$B$13)),0)</f>
        <v>0</v>
      </c>
      <c r="R713" s="24" t="n">
        <f aca="false">N713*O713</f>
        <v>0</v>
      </c>
      <c r="S713" s="12" t="n">
        <f aca="false">N713*Q713</f>
        <v>0</v>
      </c>
      <c r="T713" s="24" t="n">
        <f aca="false">N713^2</f>
        <v>0.00246783504298403</v>
      </c>
    </row>
    <row r="714" customFormat="false" ht="15" hidden="false" customHeight="false" outlineLevel="0" collapsed="false">
      <c r="A714" s="5" t="s">
        <v>966</v>
      </c>
      <c r="B714" s="5" t="s">
        <v>208</v>
      </c>
      <c r="C714" s="5" t="s">
        <v>58</v>
      </c>
      <c r="D714" s="5" t="s">
        <v>65</v>
      </c>
      <c r="E714" s="5" t="s">
        <v>68</v>
      </c>
      <c r="F714" s="26" t="n">
        <v>68.45</v>
      </c>
      <c r="G714" s="26" t="n">
        <v>64.31</v>
      </c>
      <c r="H714" s="30" t="n">
        <v>5.002</v>
      </c>
      <c r="I714" s="28" t="n">
        <f aca="false">H714*G714/3.6</f>
        <v>89.3551722222222</v>
      </c>
      <c r="J714" s="30" t="n">
        <v>5.31</v>
      </c>
      <c r="K714" s="30" t="n">
        <v>0.775</v>
      </c>
      <c r="L714" s="30" t="n">
        <v>0.816</v>
      </c>
      <c r="M714" s="30" t="n">
        <v>5.72</v>
      </c>
      <c r="N714" s="25" t="n">
        <v>6.04726080973095</v>
      </c>
      <c r="O714" s="17" t="n">
        <v>0</v>
      </c>
      <c r="P714" s="26" t="n">
        <v>0</v>
      </c>
      <c r="Q714" s="24" t="n">
        <f aca="false">IF(O714=1,1/(1+EXP(-(P714-Inputs!$B$12)/Inputs!$B$13)),0)</f>
        <v>0</v>
      </c>
      <c r="R714" s="24" t="n">
        <f aca="false">N714*O714</f>
        <v>0</v>
      </c>
      <c r="S714" s="12" t="n">
        <f aca="false">N714*Q714</f>
        <v>0</v>
      </c>
      <c r="T714" s="24" t="n">
        <f aca="false">N714^2</f>
        <v>36.5693633009078</v>
      </c>
    </row>
    <row r="715" customFormat="false" ht="15" hidden="false" customHeight="false" outlineLevel="0" collapsed="false">
      <c r="A715" s="5" t="s">
        <v>967</v>
      </c>
      <c r="B715" s="5" t="s">
        <v>208</v>
      </c>
      <c r="C715" s="5" t="s">
        <v>58</v>
      </c>
      <c r="D715" s="5" t="s">
        <v>65</v>
      </c>
      <c r="E715" s="5" t="s">
        <v>68</v>
      </c>
      <c r="F715" s="26" t="n">
        <v>56.05</v>
      </c>
      <c r="G715" s="26" t="n">
        <v>56.3</v>
      </c>
      <c r="H715" s="30" t="n">
        <v>3.54</v>
      </c>
      <c r="I715" s="28" t="n">
        <f aca="false">H715*G715/3.6</f>
        <v>55.3616666666667</v>
      </c>
      <c r="J715" s="30" t="n">
        <v>3.81</v>
      </c>
      <c r="K715" s="30" t="n">
        <v>1.694</v>
      </c>
      <c r="L715" s="30" t="n">
        <v>1.906</v>
      </c>
      <c r="M715" s="30" t="n">
        <v>5.44</v>
      </c>
      <c r="N715" s="25" t="n">
        <v>0.0727243299013519</v>
      </c>
      <c r="O715" s="17" t="n">
        <v>0</v>
      </c>
      <c r="P715" s="26" t="n">
        <v>0</v>
      </c>
      <c r="Q715" s="24" t="n">
        <f aca="false">IF(O715=1,1/(1+EXP(-(P715-Inputs!$B$12)/Inputs!$B$13)),0)</f>
        <v>0</v>
      </c>
      <c r="R715" s="24" t="n">
        <f aca="false">N715*O715</f>
        <v>0</v>
      </c>
      <c r="S715" s="12" t="n">
        <f aca="false">N715*Q715</f>
        <v>0</v>
      </c>
      <c r="T715" s="24" t="n">
        <f aca="false">N715^2</f>
        <v>0.00528882815960067</v>
      </c>
    </row>
    <row r="716" customFormat="false" ht="15" hidden="false" customHeight="false" outlineLevel="0" collapsed="false">
      <c r="A716" s="5" t="s">
        <v>968</v>
      </c>
      <c r="B716" s="5" t="s">
        <v>209</v>
      </c>
      <c r="C716" s="5" t="s">
        <v>58</v>
      </c>
      <c r="D716" s="5" t="s">
        <v>65</v>
      </c>
      <c r="E716" s="5" t="s">
        <v>70</v>
      </c>
      <c r="F716" s="26" t="n">
        <v>73.41</v>
      </c>
      <c r="G716" s="26" t="n">
        <v>72.43</v>
      </c>
      <c r="H716" s="30" t="n">
        <v>2.478</v>
      </c>
      <c r="I716" s="28" t="n">
        <f aca="false">H716*G716/3.6</f>
        <v>49.8559833333333</v>
      </c>
      <c r="J716" s="30" t="n">
        <v>5.36</v>
      </c>
      <c r="K716" s="30" t="n">
        <v>0.531</v>
      </c>
      <c r="L716" s="30" t="n">
        <v>1.625</v>
      </c>
      <c r="M716" s="30" t="n">
        <v>7.46</v>
      </c>
      <c r="N716" s="25" t="n">
        <v>0.773164977160815</v>
      </c>
      <c r="O716" s="17" t="n">
        <v>0</v>
      </c>
      <c r="P716" s="26" t="n">
        <v>0</v>
      </c>
      <c r="Q716" s="24" t="n">
        <f aca="false">IF(O716=1,1/(1+EXP(-(P716-Inputs!$B$12)/Inputs!$B$13)),0)</f>
        <v>0</v>
      </c>
      <c r="R716" s="24" t="n">
        <f aca="false">N716*O716</f>
        <v>0</v>
      </c>
      <c r="S716" s="12" t="n">
        <f aca="false">N716*Q716</f>
        <v>0</v>
      </c>
      <c r="T716" s="24" t="n">
        <f aca="false">N716^2</f>
        <v>0.597784081908084</v>
      </c>
    </row>
    <row r="717" customFormat="false" ht="15" hidden="false" customHeight="false" outlineLevel="0" collapsed="false">
      <c r="A717" s="5" t="s">
        <v>969</v>
      </c>
      <c r="B717" s="5" t="s">
        <v>209</v>
      </c>
      <c r="C717" s="5" t="s">
        <v>58</v>
      </c>
      <c r="D717" s="5" t="s">
        <v>65</v>
      </c>
      <c r="E717" s="5" t="s">
        <v>70</v>
      </c>
      <c r="F717" s="26" t="n">
        <v>57.34</v>
      </c>
      <c r="G717" s="26" t="n">
        <v>59.76</v>
      </c>
      <c r="H717" s="30" t="n">
        <v>2.101</v>
      </c>
      <c r="I717" s="28" t="n">
        <f aca="false">H717*G717/3.6</f>
        <v>34.8766</v>
      </c>
      <c r="J717" s="30" t="n">
        <v>4.24</v>
      </c>
      <c r="K717" s="30" t="n">
        <v>1.469</v>
      </c>
      <c r="L717" s="30" t="n">
        <v>1.826</v>
      </c>
      <c r="M717" s="30" t="n">
        <v>7.81</v>
      </c>
      <c r="N717" s="25" t="n">
        <v>0.0430559829283903</v>
      </c>
      <c r="O717" s="17" t="n">
        <v>0</v>
      </c>
      <c r="P717" s="26" t="n">
        <v>0</v>
      </c>
      <c r="Q717" s="24" t="n">
        <f aca="false">IF(O717=1,1/(1+EXP(-(P717-Inputs!$B$12)/Inputs!$B$13)),0)</f>
        <v>0</v>
      </c>
      <c r="R717" s="24" t="n">
        <f aca="false">N717*O717</f>
        <v>0</v>
      </c>
      <c r="S717" s="12" t="n">
        <f aca="false">N717*Q717</f>
        <v>0</v>
      </c>
      <c r="T717" s="24" t="n">
        <f aca="false">N717^2</f>
        <v>0.00185381766592984</v>
      </c>
    </row>
    <row r="718" customFormat="false" ht="15" hidden="false" customHeight="false" outlineLevel="0" collapsed="false">
      <c r="A718" s="5" t="s">
        <v>970</v>
      </c>
      <c r="B718" s="5" t="s">
        <v>209</v>
      </c>
      <c r="C718" s="5" t="s">
        <v>58</v>
      </c>
      <c r="D718" s="5" t="s">
        <v>65</v>
      </c>
      <c r="E718" s="5" t="s">
        <v>70</v>
      </c>
      <c r="F718" s="26" t="n">
        <v>58.28</v>
      </c>
      <c r="G718" s="26" t="n">
        <v>56.35</v>
      </c>
      <c r="H718" s="30" t="n">
        <v>2.088</v>
      </c>
      <c r="I718" s="28" t="n">
        <f aca="false">H718*G718/3.6</f>
        <v>32.683</v>
      </c>
      <c r="J718" s="30" t="n">
        <v>5</v>
      </c>
      <c r="K718" s="30" t="n">
        <v>2.293</v>
      </c>
      <c r="L718" s="30" t="n">
        <v>1.868</v>
      </c>
      <c r="M718" s="30" t="n">
        <v>5.4</v>
      </c>
      <c r="N718" s="25" t="n">
        <v>0.0463222113564734</v>
      </c>
      <c r="O718" s="17" t="n">
        <v>0</v>
      </c>
      <c r="P718" s="26" t="n">
        <v>0</v>
      </c>
      <c r="Q718" s="24" t="n">
        <f aca="false">IF(O718=1,1/(1+EXP(-(P718-Inputs!$B$12)/Inputs!$B$13)),0)</f>
        <v>0</v>
      </c>
      <c r="R718" s="24" t="n">
        <f aca="false">N718*O718</f>
        <v>0</v>
      </c>
      <c r="S718" s="12" t="n">
        <f aca="false">N718*Q718</f>
        <v>0</v>
      </c>
      <c r="T718" s="24" t="n">
        <f aca="false">N718^2</f>
        <v>0.0021457472649538</v>
      </c>
    </row>
    <row r="719" customFormat="false" ht="15" hidden="false" customHeight="false" outlineLevel="0" collapsed="false">
      <c r="A719" s="5" t="s">
        <v>971</v>
      </c>
      <c r="B719" s="5" t="s">
        <v>209</v>
      </c>
      <c r="C719" s="5" t="s">
        <v>58</v>
      </c>
      <c r="D719" s="5" t="s">
        <v>65</v>
      </c>
      <c r="E719" s="5" t="s">
        <v>70</v>
      </c>
      <c r="F719" s="26" t="n">
        <v>63.18</v>
      </c>
      <c r="G719" s="26" t="n">
        <v>65.59</v>
      </c>
      <c r="H719" s="30" t="n">
        <v>2.546</v>
      </c>
      <c r="I719" s="28" t="n">
        <f aca="false">H719*G719/3.6</f>
        <v>46.3867055555556</v>
      </c>
      <c r="J719" s="30" t="n">
        <v>4.67</v>
      </c>
      <c r="K719" s="30" t="n">
        <v>1.365</v>
      </c>
      <c r="L719" s="30" t="n">
        <v>1.465</v>
      </c>
      <c r="M719" s="30" t="n">
        <v>7.42</v>
      </c>
      <c r="N719" s="25" t="n">
        <v>0.248996148831533</v>
      </c>
      <c r="O719" s="17" t="n">
        <v>0</v>
      </c>
      <c r="P719" s="26" t="n">
        <v>0</v>
      </c>
      <c r="Q719" s="24" t="n">
        <f aca="false">IF(O719=1,1/(1+EXP(-(P719-Inputs!$B$12)/Inputs!$B$13)),0)</f>
        <v>0</v>
      </c>
      <c r="R719" s="24" t="n">
        <f aca="false">N719*O719</f>
        <v>0</v>
      </c>
      <c r="S719" s="12" t="n">
        <f aca="false">N719*Q719</f>
        <v>0</v>
      </c>
      <c r="T719" s="24" t="n">
        <f aca="false">N719^2</f>
        <v>0.0619990821329347</v>
      </c>
    </row>
    <row r="720" customFormat="false" ht="15" hidden="false" customHeight="false" outlineLevel="0" collapsed="false">
      <c r="A720" s="5" t="s">
        <v>972</v>
      </c>
      <c r="B720" s="5" t="s">
        <v>209</v>
      </c>
      <c r="C720" s="5" t="s">
        <v>58</v>
      </c>
      <c r="D720" s="5" t="s">
        <v>65</v>
      </c>
      <c r="E720" s="5" t="s">
        <v>70</v>
      </c>
      <c r="F720" s="26" t="n">
        <v>74.09</v>
      </c>
      <c r="G720" s="26" t="n">
        <v>75.32</v>
      </c>
      <c r="H720" s="30" t="n">
        <v>2.218</v>
      </c>
      <c r="I720" s="28" t="n">
        <f aca="false">H720*G720/3.6</f>
        <v>46.4054888888889</v>
      </c>
      <c r="J720" s="30" t="n">
        <v>2.52</v>
      </c>
      <c r="K720" s="30" t="n">
        <v>1.262</v>
      </c>
      <c r="L720" s="30" t="n">
        <v>2.335</v>
      </c>
      <c r="M720" s="30" t="n">
        <v>4.12</v>
      </c>
      <c r="N720" s="25" t="n">
        <v>0.0728835393562527</v>
      </c>
      <c r="O720" s="17" t="n">
        <v>0</v>
      </c>
      <c r="P720" s="26" t="n">
        <v>0</v>
      </c>
      <c r="Q720" s="24" t="n">
        <f aca="false">IF(O720=1,1/(1+EXP(-(P720-Inputs!$B$12)/Inputs!$B$13)),0)</f>
        <v>0</v>
      </c>
      <c r="R720" s="24" t="n">
        <f aca="false">N720*O720</f>
        <v>0</v>
      </c>
      <c r="S720" s="12" t="n">
        <f aca="false">N720*Q720</f>
        <v>0</v>
      </c>
      <c r="T720" s="24" t="n">
        <f aca="false">N720^2</f>
        <v>0.00531201030909443</v>
      </c>
    </row>
    <row r="721" customFormat="false" ht="15" hidden="false" customHeight="false" outlineLevel="0" collapsed="false">
      <c r="A721" s="5" t="s">
        <v>973</v>
      </c>
      <c r="B721" s="5" t="s">
        <v>209</v>
      </c>
      <c r="C721" s="5" t="s">
        <v>58</v>
      </c>
      <c r="D721" s="5" t="s">
        <v>65</v>
      </c>
      <c r="E721" s="5" t="s">
        <v>70</v>
      </c>
      <c r="F721" s="26" t="n">
        <v>68.34</v>
      </c>
      <c r="G721" s="26" t="n">
        <v>69.5</v>
      </c>
      <c r="H721" s="30" t="n">
        <v>2.12</v>
      </c>
      <c r="I721" s="28" t="n">
        <f aca="false">H721*G721/3.6</f>
        <v>40.9277777777778</v>
      </c>
      <c r="J721" s="30" t="n">
        <v>5.42</v>
      </c>
      <c r="K721" s="30" t="n">
        <v>3.096</v>
      </c>
      <c r="L721" s="30" t="n">
        <v>1.022</v>
      </c>
      <c r="M721" s="30" t="n">
        <v>7.02</v>
      </c>
      <c r="N721" s="25" t="n">
        <v>0.139675592502965</v>
      </c>
      <c r="O721" s="17" t="n">
        <v>0</v>
      </c>
      <c r="P721" s="26" t="n">
        <v>0</v>
      </c>
      <c r="Q721" s="24" t="n">
        <f aca="false">IF(O721=1,1/(1+EXP(-(P721-Inputs!$B$12)/Inputs!$B$13)),0)</f>
        <v>0</v>
      </c>
      <c r="R721" s="24" t="n">
        <f aca="false">N721*O721</f>
        <v>0</v>
      </c>
      <c r="S721" s="12" t="n">
        <f aca="false">N721*Q721</f>
        <v>0</v>
      </c>
      <c r="T721" s="24" t="n">
        <f aca="false">N721^2</f>
        <v>0.0195092711410543</v>
      </c>
    </row>
    <row r="722" customFormat="false" ht="15" hidden="false" customHeight="false" outlineLevel="0" collapsed="false">
      <c r="A722" s="5" t="s">
        <v>974</v>
      </c>
      <c r="B722" s="5" t="s">
        <v>209</v>
      </c>
      <c r="C722" s="5" t="s">
        <v>58</v>
      </c>
      <c r="D722" s="5" t="s">
        <v>65</v>
      </c>
      <c r="E722" s="5" t="s">
        <v>70</v>
      </c>
      <c r="F722" s="26" t="n">
        <v>69.25</v>
      </c>
      <c r="G722" s="26" t="n">
        <v>68.7</v>
      </c>
      <c r="H722" s="30" t="n">
        <v>2.403</v>
      </c>
      <c r="I722" s="28" t="n">
        <f aca="false">H722*G722/3.6</f>
        <v>45.85725</v>
      </c>
      <c r="J722" s="30" t="n">
        <v>3.46</v>
      </c>
      <c r="K722" s="30" t="n">
        <v>1.215</v>
      </c>
      <c r="L722" s="30" t="n">
        <v>1.041</v>
      </c>
      <c r="M722" s="30" t="n">
        <v>7.1</v>
      </c>
      <c r="N722" s="25" t="n">
        <v>0.83393500280351</v>
      </c>
      <c r="O722" s="17" t="n">
        <v>0</v>
      </c>
      <c r="P722" s="26" t="n">
        <v>0</v>
      </c>
      <c r="Q722" s="24" t="n">
        <f aca="false">IF(O722=1,1/(1+EXP(-(P722-Inputs!$B$12)/Inputs!$B$13)),0)</f>
        <v>0</v>
      </c>
      <c r="R722" s="24" t="n">
        <f aca="false">N722*O722</f>
        <v>0</v>
      </c>
      <c r="S722" s="12" t="n">
        <f aca="false">N722*Q722</f>
        <v>0</v>
      </c>
      <c r="T722" s="24" t="n">
        <f aca="false">N722^2</f>
        <v>0.695447588900891</v>
      </c>
    </row>
    <row r="723" customFormat="false" ht="15" hidden="false" customHeight="false" outlineLevel="0" collapsed="false">
      <c r="A723" s="5" t="s">
        <v>975</v>
      </c>
      <c r="B723" s="5" t="s">
        <v>209</v>
      </c>
      <c r="C723" s="5" t="s">
        <v>58</v>
      </c>
      <c r="D723" s="5" t="s">
        <v>65</v>
      </c>
      <c r="E723" s="5" t="s">
        <v>70</v>
      </c>
      <c r="F723" s="26" t="n">
        <v>59.93</v>
      </c>
      <c r="G723" s="26" t="n">
        <v>61.98</v>
      </c>
      <c r="H723" s="30" t="n">
        <v>2.097</v>
      </c>
      <c r="I723" s="28" t="n">
        <f aca="false">H723*G723/3.6</f>
        <v>36.10335</v>
      </c>
      <c r="J723" s="30" t="n">
        <v>5.8</v>
      </c>
      <c r="K723" s="30" t="n">
        <v>0.244</v>
      </c>
      <c r="L723" s="30" t="n">
        <v>1.149</v>
      </c>
      <c r="M723" s="30" t="n">
        <v>5.99</v>
      </c>
      <c r="N723" s="25" t="n">
        <v>19.3075848702756</v>
      </c>
      <c r="O723" s="17" t="n">
        <v>0</v>
      </c>
      <c r="P723" s="26" t="n">
        <v>0</v>
      </c>
      <c r="Q723" s="24" t="n">
        <f aca="false">IF(O723=1,1/(1+EXP(-(P723-Inputs!$B$12)/Inputs!$B$13)),0)</f>
        <v>0</v>
      </c>
      <c r="R723" s="24" t="n">
        <f aca="false">N723*O723</f>
        <v>0</v>
      </c>
      <c r="S723" s="12" t="n">
        <f aca="false">N723*Q723</f>
        <v>0</v>
      </c>
      <c r="T723" s="24" t="n">
        <f aca="false">N723^2</f>
        <v>372.782833522897</v>
      </c>
    </row>
    <row r="724" customFormat="false" ht="15" hidden="false" customHeight="false" outlineLevel="0" collapsed="false">
      <c r="A724" s="5" t="s">
        <v>976</v>
      </c>
      <c r="B724" s="5" t="s">
        <v>209</v>
      </c>
      <c r="C724" s="5" t="s">
        <v>58</v>
      </c>
      <c r="D724" s="5" t="s">
        <v>65</v>
      </c>
      <c r="E724" s="5" t="s">
        <v>70</v>
      </c>
      <c r="F724" s="26" t="n">
        <v>63.21</v>
      </c>
      <c r="G724" s="26" t="n">
        <v>63.96</v>
      </c>
      <c r="H724" s="30" t="n">
        <v>2.75</v>
      </c>
      <c r="I724" s="28" t="n">
        <f aca="false">H724*G724/3.6</f>
        <v>48.8583333333333</v>
      </c>
      <c r="J724" s="30" t="n">
        <v>4.16</v>
      </c>
      <c r="K724" s="30" t="n">
        <v>1.786</v>
      </c>
      <c r="L724" s="30" t="n">
        <v>1.198</v>
      </c>
      <c r="M724" s="30" t="n">
        <v>5.67</v>
      </c>
      <c r="N724" s="25" t="n">
        <v>0.756223130461471</v>
      </c>
      <c r="O724" s="17" t="n">
        <v>0</v>
      </c>
      <c r="P724" s="26" t="n">
        <v>0</v>
      </c>
      <c r="Q724" s="24" t="n">
        <f aca="false">IF(O724=1,1/(1+EXP(-(P724-Inputs!$B$12)/Inputs!$B$13)),0)</f>
        <v>0</v>
      </c>
      <c r="R724" s="24" t="n">
        <f aca="false">N724*O724</f>
        <v>0</v>
      </c>
      <c r="S724" s="12" t="n">
        <f aca="false">N724*Q724</f>
        <v>0</v>
      </c>
      <c r="T724" s="24" t="n">
        <f aca="false">N724^2</f>
        <v>0.571873423044947</v>
      </c>
    </row>
    <row r="725" customFormat="false" ht="15" hidden="false" customHeight="false" outlineLevel="0" collapsed="false">
      <c r="A725" s="5" t="s">
        <v>977</v>
      </c>
      <c r="B725" s="5" t="s">
        <v>209</v>
      </c>
      <c r="C725" s="5" t="s">
        <v>58</v>
      </c>
      <c r="D725" s="5" t="s">
        <v>65</v>
      </c>
      <c r="E725" s="5" t="s">
        <v>70</v>
      </c>
      <c r="F725" s="26" t="n">
        <v>58.31</v>
      </c>
      <c r="G725" s="26" t="n">
        <v>56.16</v>
      </c>
      <c r="H725" s="30" t="n">
        <v>2.012</v>
      </c>
      <c r="I725" s="28" t="n">
        <f aca="false">H725*G725/3.6</f>
        <v>31.3872</v>
      </c>
      <c r="J725" s="30" t="n">
        <v>4.23</v>
      </c>
      <c r="K725" s="30" t="n">
        <v>1.034</v>
      </c>
      <c r="L725" s="30" t="n">
        <v>1.363</v>
      </c>
      <c r="M725" s="30" t="n">
        <v>5.09</v>
      </c>
      <c r="N725" s="25" t="n">
        <v>1.12394238308705</v>
      </c>
      <c r="O725" s="17" t="n">
        <v>0</v>
      </c>
      <c r="P725" s="26" t="n">
        <v>0</v>
      </c>
      <c r="Q725" s="24" t="n">
        <f aca="false">IF(O725=1,1/(1+EXP(-(P725-Inputs!$B$12)/Inputs!$B$13)),0)</f>
        <v>0</v>
      </c>
      <c r="R725" s="24" t="n">
        <f aca="false">N725*O725</f>
        <v>0</v>
      </c>
      <c r="S725" s="12" t="n">
        <f aca="false">N725*Q725</f>
        <v>0</v>
      </c>
      <c r="T725" s="24" t="n">
        <f aca="false">N725^2</f>
        <v>1.26324648049939</v>
      </c>
    </row>
    <row r="726" customFormat="false" ht="15" hidden="false" customHeight="false" outlineLevel="0" collapsed="false">
      <c r="A726" s="5" t="s">
        <v>978</v>
      </c>
      <c r="B726" s="5" t="s">
        <v>210</v>
      </c>
      <c r="C726" s="5" t="s">
        <v>58</v>
      </c>
      <c r="D726" s="5" t="s">
        <v>65</v>
      </c>
      <c r="E726" s="5" t="s">
        <v>71</v>
      </c>
      <c r="F726" s="26" t="n">
        <v>74.43</v>
      </c>
      <c r="G726" s="26" t="n">
        <v>72.34</v>
      </c>
      <c r="H726" s="30" t="n">
        <v>1.786</v>
      </c>
      <c r="I726" s="28" t="n">
        <f aca="false">H726*G726/3.6</f>
        <v>35.8886777777778</v>
      </c>
      <c r="J726" s="30" t="n">
        <v>4.21</v>
      </c>
      <c r="K726" s="30" t="n">
        <v>1.779</v>
      </c>
      <c r="L726" s="30" t="n">
        <v>0.668</v>
      </c>
      <c r="M726" s="30" t="n">
        <v>5.9</v>
      </c>
      <c r="N726" s="25" t="n">
        <v>0.972932256903296</v>
      </c>
      <c r="O726" s="17" t="n">
        <v>0</v>
      </c>
      <c r="P726" s="26" t="n">
        <v>0</v>
      </c>
      <c r="Q726" s="24" t="n">
        <f aca="false">IF(O726=1,1/(1+EXP(-(P726-Inputs!$B$12)/Inputs!$B$13)),0)</f>
        <v>0</v>
      </c>
      <c r="R726" s="24" t="n">
        <f aca="false">N726*O726</f>
        <v>0</v>
      </c>
      <c r="S726" s="12" t="n">
        <f aca="false">N726*Q726</f>
        <v>0</v>
      </c>
      <c r="T726" s="24" t="n">
        <f aca="false">N726^2</f>
        <v>0.946597176522942</v>
      </c>
    </row>
    <row r="727" customFormat="false" ht="15" hidden="false" customHeight="false" outlineLevel="0" collapsed="false">
      <c r="A727" s="5" t="s">
        <v>979</v>
      </c>
      <c r="B727" s="5" t="s">
        <v>210</v>
      </c>
      <c r="C727" s="5" t="s">
        <v>58</v>
      </c>
      <c r="D727" s="5" t="s">
        <v>65</v>
      </c>
      <c r="E727" s="5" t="s">
        <v>71</v>
      </c>
      <c r="F727" s="26" t="n">
        <v>58.91</v>
      </c>
      <c r="G727" s="26" t="n">
        <v>61.38</v>
      </c>
      <c r="H727" s="30" t="n">
        <v>1.529</v>
      </c>
      <c r="I727" s="28" t="n">
        <f aca="false">H727*G727/3.6</f>
        <v>26.06945</v>
      </c>
      <c r="J727" s="30" t="n">
        <v>2.83</v>
      </c>
      <c r="K727" s="30" t="n">
        <v>1.315</v>
      </c>
      <c r="L727" s="30" t="n">
        <v>2.033</v>
      </c>
      <c r="M727" s="30" t="n">
        <v>5.21</v>
      </c>
      <c r="N727" s="25" t="n">
        <v>0.100608607773687</v>
      </c>
      <c r="O727" s="17" t="n">
        <v>0</v>
      </c>
      <c r="P727" s="26" t="n">
        <v>0</v>
      </c>
      <c r="Q727" s="24" t="n">
        <f aca="false">IF(O727=1,1/(1+EXP(-(P727-Inputs!$B$12)/Inputs!$B$13)),0)</f>
        <v>0</v>
      </c>
      <c r="R727" s="24" t="n">
        <f aca="false">N727*O727</f>
        <v>0</v>
      </c>
      <c r="S727" s="12" t="n">
        <f aca="false">N727*Q727</f>
        <v>0</v>
      </c>
      <c r="T727" s="24" t="n">
        <f aca="false">N727^2</f>
        <v>0.0101220919581595</v>
      </c>
    </row>
    <row r="728" customFormat="false" ht="15" hidden="false" customHeight="false" outlineLevel="0" collapsed="false">
      <c r="A728" s="5" t="s">
        <v>980</v>
      </c>
      <c r="B728" s="5" t="s">
        <v>210</v>
      </c>
      <c r="C728" s="5" t="s">
        <v>58</v>
      </c>
      <c r="D728" s="5" t="s">
        <v>65</v>
      </c>
      <c r="E728" s="5" t="s">
        <v>71</v>
      </c>
      <c r="F728" s="26" t="n">
        <v>60.57</v>
      </c>
      <c r="G728" s="26" t="n">
        <v>59.99</v>
      </c>
      <c r="H728" s="30" t="n">
        <v>1.628</v>
      </c>
      <c r="I728" s="28" t="n">
        <f aca="false">H728*G728/3.6</f>
        <v>27.1288111111111</v>
      </c>
      <c r="J728" s="30" t="n">
        <v>3.53</v>
      </c>
      <c r="K728" s="30" t="n">
        <v>2.374</v>
      </c>
      <c r="L728" s="30" t="n">
        <v>1.531</v>
      </c>
      <c r="M728" s="30" t="n">
        <v>6.93</v>
      </c>
      <c r="N728" s="25" t="n">
        <v>0.0643992964269457</v>
      </c>
      <c r="O728" s="17" t="n">
        <v>0</v>
      </c>
      <c r="P728" s="26" t="n">
        <v>0</v>
      </c>
      <c r="Q728" s="24" t="n">
        <f aca="false">IF(O728=1,1/(1+EXP(-(P728-Inputs!$B$12)/Inputs!$B$13)),0)</f>
        <v>0</v>
      </c>
      <c r="R728" s="24" t="n">
        <f aca="false">N728*O728</f>
        <v>0</v>
      </c>
      <c r="S728" s="12" t="n">
        <f aca="false">N728*Q728</f>
        <v>0</v>
      </c>
      <c r="T728" s="24" t="n">
        <f aca="false">N728^2</f>
        <v>0.00414726938028562</v>
      </c>
    </row>
    <row r="729" customFormat="false" ht="15" hidden="false" customHeight="false" outlineLevel="0" collapsed="false">
      <c r="A729" s="5" t="s">
        <v>981</v>
      </c>
      <c r="B729" s="5" t="s">
        <v>210</v>
      </c>
      <c r="C729" s="5" t="s">
        <v>58</v>
      </c>
      <c r="D729" s="5" t="s">
        <v>65</v>
      </c>
      <c r="E729" s="5" t="s">
        <v>71</v>
      </c>
      <c r="F729" s="26" t="n">
        <v>68.91</v>
      </c>
      <c r="G729" s="26" t="n">
        <v>66.81</v>
      </c>
      <c r="H729" s="30" t="n">
        <v>1.623</v>
      </c>
      <c r="I729" s="28" t="n">
        <f aca="false">H729*G729/3.6</f>
        <v>30.120175</v>
      </c>
      <c r="J729" s="30" t="n">
        <v>4.16</v>
      </c>
      <c r="K729" s="30" t="n">
        <v>2.081</v>
      </c>
      <c r="L729" s="30" t="n">
        <v>1.913</v>
      </c>
      <c r="M729" s="30" t="n">
        <v>5.4</v>
      </c>
      <c r="N729" s="25" t="n">
        <v>0.0465338793515023</v>
      </c>
      <c r="O729" s="17" t="n">
        <v>0</v>
      </c>
      <c r="P729" s="26" t="n">
        <v>0</v>
      </c>
      <c r="Q729" s="24" t="n">
        <f aca="false">IF(O729=1,1/(1+EXP(-(P729-Inputs!$B$12)/Inputs!$B$13)),0)</f>
        <v>0</v>
      </c>
      <c r="R729" s="24" t="n">
        <f aca="false">N729*O729</f>
        <v>0</v>
      </c>
      <c r="S729" s="12" t="n">
        <f aca="false">N729*Q729</f>
        <v>0</v>
      </c>
      <c r="T729" s="24" t="n">
        <f aca="false">N729^2</f>
        <v>0.00216540192750017</v>
      </c>
    </row>
    <row r="730" customFormat="false" ht="15" hidden="false" customHeight="false" outlineLevel="0" collapsed="false">
      <c r="A730" s="5" t="s">
        <v>982</v>
      </c>
      <c r="B730" s="5" t="s">
        <v>210</v>
      </c>
      <c r="C730" s="5" t="s">
        <v>58</v>
      </c>
      <c r="D730" s="5" t="s">
        <v>65</v>
      </c>
      <c r="E730" s="5" t="s">
        <v>71</v>
      </c>
      <c r="F730" s="26" t="n">
        <v>63.64</v>
      </c>
      <c r="G730" s="26" t="n">
        <v>64.82</v>
      </c>
      <c r="H730" s="30" t="n">
        <v>1.637</v>
      </c>
      <c r="I730" s="28" t="n">
        <f aca="false">H730*G730/3.6</f>
        <v>29.4750944444444</v>
      </c>
      <c r="J730" s="30" t="n">
        <v>4.44</v>
      </c>
      <c r="K730" s="30" t="n">
        <v>1.859</v>
      </c>
      <c r="L730" s="30" t="n">
        <v>1.61</v>
      </c>
      <c r="M730" s="30" t="n">
        <v>4.39</v>
      </c>
      <c r="N730" s="25" t="n">
        <v>0.175721067199239</v>
      </c>
      <c r="O730" s="17" t="n">
        <v>0</v>
      </c>
      <c r="P730" s="26" t="n">
        <v>0</v>
      </c>
      <c r="Q730" s="24" t="n">
        <f aca="false">IF(O730=1,1/(1+EXP(-(P730-Inputs!$B$12)/Inputs!$B$13)),0)</f>
        <v>0</v>
      </c>
      <c r="R730" s="24" t="n">
        <f aca="false">N730*O730</f>
        <v>0</v>
      </c>
      <c r="S730" s="12" t="n">
        <f aca="false">N730*Q730</f>
        <v>0</v>
      </c>
      <c r="T730" s="24" t="n">
        <f aca="false">N730^2</f>
        <v>0.0308778934576393</v>
      </c>
    </row>
    <row r="731" customFormat="false" ht="15" hidden="false" customHeight="false" outlineLevel="0" collapsed="false">
      <c r="A731" s="5" t="s">
        <v>983</v>
      </c>
      <c r="B731" s="5" t="s">
        <v>210</v>
      </c>
      <c r="C731" s="5" t="s">
        <v>58</v>
      </c>
      <c r="D731" s="5" t="s">
        <v>65</v>
      </c>
      <c r="E731" s="5" t="s">
        <v>71</v>
      </c>
      <c r="F731" s="26" t="n">
        <v>67.08</v>
      </c>
      <c r="G731" s="26" t="n">
        <v>68.88</v>
      </c>
      <c r="H731" s="30" t="n">
        <v>1.661</v>
      </c>
      <c r="I731" s="28" t="n">
        <f aca="false">H731*G731/3.6</f>
        <v>31.7804666666667</v>
      </c>
      <c r="J731" s="30" t="n">
        <v>3.5</v>
      </c>
      <c r="K731" s="30" t="n">
        <v>1.127</v>
      </c>
      <c r="L731" s="30" t="n">
        <v>1.454</v>
      </c>
      <c r="M731" s="30" t="n">
        <v>5.59</v>
      </c>
      <c r="N731" s="25" t="n">
        <v>0.47922201390706</v>
      </c>
      <c r="O731" s="17" t="n">
        <v>0</v>
      </c>
      <c r="P731" s="26" t="n">
        <v>0</v>
      </c>
      <c r="Q731" s="24" t="n">
        <f aca="false">IF(O731=1,1/(1+EXP(-(P731-Inputs!$B$12)/Inputs!$B$13)),0)</f>
        <v>0</v>
      </c>
      <c r="R731" s="24" t="n">
        <f aca="false">N731*O731</f>
        <v>0</v>
      </c>
      <c r="S731" s="12" t="n">
        <f aca="false">N731*Q731</f>
        <v>0</v>
      </c>
      <c r="T731" s="24" t="n">
        <f aca="false">N731^2</f>
        <v>0.229653738613139</v>
      </c>
    </row>
    <row r="732" customFormat="false" ht="15" hidden="false" customHeight="false" outlineLevel="0" collapsed="false">
      <c r="A732" s="5" t="s">
        <v>984</v>
      </c>
      <c r="B732" s="5" t="s">
        <v>210</v>
      </c>
      <c r="C732" s="5" t="s">
        <v>58</v>
      </c>
      <c r="D732" s="5" t="s">
        <v>65</v>
      </c>
      <c r="E732" s="5" t="s">
        <v>71</v>
      </c>
      <c r="F732" s="26" t="n">
        <v>55.55</v>
      </c>
      <c r="G732" s="26" t="n">
        <v>53.23</v>
      </c>
      <c r="H732" s="30" t="n">
        <v>1.623</v>
      </c>
      <c r="I732" s="28" t="n">
        <f aca="false">H732*G732/3.6</f>
        <v>23.9978583333333</v>
      </c>
      <c r="J732" s="30" t="n">
        <v>4.76</v>
      </c>
      <c r="K732" s="30" t="n">
        <v>1.866</v>
      </c>
      <c r="L732" s="30" t="n">
        <v>1.819</v>
      </c>
      <c r="M732" s="30" t="n">
        <v>7.83</v>
      </c>
      <c r="N732" s="25" t="n">
        <v>0.0283778599798082</v>
      </c>
      <c r="O732" s="17" t="n">
        <v>0</v>
      </c>
      <c r="P732" s="26" t="n">
        <v>0</v>
      </c>
      <c r="Q732" s="24" t="n">
        <f aca="false">IF(O732=1,1/(1+EXP(-(P732-Inputs!$B$12)/Inputs!$B$13)),0)</f>
        <v>0</v>
      </c>
      <c r="R732" s="24" t="n">
        <f aca="false">N732*O732</f>
        <v>0</v>
      </c>
      <c r="S732" s="12" t="n">
        <f aca="false">N732*Q732</f>
        <v>0</v>
      </c>
      <c r="T732" s="24" t="n">
        <f aca="false">N732^2</f>
        <v>0.000805302937033599</v>
      </c>
    </row>
    <row r="733" customFormat="false" ht="15" hidden="false" customHeight="false" outlineLevel="0" collapsed="false">
      <c r="A733" s="5" t="s">
        <v>985</v>
      </c>
      <c r="B733" s="5" t="s">
        <v>210</v>
      </c>
      <c r="C733" s="5" t="s">
        <v>58</v>
      </c>
      <c r="D733" s="5" t="s">
        <v>65</v>
      </c>
      <c r="E733" s="5" t="s">
        <v>71</v>
      </c>
      <c r="F733" s="26" t="n">
        <v>57.37</v>
      </c>
      <c r="G733" s="26" t="n">
        <v>55.04</v>
      </c>
      <c r="H733" s="30" t="n">
        <v>1.591</v>
      </c>
      <c r="I733" s="28" t="n">
        <f aca="false">H733*G733/3.6</f>
        <v>24.3246222222222</v>
      </c>
      <c r="J733" s="30" t="n">
        <v>2.98</v>
      </c>
      <c r="K733" s="30" t="n">
        <v>0.741</v>
      </c>
      <c r="L733" s="30" t="n">
        <v>1.656</v>
      </c>
      <c r="M733" s="30" t="n">
        <v>6.06</v>
      </c>
      <c r="N733" s="25" t="n">
        <v>0.574186542795253</v>
      </c>
      <c r="O733" s="17" t="n">
        <v>0</v>
      </c>
      <c r="P733" s="26" t="n">
        <v>0</v>
      </c>
      <c r="Q733" s="24" t="n">
        <f aca="false">IF(O733=1,1/(1+EXP(-(P733-Inputs!$B$12)/Inputs!$B$13)),0)</f>
        <v>0</v>
      </c>
      <c r="R733" s="24" t="n">
        <f aca="false">N733*O733</f>
        <v>0</v>
      </c>
      <c r="S733" s="12" t="n">
        <f aca="false">N733*Q733</f>
        <v>0</v>
      </c>
      <c r="T733" s="24" t="n">
        <f aca="false">N733^2</f>
        <v>0.329690185927165</v>
      </c>
    </row>
    <row r="734" customFormat="false" ht="15" hidden="false" customHeight="false" outlineLevel="0" collapsed="false">
      <c r="A734" s="5" t="s">
        <v>986</v>
      </c>
      <c r="B734" s="5" t="s">
        <v>210</v>
      </c>
      <c r="C734" s="5" t="s">
        <v>58</v>
      </c>
      <c r="D734" s="5" t="s">
        <v>65</v>
      </c>
      <c r="E734" s="5" t="s">
        <v>71</v>
      </c>
      <c r="F734" s="26" t="n">
        <v>70.01</v>
      </c>
      <c r="G734" s="26" t="n">
        <v>70.65</v>
      </c>
      <c r="H734" s="30" t="n">
        <v>1.658</v>
      </c>
      <c r="I734" s="28" t="n">
        <f aca="false">H734*G734/3.6</f>
        <v>32.53825</v>
      </c>
      <c r="J734" s="30" t="n">
        <v>3.49</v>
      </c>
      <c r="K734" s="30" t="n">
        <v>3.802</v>
      </c>
      <c r="L734" s="30" t="n">
        <v>1.502</v>
      </c>
      <c r="M734" s="30" t="n">
        <v>7.23</v>
      </c>
      <c r="N734" s="25" t="n">
        <v>0.024120329470215</v>
      </c>
      <c r="O734" s="17" t="n">
        <v>0</v>
      </c>
      <c r="P734" s="26" t="n">
        <v>0</v>
      </c>
      <c r="Q734" s="24" t="n">
        <f aca="false">IF(O734=1,1/(1+EXP(-(P734-Inputs!$B$12)/Inputs!$B$13)),0)</f>
        <v>0</v>
      </c>
      <c r="R734" s="24" t="n">
        <f aca="false">N734*O734</f>
        <v>0</v>
      </c>
      <c r="S734" s="12" t="n">
        <f aca="false">N734*Q734</f>
        <v>0</v>
      </c>
      <c r="T734" s="24" t="n">
        <f aca="false">N734^2</f>
        <v>0.000581790293751721</v>
      </c>
    </row>
    <row r="735" customFormat="false" ht="15" hidden="false" customHeight="false" outlineLevel="0" collapsed="false">
      <c r="A735" s="5" t="s">
        <v>987</v>
      </c>
      <c r="B735" s="5" t="s">
        <v>210</v>
      </c>
      <c r="C735" s="5" t="s">
        <v>58</v>
      </c>
      <c r="D735" s="5" t="s">
        <v>65</v>
      </c>
      <c r="E735" s="5" t="s">
        <v>71</v>
      </c>
      <c r="F735" s="26" t="n">
        <v>56.56</v>
      </c>
      <c r="G735" s="26" t="n">
        <v>55.99</v>
      </c>
      <c r="H735" s="30" t="n">
        <v>1.897</v>
      </c>
      <c r="I735" s="28" t="n">
        <f aca="false">H735*G735/3.6</f>
        <v>29.5036194444444</v>
      </c>
      <c r="J735" s="30" t="n">
        <v>3.63</v>
      </c>
      <c r="K735" s="30" t="n">
        <v>1.767</v>
      </c>
      <c r="L735" s="30" t="n">
        <v>1.156</v>
      </c>
      <c r="M735" s="30" t="n">
        <v>7</v>
      </c>
      <c r="N735" s="25" t="n">
        <v>0.943942847955027</v>
      </c>
      <c r="O735" s="17" t="n">
        <v>0</v>
      </c>
      <c r="P735" s="26" t="n">
        <v>0</v>
      </c>
      <c r="Q735" s="24" t="n">
        <f aca="false">IF(O735=1,1/(1+EXP(-(P735-Inputs!$B$12)/Inputs!$B$13)),0)</f>
        <v>0</v>
      </c>
      <c r="R735" s="24" t="n">
        <f aca="false">N735*O735</f>
        <v>0</v>
      </c>
      <c r="S735" s="12" t="n">
        <f aca="false">N735*Q735</f>
        <v>0</v>
      </c>
      <c r="T735" s="24" t="n">
        <f aca="false">N735^2</f>
        <v>0.891028100205446</v>
      </c>
    </row>
    <row r="736" customFormat="false" ht="15" hidden="false" customHeight="false" outlineLevel="0" collapsed="false">
      <c r="A736" s="5" t="s">
        <v>988</v>
      </c>
      <c r="B736" s="5" t="s">
        <v>211</v>
      </c>
      <c r="C736" s="5" t="s">
        <v>58</v>
      </c>
      <c r="D736" s="5" t="s">
        <v>65</v>
      </c>
      <c r="E736" s="5" t="s">
        <v>72</v>
      </c>
      <c r="F736" s="26" t="n">
        <v>61.18</v>
      </c>
      <c r="G736" s="26" t="n">
        <v>61.62</v>
      </c>
      <c r="H736" s="30" t="n">
        <v>1.403</v>
      </c>
      <c r="I736" s="28" t="n">
        <f aca="false">H736*G736/3.6</f>
        <v>24.0146833333333</v>
      </c>
      <c r="J736" s="30" t="n">
        <v>5.68</v>
      </c>
      <c r="K736" s="30" t="n">
        <v>1.912</v>
      </c>
      <c r="L736" s="30" t="n">
        <v>1.322</v>
      </c>
      <c r="M736" s="30" t="n">
        <v>5.86</v>
      </c>
      <c r="N736" s="25" t="n">
        <v>0.617328424250479</v>
      </c>
      <c r="O736" s="17" t="n">
        <v>0</v>
      </c>
      <c r="P736" s="26" t="n">
        <v>0</v>
      </c>
      <c r="Q736" s="24" t="n">
        <f aca="false">IF(O736=1,1/(1+EXP(-(P736-Inputs!$B$12)/Inputs!$B$13)),0)</f>
        <v>0</v>
      </c>
      <c r="R736" s="24" t="n">
        <f aca="false">N736*O736</f>
        <v>0</v>
      </c>
      <c r="S736" s="12" t="n">
        <f aca="false">N736*Q736</f>
        <v>0</v>
      </c>
      <c r="T736" s="24" t="n">
        <f aca="false">N736^2</f>
        <v>0.381094383387579</v>
      </c>
    </row>
    <row r="737" customFormat="false" ht="15" hidden="false" customHeight="false" outlineLevel="0" collapsed="false">
      <c r="A737" s="5" t="s">
        <v>989</v>
      </c>
      <c r="B737" s="5" t="s">
        <v>211</v>
      </c>
      <c r="C737" s="5" t="s">
        <v>58</v>
      </c>
      <c r="D737" s="5" t="s">
        <v>65</v>
      </c>
      <c r="E737" s="5" t="s">
        <v>72</v>
      </c>
      <c r="F737" s="26" t="n">
        <v>69.77</v>
      </c>
      <c r="G737" s="26" t="n">
        <v>69.66</v>
      </c>
      <c r="H737" s="30" t="n">
        <v>1.109</v>
      </c>
      <c r="I737" s="28" t="n">
        <f aca="false">H737*G737/3.6</f>
        <v>21.45915</v>
      </c>
      <c r="J737" s="30" t="n">
        <v>5.32</v>
      </c>
      <c r="K737" s="30" t="n">
        <v>0.76</v>
      </c>
      <c r="L737" s="30" t="n">
        <v>2.479</v>
      </c>
      <c r="M737" s="30" t="n">
        <v>7.76</v>
      </c>
      <c r="N737" s="25" t="n">
        <v>0.0284402825335163</v>
      </c>
      <c r="O737" s="17" t="n">
        <v>0</v>
      </c>
      <c r="P737" s="26" t="n">
        <v>0</v>
      </c>
      <c r="Q737" s="24" t="n">
        <f aca="false">IF(O737=1,1/(1+EXP(-(P737-Inputs!$B$12)/Inputs!$B$13)),0)</f>
        <v>0</v>
      </c>
      <c r="R737" s="24" t="n">
        <f aca="false">N737*O737</f>
        <v>0</v>
      </c>
      <c r="S737" s="12" t="n">
        <f aca="false">N737*Q737</f>
        <v>0</v>
      </c>
      <c r="T737" s="24" t="n">
        <f aca="false">N737^2</f>
        <v>0.000808849670586232</v>
      </c>
    </row>
    <row r="738" customFormat="false" ht="15" hidden="false" customHeight="false" outlineLevel="0" collapsed="false">
      <c r="A738" s="5" t="s">
        <v>990</v>
      </c>
      <c r="B738" s="5" t="s">
        <v>211</v>
      </c>
      <c r="C738" s="5" t="s">
        <v>58</v>
      </c>
      <c r="D738" s="5" t="s">
        <v>65</v>
      </c>
      <c r="E738" s="5" t="s">
        <v>72</v>
      </c>
      <c r="F738" s="26" t="n">
        <v>67.58</v>
      </c>
      <c r="G738" s="26" t="n">
        <v>65.2</v>
      </c>
      <c r="H738" s="30" t="n">
        <v>1.059</v>
      </c>
      <c r="I738" s="28" t="n">
        <f aca="false">H738*G738/3.6</f>
        <v>19.1796666666667</v>
      </c>
      <c r="J738" s="30" t="n">
        <v>4.3</v>
      </c>
      <c r="K738" s="30" t="n">
        <v>1.706</v>
      </c>
      <c r="L738" s="30" t="n">
        <v>1.538</v>
      </c>
      <c r="M738" s="30" t="n">
        <v>4.24</v>
      </c>
      <c r="N738" s="25" t="n">
        <v>0.269887899247271</v>
      </c>
      <c r="O738" s="17" t="n">
        <v>0</v>
      </c>
      <c r="P738" s="26" t="n">
        <v>0</v>
      </c>
      <c r="Q738" s="24" t="n">
        <f aca="false">IF(O738=1,1/(1+EXP(-(P738-Inputs!$B$12)/Inputs!$B$13)),0)</f>
        <v>0</v>
      </c>
      <c r="R738" s="24" t="n">
        <f aca="false">N738*O738</f>
        <v>0</v>
      </c>
      <c r="S738" s="12" t="n">
        <f aca="false">N738*Q738</f>
        <v>0</v>
      </c>
      <c r="T738" s="24" t="n">
        <f aca="false">N738^2</f>
        <v>0.0728394781601049</v>
      </c>
    </row>
    <row r="739" customFormat="false" ht="15" hidden="false" customHeight="false" outlineLevel="0" collapsed="false">
      <c r="A739" s="5" t="s">
        <v>991</v>
      </c>
      <c r="B739" s="5" t="s">
        <v>211</v>
      </c>
      <c r="C739" s="5" t="s">
        <v>58</v>
      </c>
      <c r="D739" s="5" t="s">
        <v>65</v>
      </c>
      <c r="E739" s="5" t="s">
        <v>72</v>
      </c>
      <c r="F739" s="26" t="n">
        <v>72.12</v>
      </c>
      <c r="G739" s="26" t="n">
        <v>71.2</v>
      </c>
      <c r="H739" s="30" t="n">
        <v>1.087</v>
      </c>
      <c r="I739" s="28" t="n">
        <f aca="false">H739*G739/3.6</f>
        <v>21.4984444444444</v>
      </c>
      <c r="J739" s="30" t="n">
        <v>5.26</v>
      </c>
      <c r="K739" s="30" t="n">
        <v>1.991</v>
      </c>
      <c r="L739" s="30" t="n">
        <v>2.584</v>
      </c>
      <c r="M739" s="30" t="n">
        <v>6.25</v>
      </c>
      <c r="N739" s="25" t="n">
        <v>0.00759261786332564</v>
      </c>
      <c r="O739" s="17" t="n">
        <v>1</v>
      </c>
      <c r="P739" s="26" t="n">
        <v>21.85</v>
      </c>
      <c r="Q739" s="24" t="n">
        <f aca="false">IF(O739=1,1/(1+EXP(-(P739-Inputs!$B$12)/Inputs!$B$13)),0)</f>
        <v>0.0353269585112862</v>
      </c>
      <c r="R739" s="24" t="n">
        <f aca="false">N739*O739</f>
        <v>0.00759261786332564</v>
      </c>
      <c r="S739" s="12" t="n">
        <f aca="false">N739*Q739</f>
        <v>0.000268224096249755</v>
      </c>
      <c r="T739" s="24" t="n">
        <f aca="false">N739^2</f>
        <v>5.76478460184916E-005</v>
      </c>
    </row>
    <row r="740" customFormat="false" ht="15" hidden="false" customHeight="false" outlineLevel="0" collapsed="false">
      <c r="A740" s="5" t="s">
        <v>992</v>
      </c>
      <c r="B740" s="5" t="s">
        <v>211</v>
      </c>
      <c r="C740" s="5" t="s">
        <v>58</v>
      </c>
      <c r="D740" s="5" t="s">
        <v>65</v>
      </c>
      <c r="E740" s="5" t="s">
        <v>72</v>
      </c>
      <c r="F740" s="26" t="n">
        <v>56.48</v>
      </c>
      <c r="G740" s="26" t="n">
        <v>54.02</v>
      </c>
      <c r="H740" s="30" t="n">
        <v>1.007</v>
      </c>
      <c r="I740" s="28" t="n">
        <f aca="false">H740*G740/3.6</f>
        <v>15.1105944444444</v>
      </c>
      <c r="J740" s="30" t="n">
        <v>3.29</v>
      </c>
      <c r="K740" s="30" t="n">
        <v>1.008</v>
      </c>
      <c r="L740" s="30" t="n">
        <v>1.916</v>
      </c>
      <c r="M740" s="30" t="n">
        <v>4.96</v>
      </c>
      <c r="N740" s="25" t="n">
        <v>0.298378576252962</v>
      </c>
      <c r="O740" s="17" t="n">
        <v>0</v>
      </c>
      <c r="P740" s="26" t="n">
        <v>0</v>
      </c>
      <c r="Q740" s="24" t="n">
        <f aca="false">IF(O740=1,1/(1+EXP(-(P740-Inputs!$B$12)/Inputs!$B$13)),0)</f>
        <v>0</v>
      </c>
      <c r="R740" s="24" t="n">
        <f aca="false">N740*O740</f>
        <v>0</v>
      </c>
      <c r="S740" s="12" t="n">
        <f aca="false">N740*Q740</f>
        <v>0</v>
      </c>
      <c r="T740" s="24" t="n">
        <f aca="false">N740^2</f>
        <v>0.0890297747667444</v>
      </c>
    </row>
    <row r="741" customFormat="false" ht="15" hidden="false" customHeight="false" outlineLevel="0" collapsed="false">
      <c r="A741" s="5" t="s">
        <v>993</v>
      </c>
      <c r="B741" s="5" t="s">
        <v>211</v>
      </c>
      <c r="C741" s="5" t="s">
        <v>58</v>
      </c>
      <c r="D741" s="5" t="s">
        <v>65</v>
      </c>
      <c r="E741" s="5" t="s">
        <v>72</v>
      </c>
      <c r="F741" s="26" t="n">
        <v>71.13</v>
      </c>
      <c r="G741" s="26" t="n">
        <v>73.95</v>
      </c>
      <c r="H741" s="30" t="n">
        <v>1.005</v>
      </c>
      <c r="I741" s="28" t="n">
        <f aca="false">H741*G741/3.6</f>
        <v>20.644375</v>
      </c>
      <c r="J741" s="30" t="n">
        <v>5.91</v>
      </c>
      <c r="K741" s="30" t="n">
        <v>1.331</v>
      </c>
      <c r="L741" s="30" t="n">
        <v>2.231</v>
      </c>
      <c r="M741" s="30" t="n">
        <v>5.83</v>
      </c>
      <c r="N741" s="25" t="n">
        <v>0.0686156816664466</v>
      </c>
      <c r="O741" s="17" t="n">
        <v>1</v>
      </c>
      <c r="P741" s="26" t="n">
        <v>0.22</v>
      </c>
      <c r="Q741" s="24" t="n">
        <f aca="false">IF(O741=1,1/(1+EXP(-(P741-Inputs!$B$12)/Inputs!$B$13)),0)</f>
        <v>0.00166353939339634</v>
      </c>
      <c r="R741" s="24" t="n">
        <f aca="false">N741*O741</f>
        <v>0.0686156816664466</v>
      </c>
      <c r="S741" s="12" t="n">
        <f aca="false">N741*Q741</f>
        <v>0.000114144889456877</v>
      </c>
      <c r="T741" s="24" t="n">
        <f aca="false">N741^2</f>
        <v>0.00470811177055113</v>
      </c>
    </row>
    <row r="742" customFormat="false" ht="15" hidden="false" customHeight="false" outlineLevel="0" collapsed="false">
      <c r="A742" s="5" t="s">
        <v>994</v>
      </c>
      <c r="B742" s="5" t="s">
        <v>211</v>
      </c>
      <c r="C742" s="5" t="s">
        <v>58</v>
      </c>
      <c r="D742" s="5" t="s">
        <v>65</v>
      </c>
      <c r="E742" s="5" t="s">
        <v>72</v>
      </c>
      <c r="F742" s="26" t="n">
        <v>56.82</v>
      </c>
      <c r="G742" s="26" t="n">
        <v>56.37</v>
      </c>
      <c r="H742" s="30" t="n">
        <v>1.222</v>
      </c>
      <c r="I742" s="28" t="n">
        <f aca="false">H742*G742/3.6</f>
        <v>19.1344833333333</v>
      </c>
      <c r="J742" s="30" t="n">
        <v>3.56</v>
      </c>
      <c r="K742" s="30" t="n">
        <v>2.042</v>
      </c>
      <c r="L742" s="30" t="n">
        <v>0.874</v>
      </c>
      <c r="M742" s="30" t="n">
        <v>5.99</v>
      </c>
      <c r="N742" s="25" t="n">
        <v>0.708337502100206</v>
      </c>
      <c r="O742" s="17" t="n">
        <v>0</v>
      </c>
      <c r="P742" s="26" t="n">
        <v>0</v>
      </c>
      <c r="Q742" s="24" t="n">
        <f aca="false">IF(O742=1,1/(1+EXP(-(P742-Inputs!$B$12)/Inputs!$B$13)),0)</f>
        <v>0</v>
      </c>
      <c r="R742" s="24" t="n">
        <f aca="false">N742*O742</f>
        <v>0</v>
      </c>
      <c r="S742" s="12" t="n">
        <f aca="false">N742*Q742</f>
        <v>0</v>
      </c>
      <c r="T742" s="24" t="n">
        <f aca="false">N742^2</f>
        <v>0.501742016881559</v>
      </c>
    </row>
    <row r="743" customFormat="false" ht="15" hidden="false" customHeight="false" outlineLevel="0" collapsed="false">
      <c r="A743" s="5" t="s">
        <v>995</v>
      </c>
      <c r="B743" s="5" t="s">
        <v>211</v>
      </c>
      <c r="C743" s="5" t="s">
        <v>58</v>
      </c>
      <c r="D743" s="5" t="s">
        <v>65</v>
      </c>
      <c r="E743" s="5" t="s">
        <v>72</v>
      </c>
      <c r="F743" s="26" t="n">
        <v>59.86</v>
      </c>
      <c r="G743" s="26" t="n">
        <v>62.15</v>
      </c>
      <c r="H743" s="30" t="n">
        <v>1.027</v>
      </c>
      <c r="I743" s="28" t="n">
        <f aca="false">H743*G743/3.6</f>
        <v>17.7300138888889</v>
      </c>
      <c r="J743" s="30" t="n">
        <v>2.73</v>
      </c>
      <c r="K743" s="30" t="n">
        <v>0.835</v>
      </c>
      <c r="L743" s="30" t="n">
        <v>1.284</v>
      </c>
      <c r="M743" s="30" t="n">
        <v>6.37</v>
      </c>
      <c r="N743" s="25" t="n">
        <v>1.20936669483402</v>
      </c>
      <c r="O743" s="17" t="n">
        <v>0</v>
      </c>
      <c r="P743" s="26" t="n">
        <v>0</v>
      </c>
      <c r="Q743" s="24" t="n">
        <f aca="false">IF(O743=1,1/(1+EXP(-(P743-Inputs!$B$12)/Inputs!$B$13)),0)</f>
        <v>0</v>
      </c>
      <c r="R743" s="24" t="n">
        <f aca="false">N743*O743</f>
        <v>0</v>
      </c>
      <c r="S743" s="12" t="n">
        <f aca="false">N743*Q743</f>
        <v>0</v>
      </c>
      <c r="T743" s="24" t="n">
        <f aca="false">N743^2</f>
        <v>1.46256780257376</v>
      </c>
    </row>
    <row r="744" customFormat="false" ht="15" hidden="false" customHeight="false" outlineLevel="0" collapsed="false">
      <c r="A744" s="5" t="s">
        <v>996</v>
      </c>
      <c r="B744" s="5" t="s">
        <v>211</v>
      </c>
      <c r="C744" s="5" t="s">
        <v>58</v>
      </c>
      <c r="D744" s="5" t="s">
        <v>65</v>
      </c>
      <c r="E744" s="5" t="s">
        <v>72</v>
      </c>
      <c r="F744" s="26" t="n">
        <v>70.75</v>
      </c>
      <c r="G744" s="26" t="n">
        <v>69.58</v>
      </c>
      <c r="H744" s="30" t="n">
        <v>1.028</v>
      </c>
      <c r="I744" s="28" t="n">
        <f aca="false">H744*G744/3.6</f>
        <v>19.8689555555556</v>
      </c>
      <c r="J744" s="30" t="n">
        <v>5.75</v>
      </c>
      <c r="K744" s="30" t="n">
        <v>0.726</v>
      </c>
      <c r="L744" s="30" t="n">
        <v>1.753</v>
      </c>
      <c r="M744" s="30" t="n">
        <v>6.67</v>
      </c>
      <c r="N744" s="25" t="n">
        <v>0.42140725515676</v>
      </c>
      <c r="O744" s="17" t="n">
        <v>0</v>
      </c>
      <c r="P744" s="26" t="n">
        <v>0</v>
      </c>
      <c r="Q744" s="24" t="n">
        <f aca="false">IF(O744=1,1/(1+EXP(-(P744-Inputs!$B$12)/Inputs!$B$13)),0)</f>
        <v>0</v>
      </c>
      <c r="R744" s="24" t="n">
        <f aca="false">N744*O744</f>
        <v>0</v>
      </c>
      <c r="S744" s="12" t="n">
        <f aca="false">N744*Q744</f>
        <v>0</v>
      </c>
      <c r="T744" s="24" t="n">
        <f aca="false">N744^2</f>
        <v>0.177584074698754</v>
      </c>
    </row>
    <row r="745" customFormat="false" ht="15" hidden="false" customHeight="false" outlineLevel="0" collapsed="false">
      <c r="A745" s="5" t="s">
        <v>997</v>
      </c>
      <c r="B745" s="5" t="s">
        <v>211</v>
      </c>
      <c r="C745" s="5" t="s">
        <v>58</v>
      </c>
      <c r="D745" s="5" t="s">
        <v>65</v>
      </c>
      <c r="E745" s="5" t="s">
        <v>72</v>
      </c>
      <c r="F745" s="26" t="n">
        <v>65.93</v>
      </c>
      <c r="G745" s="26" t="n">
        <v>66.23</v>
      </c>
      <c r="H745" s="30" t="n">
        <v>1.222</v>
      </c>
      <c r="I745" s="28" t="n">
        <f aca="false">H745*G745/3.6</f>
        <v>22.4814055555556</v>
      </c>
      <c r="J745" s="30" t="n">
        <v>2.72</v>
      </c>
      <c r="K745" s="30" t="n">
        <v>1.573</v>
      </c>
      <c r="L745" s="30" t="n">
        <v>1.578</v>
      </c>
      <c r="M745" s="30" t="n">
        <v>6.62</v>
      </c>
      <c r="N745" s="25" t="n">
        <v>0.154843094218628</v>
      </c>
      <c r="O745" s="17" t="n">
        <v>0</v>
      </c>
      <c r="P745" s="26" t="n">
        <v>0</v>
      </c>
      <c r="Q745" s="24" t="n">
        <f aca="false">IF(O745=1,1/(1+EXP(-(P745-Inputs!$B$12)/Inputs!$B$13)),0)</f>
        <v>0</v>
      </c>
      <c r="R745" s="24" t="n">
        <f aca="false">N745*O745</f>
        <v>0</v>
      </c>
      <c r="S745" s="12" t="n">
        <f aca="false">N745*Q745</f>
        <v>0</v>
      </c>
      <c r="T745" s="24" t="n">
        <f aca="false">N745^2</f>
        <v>0.023976383827199</v>
      </c>
    </row>
    <row r="746" customFormat="false" ht="15" hidden="false" customHeight="false" outlineLevel="0" collapsed="false">
      <c r="A746" s="5" t="s">
        <v>998</v>
      </c>
      <c r="B746" s="5" t="s">
        <v>212</v>
      </c>
      <c r="C746" s="5" t="s">
        <v>58</v>
      </c>
      <c r="D746" s="5" t="s">
        <v>65</v>
      </c>
      <c r="E746" s="5" t="s">
        <v>73</v>
      </c>
      <c r="F746" s="26" t="n">
        <v>56.64</v>
      </c>
      <c r="G746" s="26" t="n">
        <v>54.75</v>
      </c>
      <c r="H746" s="30" t="n">
        <v>0.746</v>
      </c>
      <c r="I746" s="28" t="n">
        <f aca="false">H746*G746/3.6</f>
        <v>11.3454166666667</v>
      </c>
      <c r="J746" s="30" t="n">
        <v>4.14</v>
      </c>
      <c r="K746" s="30" t="n">
        <v>1.551</v>
      </c>
      <c r="L746" s="30" t="n">
        <v>1.679</v>
      </c>
      <c r="M746" s="30" t="n">
        <v>4.57</v>
      </c>
      <c r="N746" s="25" t="n">
        <v>0.261763742126707</v>
      </c>
      <c r="O746" s="17" t="n">
        <v>0</v>
      </c>
      <c r="P746" s="26" t="n">
        <v>0</v>
      </c>
      <c r="Q746" s="24" t="n">
        <f aca="false">IF(O746=1,1/(1+EXP(-(P746-Inputs!$B$12)/Inputs!$B$13)),0)</f>
        <v>0</v>
      </c>
      <c r="R746" s="24" t="n">
        <f aca="false">N746*O746</f>
        <v>0</v>
      </c>
      <c r="S746" s="12" t="n">
        <f aca="false">N746*Q746</f>
        <v>0</v>
      </c>
      <c r="T746" s="24" t="n">
        <f aca="false">N746^2</f>
        <v>0.0685202566921773</v>
      </c>
    </row>
    <row r="747" customFormat="false" ht="15" hidden="false" customHeight="false" outlineLevel="0" collapsed="false">
      <c r="A747" s="5" t="s">
        <v>999</v>
      </c>
      <c r="B747" s="5" t="s">
        <v>212</v>
      </c>
      <c r="C747" s="5" t="s">
        <v>58</v>
      </c>
      <c r="D747" s="5" t="s">
        <v>65</v>
      </c>
      <c r="E747" s="5" t="s">
        <v>73</v>
      </c>
      <c r="F747" s="26" t="n">
        <v>73.05</v>
      </c>
      <c r="G747" s="26" t="n">
        <v>70.63</v>
      </c>
      <c r="H747" s="30" t="n">
        <v>0.84</v>
      </c>
      <c r="I747" s="28" t="n">
        <f aca="false">H747*G747/3.6</f>
        <v>16.4803333333333</v>
      </c>
      <c r="J747" s="30" t="n">
        <v>4.31</v>
      </c>
      <c r="K747" s="30" t="n">
        <v>0.686</v>
      </c>
      <c r="L747" s="30" t="n">
        <v>2.464</v>
      </c>
      <c r="M747" s="30" t="n">
        <v>4.36</v>
      </c>
      <c r="N747" s="25" t="n">
        <v>0.242910630308741</v>
      </c>
      <c r="O747" s="17" t="n">
        <v>0</v>
      </c>
      <c r="P747" s="26" t="n">
        <v>0</v>
      </c>
      <c r="Q747" s="24" t="n">
        <f aca="false">IF(O747=1,1/(1+EXP(-(P747-Inputs!$B$12)/Inputs!$B$13)),0)</f>
        <v>0</v>
      </c>
      <c r="R747" s="24" t="n">
        <f aca="false">N747*O747</f>
        <v>0</v>
      </c>
      <c r="S747" s="12" t="n">
        <f aca="false">N747*Q747</f>
        <v>0</v>
      </c>
      <c r="T747" s="24" t="n">
        <f aca="false">N747^2</f>
        <v>0.0590055743169897</v>
      </c>
    </row>
    <row r="748" customFormat="false" ht="15" hidden="false" customHeight="false" outlineLevel="0" collapsed="false">
      <c r="A748" s="5" t="s">
        <v>1000</v>
      </c>
      <c r="B748" s="5" t="s">
        <v>212</v>
      </c>
      <c r="C748" s="5" t="s">
        <v>58</v>
      </c>
      <c r="D748" s="5" t="s">
        <v>65</v>
      </c>
      <c r="E748" s="5" t="s">
        <v>73</v>
      </c>
      <c r="F748" s="26" t="n">
        <v>65.92</v>
      </c>
      <c r="G748" s="26" t="n">
        <v>61.44</v>
      </c>
      <c r="H748" s="30" t="n">
        <v>0.73</v>
      </c>
      <c r="I748" s="28" t="n">
        <f aca="false">H748*G748/3.6</f>
        <v>12.4586666666667</v>
      </c>
      <c r="J748" s="30" t="n">
        <v>4.4</v>
      </c>
      <c r="K748" s="30" t="n">
        <v>2.144</v>
      </c>
      <c r="L748" s="30" t="n">
        <v>1.162</v>
      </c>
      <c r="M748" s="30" t="n">
        <v>7.08</v>
      </c>
      <c r="N748" s="25" t="n">
        <v>0.225603009530501</v>
      </c>
      <c r="O748" s="17" t="n">
        <v>0</v>
      </c>
      <c r="P748" s="26" t="n">
        <v>0</v>
      </c>
      <c r="Q748" s="24" t="n">
        <f aca="false">IF(O748=1,1/(1+EXP(-(P748-Inputs!$B$12)/Inputs!$B$13)),0)</f>
        <v>0</v>
      </c>
      <c r="R748" s="24" t="n">
        <f aca="false">N748*O748</f>
        <v>0</v>
      </c>
      <c r="S748" s="12" t="n">
        <f aca="false">N748*Q748</f>
        <v>0</v>
      </c>
      <c r="T748" s="24" t="n">
        <f aca="false">N748^2</f>
        <v>0.0508967179092195</v>
      </c>
    </row>
    <row r="749" customFormat="false" ht="15" hidden="false" customHeight="false" outlineLevel="0" collapsed="false">
      <c r="A749" s="5" t="s">
        <v>1001</v>
      </c>
      <c r="B749" s="5" t="s">
        <v>212</v>
      </c>
      <c r="C749" s="5" t="s">
        <v>58</v>
      </c>
      <c r="D749" s="5" t="s">
        <v>65</v>
      </c>
      <c r="E749" s="5" t="s">
        <v>73</v>
      </c>
      <c r="F749" s="26" t="n">
        <v>72.6</v>
      </c>
      <c r="G749" s="26" t="n">
        <v>76.39</v>
      </c>
      <c r="H749" s="30" t="n">
        <v>0.555</v>
      </c>
      <c r="I749" s="28" t="n">
        <f aca="false">H749*G749/3.6</f>
        <v>11.7767916666667</v>
      </c>
      <c r="J749" s="30" t="n">
        <v>4.36</v>
      </c>
      <c r="K749" s="30" t="n">
        <v>0.785</v>
      </c>
      <c r="L749" s="30" t="n">
        <v>1.627</v>
      </c>
      <c r="M749" s="30" t="n">
        <v>7.07</v>
      </c>
      <c r="N749" s="25" t="n">
        <v>0.396026937009772</v>
      </c>
      <c r="O749" s="17" t="n">
        <v>0</v>
      </c>
      <c r="P749" s="26" t="n">
        <v>0</v>
      </c>
      <c r="Q749" s="24" t="n">
        <f aca="false">IF(O749=1,1/(1+EXP(-(P749-Inputs!$B$12)/Inputs!$B$13)),0)</f>
        <v>0</v>
      </c>
      <c r="R749" s="24" t="n">
        <f aca="false">N749*O749</f>
        <v>0</v>
      </c>
      <c r="S749" s="12" t="n">
        <f aca="false">N749*Q749</f>
        <v>0</v>
      </c>
      <c r="T749" s="24" t="n">
        <f aca="false">N749^2</f>
        <v>0.156837334837342</v>
      </c>
    </row>
    <row r="750" customFormat="false" ht="15" hidden="false" customHeight="false" outlineLevel="0" collapsed="false">
      <c r="A750" s="5" t="s">
        <v>1002</v>
      </c>
      <c r="B750" s="5" t="s">
        <v>212</v>
      </c>
      <c r="C750" s="5" t="s">
        <v>58</v>
      </c>
      <c r="D750" s="5" t="s">
        <v>65</v>
      </c>
      <c r="E750" s="5" t="s">
        <v>73</v>
      </c>
      <c r="F750" s="26" t="n">
        <v>61.24</v>
      </c>
      <c r="G750" s="26" t="n">
        <v>61.52</v>
      </c>
      <c r="H750" s="30" t="n">
        <v>0.5</v>
      </c>
      <c r="I750" s="28" t="n">
        <f aca="false">H750*G750/3.6</f>
        <v>8.54444444444444</v>
      </c>
      <c r="J750" s="30" t="n">
        <v>5.92</v>
      </c>
      <c r="K750" s="30" t="n">
        <v>0.817</v>
      </c>
      <c r="L750" s="30" t="n">
        <v>1.612</v>
      </c>
      <c r="M750" s="30" t="n">
        <v>6.29</v>
      </c>
      <c r="N750" s="25" t="n">
        <v>1.14056213902452</v>
      </c>
      <c r="O750" s="17" t="n">
        <v>0</v>
      </c>
      <c r="P750" s="26" t="n">
        <v>0</v>
      </c>
      <c r="Q750" s="24" t="n">
        <f aca="false">IF(O750=1,1/(1+EXP(-(P750-Inputs!$B$12)/Inputs!$B$13)),0)</f>
        <v>0</v>
      </c>
      <c r="R750" s="24" t="n">
        <f aca="false">N750*O750</f>
        <v>0</v>
      </c>
      <c r="S750" s="12" t="n">
        <f aca="false">N750*Q750</f>
        <v>0</v>
      </c>
      <c r="T750" s="24" t="n">
        <f aca="false">N750^2</f>
        <v>1.30088199297618</v>
      </c>
    </row>
    <row r="751" customFormat="false" ht="15" hidden="false" customHeight="false" outlineLevel="0" collapsed="false">
      <c r="A751" s="5" t="s">
        <v>1003</v>
      </c>
      <c r="B751" s="5" t="s">
        <v>212</v>
      </c>
      <c r="C751" s="5" t="s">
        <v>58</v>
      </c>
      <c r="D751" s="5" t="s">
        <v>65</v>
      </c>
      <c r="E751" s="5" t="s">
        <v>73</v>
      </c>
      <c r="F751" s="26" t="n">
        <v>58.19</v>
      </c>
      <c r="G751" s="26" t="n">
        <v>56.95</v>
      </c>
      <c r="H751" s="30" t="n">
        <v>0.645</v>
      </c>
      <c r="I751" s="28" t="n">
        <f aca="false">H751*G751/3.6</f>
        <v>10.2035416666667</v>
      </c>
      <c r="J751" s="30" t="n">
        <v>3.88</v>
      </c>
      <c r="K751" s="30" t="n">
        <v>3.077</v>
      </c>
      <c r="L751" s="30" t="n">
        <v>1.201</v>
      </c>
      <c r="M751" s="30" t="n">
        <v>7.02</v>
      </c>
      <c r="N751" s="25" t="n">
        <v>0.0963691821479191</v>
      </c>
      <c r="O751" s="17" t="n">
        <v>0</v>
      </c>
      <c r="P751" s="26" t="n">
        <v>0</v>
      </c>
      <c r="Q751" s="24" t="n">
        <f aca="false">IF(O751=1,1/(1+EXP(-(P751-Inputs!$B$12)/Inputs!$B$13)),0)</f>
        <v>0</v>
      </c>
      <c r="R751" s="24" t="n">
        <f aca="false">N751*O751</f>
        <v>0</v>
      </c>
      <c r="S751" s="12" t="n">
        <f aca="false">N751*Q751</f>
        <v>0</v>
      </c>
      <c r="T751" s="24" t="n">
        <f aca="false">N751^2</f>
        <v>0.00928701926785882</v>
      </c>
    </row>
    <row r="752" customFormat="false" ht="15" hidden="false" customHeight="false" outlineLevel="0" collapsed="false">
      <c r="A752" s="5" t="s">
        <v>1004</v>
      </c>
      <c r="B752" s="5" t="s">
        <v>212</v>
      </c>
      <c r="C752" s="5" t="s">
        <v>58</v>
      </c>
      <c r="D752" s="5" t="s">
        <v>65</v>
      </c>
      <c r="E752" s="5" t="s">
        <v>73</v>
      </c>
      <c r="F752" s="26" t="n">
        <v>71.75</v>
      </c>
      <c r="G752" s="26" t="n">
        <v>70.63</v>
      </c>
      <c r="H752" s="30" t="n">
        <v>0.53</v>
      </c>
      <c r="I752" s="28" t="n">
        <f aca="false">H752*G752/3.6</f>
        <v>10.3983055555556</v>
      </c>
      <c r="J752" s="30" t="n">
        <v>3.5</v>
      </c>
      <c r="K752" s="30" t="n">
        <v>0.734</v>
      </c>
      <c r="L752" s="30" t="n">
        <v>1.345</v>
      </c>
      <c r="M752" s="30" t="n">
        <v>6.6</v>
      </c>
      <c r="N752" s="25" t="n">
        <v>1.22108287102429</v>
      </c>
      <c r="O752" s="17" t="n">
        <v>0</v>
      </c>
      <c r="P752" s="26" t="n">
        <v>0</v>
      </c>
      <c r="Q752" s="24" t="n">
        <f aca="false">IF(O752=1,1/(1+EXP(-(P752-Inputs!$B$12)/Inputs!$B$13)),0)</f>
        <v>0</v>
      </c>
      <c r="R752" s="24" t="n">
        <f aca="false">N752*O752</f>
        <v>0</v>
      </c>
      <c r="S752" s="12" t="n">
        <f aca="false">N752*Q752</f>
        <v>0</v>
      </c>
      <c r="T752" s="24" t="n">
        <f aca="false">N752^2</f>
        <v>1.49104337790892</v>
      </c>
    </row>
    <row r="753" customFormat="false" ht="15" hidden="false" customHeight="false" outlineLevel="0" collapsed="false">
      <c r="A753" s="5" t="s">
        <v>1005</v>
      </c>
      <c r="B753" s="5" t="s">
        <v>212</v>
      </c>
      <c r="C753" s="5" t="s">
        <v>58</v>
      </c>
      <c r="D753" s="5" t="s">
        <v>65</v>
      </c>
      <c r="E753" s="5" t="s">
        <v>73</v>
      </c>
      <c r="F753" s="26" t="n">
        <v>59.81</v>
      </c>
      <c r="G753" s="26" t="n">
        <v>59.74</v>
      </c>
      <c r="H753" s="30" t="n">
        <v>0.556</v>
      </c>
      <c r="I753" s="28" t="n">
        <f aca="false">H753*G753/3.6</f>
        <v>9.22651111111111</v>
      </c>
      <c r="J753" s="30" t="n">
        <v>5.39</v>
      </c>
      <c r="K753" s="30" t="n">
        <v>0.842</v>
      </c>
      <c r="L753" s="30" t="n">
        <v>2.553</v>
      </c>
      <c r="M753" s="30" t="n">
        <v>6.9</v>
      </c>
      <c r="N753" s="25" t="n">
        <v>0.0343279353408272</v>
      </c>
      <c r="O753" s="17" t="n">
        <v>1</v>
      </c>
      <c r="P753" s="26" t="n">
        <v>16.41</v>
      </c>
      <c r="Q753" s="24" t="n">
        <f aca="false">IF(O753=1,1/(1+EXP(-(P753-Inputs!$B$12)/Inputs!$B$13)),0)</f>
        <v>0.0165564299865697</v>
      </c>
      <c r="R753" s="24" t="n">
        <f aca="false">N753*O753</f>
        <v>0.0343279353408272</v>
      </c>
      <c r="S753" s="12" t="n">
        <f aca="false">N753*Q753</f>
        <v>0.000568348058053897</v>
      </c>
      <c r="T753" s="24" t="n">
        <f aca="false">N753^2</f>
        <v>0.00117840714476401</v>
      </c>
    </row>
    <row r="754" customFormat="false" ht="15" hidden="false" customHeight="false" outlineLevel="0" collapsed="false">
      <c r="A754" s="5" t="s">
        <v>1006</v>
      </c>
      <c r="B754" s="5" t="s">
        <v>212</v>
      </c>
      <c r="C754" s="5" t="s">
        <v>58</v>
      </c>
      <c r="D754" s="5" t="s">
        <v>65</v>
      </c>
      <c r="E754" s="5" t="s">
        <v>73</v>
      </c>
      <c r="F754" s="26" t="n">
        <v>71.61</v>
      </c>
      <c r="G754" s="26" t="n">
        <v>74.28</v>
      </c>
      <c r="H754" s="30" t="n">
        <v>0.9</v>
      </c>
      <c r="I754" s="28" t="n">
        <f aca="false">H754*G754/3.6</f>
        <v>18.57</v>
      </c>
      <c r="J754" s="30" t="n">
        <v>2.73</v>
      </c>
      <c r="K754" s="30" t="n">
        <v>1.687</v>
      </c>
      <c r="L754" s="30" t="n">
        <v>1.308</v>
      </c>
      <c r="M754" s="30" t="n">
        <v>7.21</v>
      </c>
      <c r="N754" s="25" t="n">
        <v>0.452372122417731</v>
      </c>
      <c r="O754" s="17" t="n">
        <v>0</v>
      </c>
      <c r="P754" s="26" t="n">
        <v>0</v>
      </c>
      <c r="Q754" s="24" t="n">
        <f aca="false">IF(O754=1,1/(1+EXP(-(P754-Inputs!$B$12)/Inputs!$B$13)),0)</f>
        <v>0</v>
      </c>
      <c r="R754" s="24" t="n">
        <f aca="false">N754*O754</f>
        <v>0</v>
      </c>
      <c r="S754" s="12" t="n">
        <f aca="false">N754*Q754</f>
        <v>0</v>
      </c>
      <c r="T754" s="24" t="n">
        <f aca="false">N754^2</f>
        <v>0.204640537140723</v>
      </c>
    </row>
    <row r="755" customFormat="false" ht="15" hidden="false" customHeight="false" outlineLevel="0" collapsed="false">
      <c r="A755" s="5" t="s">
        <v>1007</v>
      </c>
      <c r="B755" s="5" t="s">
        <v>212</v>
      </c>
      <c r="C755" s="5" t="s">
        <v>58</v>
      </c>
      <c r="D755" s="5" t="s">
        <v>65</v>
      </c>
      <c r="E755" s="5" t="s">
        <v>73</v>
      </c>
      <c r="F755" s="26" t="n">
        <v>59.09</v>
      </c>
      <c r="G755" s="26" t="n">
        <v>60.16</v>
      </c>
      <c r="H755" s="30" t="n">
        <v>0.818</v>
      </c>
      <c r="I755" s="28" t="n">
        <f aca="false">H755*G755/3.6</f>
        <v>13.6696888888889</v>
      </c>
      <c r="J755" s="30" t="n">
        <v>3.43</v>
      </c>
      <c r="K755" s="30" t="n">
        <v>0.687</v>
      </c>
      <c r="L755" s="30" t="n">
        <v>1.128</v>
      </c>
      <c r="M755" s="30" t="n">
        <v>4.04</v>
      </c>
      <c r="N755" s="25" t="n">
        <v>6.79709142199208</v>
      </c>
      <c r="O755" s="17" t="n">
        <v>0</v>
      </c>
      <c r="P755" s="26" t="n">
        <v>0</v>
      </c>
      <c r="Q755" s="24" t="n">
        <f aca="false">IF(O755=1,1/(1+EXP(-(P755-Inputs!$B$12)/Inputs!$B$13)),0)</f>
        <v>0</v>
      </c>
      <c r="R755" s="24" t="n">
        <f aca="false">N755*O755</f>
        <v>0</v>
      </c>
      <c r="S755" s="12" t="n">
        <f aca="false">N755*Q755</f>
        <v>0</v>
      </c>
      <c r="T755" s="24" t="n">
        <f aca="false">N755^2</f>
        <v>46.2004517989183</v>
      </c>
    </row>
    <row r="756" customFormat="false" ht="15" hidden="false" customHeight="false" outlineLevel="0" collapsed="false">
      <c r="A756" s="5" t="s">
        <v>1008</v>
      </c>
      <c r="B756" s="5" t="s">
        <v>213</v>
      </c>
      <c r="C756" s="5" t="s">
        <v>58</v>
      </c>
      <c r="D756" s="5" t="s">
        <v>66</v>
      </c>
      <c r="E756" s="5" t="s">
        <v>68</v>
      </c>
      <c r="F756" s="26" t="n">
        <v>83.43</v>
      </c>
      <c r="G756" s="26" t="n">
        <v>84.08</v>
      </c>
      <c r="H756" s="30" t="n">
        <v>4.936</v>
      </c>
      <c r="I756" s="28" t="n">
        <f aca="false">H756*G756/3.6</f>
        <v>115.283022222222</v>
      </c>
      <c r="J756" s="30" t="n">
        <v>3.29</v>
      </c>
      <c r="K756" s="30" t="n">
        <v>2.224</v>
      </c>
      <c r="L756" s="30" t="n">
        <v>1.419</v>
      </c>
      <c r="M756" s="30" t="n">
        <v>3.64</v>
      </c>
      <c r="N756" s="25" t="n">
        <v>0.452962969652784</v>
      </c>
      <c r="O756" s="17" t="n">
        <v>0</v>
      </c>
      <c r="P756" s="26" t="n">
        <v>0</v>
      </c>
      <c r="Q756" s="24" t="n">
        <f aca="false">IF(O756=1,1/(1+EXP(-(P756-Inputs!$B$12)/Inputs!$B$13)),0)</f>
        <v>0</v>
      </c>
      <c r="R756" s="24" t="n">
        <f aca="false">N756*O756</f>
        <v>0</v>
      </c>
      <c r="S756" s="12" t="n">
        <f aca="false">N756*Q756</f>
        <v>0</v>
      </c>
      <c r="T756" s="24" t="n">
        <f aca="false">N756^2</f>
        <v>0.205175451876669</v>
      </c>
    </row>
    <row r="757" customFormat="false" ht="15" hidden="false" customHeight="false" outlineLevel="0" collapsed="false">
      <c r="A757" s="5" t="s">
        <v>1009</v>
      </c>
      <c r="B757" s="5" t="s">
        <v>213</v>
      </c>
      <c r="C757" s="5" t="s">
        <v>58</v>
      </c>
      <c r="D757" s="5" t="s">
        <v>66</v>
      </c>
      <c r="E757" s="5" t="s">
        <v>68</v>
      </c>
      <c r="F757" s="26" t="n">
        <v>83.01</v>
      </c>
      <c r="G757" s="26" t="n">
        <v>83.93</v>
      </c>
      <c r="H757" s="30" t="n">
        <v>4.833</v>
      </c>
      <c r="I757" s="28" t="n">
        <f aca="false">H757*G757/3.6</f>
        <v>112.676025</v>
      </c>
      <c r="J757" s="30" t="n">
        <v>4.4</v>
      </c>
      <c r="K757" s="30" t="n">
        <v>1.045</v>
      </c>
      <c r="L757" s="30" t="n">
        <v>1.31</v>
      </c>
      <c r="M757" s="30" t="n">
        <v>7.78</v>
      </c>
      <c r="N757" s="25" t="n">
        <v>0.590460197265119</v>
      </c>
      <c r="O757" s="17" t="n">
        <v>0</v>
      </c>
      <c r="P757" s="26" t="n">
        <v>0</v>
      </c>
      <c r="Q757" s="24" t="n">
        <f aca="false">IF(O757=1,1/(1+EXP(-(P757-Inputs!$B$12)/Inputs!$B$13)),0)</f>
        <v>0</v>
      </c>
      <c r="R757" s="24" t="n">
        <f aca="false">N757*O757</f>
        <v>0</v>
      </c>
      <c r="S757" s="12" t="n">
        <f aca="false">N757*Q757</f>
        <v>0</v>
      </c>
      <c r="T757" s="24" t="n">
        <f aca="false">N757^2</f>
        <v>0.348643244554363</v>
      </c>
    </row>
    <row r="758" customFormat="false" ht="15" hidden="false" customHeight="false" outlineLevel="0" collapsed="false">
      <c r="A758" s="5" t="s">
        <v>1010</v>
      </c>
      <c r="B758" s="5" t="s">
        <v>213</v>
      </c>
      <c r="C758" s="5" t="s">
        <v>58</v>
      </c>
      <c r="D758" s="5" t="s">
        <v>66</v>
      </c>
      <c r="E758" s="5" t="s">
        <v>68</v>
      </c>
      <c r="F758" s="26" t="n">
        <v>75.49</v>
      </c>
      <c r="G758" s="26" t="n">
        <v>76.59</v>
      </c>
      <c r="H758" s="30" t="n">
        <v>3.979</v>
      </c>
      <c r="I758" s="28" t="n">
        <f aca="false">H758*G758/3.6</f>
        <v>84.653225</v>
      </c>
      <c r="J758" s="30" t="n">
        <v>2.66</v>
      </c>
      <c r="K758" s="30" t="n">
        <v>1.428</v>
      </c>
      <c r="L758" s="30" t="n">
        <v>1.062</v>
      </c>
      <c r="M758" s="30" t="n">
        <v>7.39</v>
      </c>
      <c r="N758" s="25" t="n">
        <v>0.606806979827745</v>
      </c>
      <c r="O758" s="17" t="n">
        <v>0</v>
      </c>
      <c r="P758" s="26" t="n">
        <v>0</v>
      </c>
      <c r="Q758" s="24" t="n">
        <f aca="false">IF(O758=1,1/(1+EXP(-(P758-Inputs!$B$12)/Inputs!$B$13)),0)</f>
        <v>0</v>
      </c>
      <c r="R758" s="24" t="n">
        <f aca="false">N758*O758</f>
        <v>0</v>
      </c>
      <c r="S758" s="12" t="n">
        <f aca="false">N758*Q758</f>
        <v>0</v>
      </c>
      <c r="T758" s="24" t="n">
        <f aca="false">N758^2</f>
        <v>0.368214710767669</v>
      </c>
    </row>
    <row r="759" customFormat="false" ht="15" hidden="false" customHeight="false" outlineLevel="0" collapsed="false">
      <c r="A759" s="5" t="s">
        <v>1011</v>
      </c>
      <c r="B759" s="5" t="s">
        <v>213</v>
      </c>
      <c r="C759" s="5" t="s">
        <v>58</v>
      </c>
      <c r="D759" s="5" t="s">
        <v>66</v>
      </c>
      <c r="E759" s="5" t="s">
        <v>68</v>
      </c>
      <c r="F759" s="26" t="n">
        <v>90.01</v>
      </c>
      <c r="G759" s="26" t="n">
        <v>86.34</v>
      </c>
      <c r="H759" s="30" t="n">
        <v>3.936</v>
      </c>
      <c r="I759" s="28" t="n">
        <f aca="false">H759*G759/3.6</f>
        <v>94.3984</v>
      </c>
      <c r="J759" s="30" t="n">
        <v>6</v>
      </c>
      <c r="K759" s="30" t="n">
        <v>0.871</v>
      </c>
      <c r="L759" s="30" t="n">
        <v>1.293</v>
      </c>
      <c r="M759" s="30" t="n">
        <v>4.06</v>
      </c>
      <c r="N759" s="25" t="n">
        <v>1.80313450774941</v>
      </c>
      <c r="O759" s="17" t="n">
        <v>0</v>
      </c>
      <c r="P759" s="26" t="n">
        <v>0</v>
      </c>
      <c r="Q759" s="24" t="n">
        <f aca="false">IF(O759=1,1/(1+EXP(-(P759-Inputs!$B$12)/Inputs!$B$13)),0)</f>
        <v>0</v>
      </c>
      <c r="R759" s="24" t="n">
        <f aca="false">N759*O759</f>
        <v>0</v>
      </c>
      <c r="S759" s="12" t="n">
        <f aca="false">N759*Q759</f>
        <v>0</v>
      </c>
      <c r="T759" s="24" t="n">
        <f aca="false">N759^2</f>
        <v>3.25129405303669</v>
      </c>
    </row>
    <row r="760" customFormat="false" ht="15" hidden="false" customHeight="false" outlineLevel="0" collapsed="false">
      <c r="A760" s="5" t="s">
        <v>1012</v>
      </c>
      <c r="B760" s="5" t="s">
        <v>213</v>
      </c>
      <c r="C760" s="5" t="s">
        <v>58</v>
      </c>
      <c r="D760" s="5" t="s">
        <v>66</v>
      </c>
      <c r="E760" s="5" t="s">
        <v>68</v>
      </c>
      <c r="F760" s="26" t="n">
        <v>85.58</v>
      </c>
      <c r="G760" s="26" t="n">
        <v>89.31</v>
      </c>
      <c r="H760" s="30" t="n">
        <v>3.029</v>
      </c>
      <c r="I760" s="28" t="n">
        <f aca="false">H760*G760/3.6</f>
        <v>75.1444416666667</v>
      </c>
      <c r="J760" s="30" t="n">
        <v>3.43</v>
      </c>
      <c r="K760" s="30" t="n">
        <v>1.099</v>
      </c>
      <c r="L760" s="30" t="n">
        <v>1.781</v>
      </c>
      <c r="M760" s="30" t="n">
        <v>7.25</v>
      </c>
      <c r="N760" s="25" t="n">
        <v>0.178277514109699</v>
      </c>
      <c r="O760" s="17" t="n">
        <v>0</v>
      </c>
      <c r="P760" s="26" t="n">
        <v>0</v>
      </c>
      <c r="Q760" s="24" t="n">
        <f aca="false">IF(O760=1,1/(1+EXP(-(P760-Inputs!$B$12)/Inputs!$B$13)),0)</f>
        <v>0</v>
      </c>
      <c r="R760" s="24" t="n">
        <f aca="false">N760*O760</f>
        <v>0</v>
      </c>
      <c r="S760" s="12" t="n">
        <f aca="false">N760*Q760</f>
        <v>0</v>
      </c>
      <c r="T760" s="24" t="n">
        <f aca="false">N760^2</f>
        <v>0.0317828720371341</v>
      </c>
    </row>
    <row r="761" customFormat="false" ht="15" hidden="false" customHeight="false" outlineLevel="0" collapsed="false">
      <c r="A761" s="5" t="s">
        <v>1013</v>
      </c>
      <c r="B761" s="5" t="s">
        <v>213</v>
      </c>
      <c r="C761" s="5" t="s">
        <v>58</v>
      </c>
      <c r="D761" s="5" t="s">
        <v>66</v>
      </c>
      <c r="E761" s="5" t="s">
        <v>68</v>
      </c>
      <c r="F761" s="26" t="n">
        <v>84.17</v>
      </c>
      <c r="G761" s="26" t="n">
        <v>85.2</v>
      </c>
      <c r="H761" s="30" t="n">
        <v>3.117</v>
      </c>
      <c r="I761" s="28" t="n">
        <f aca="false">H761*G761/3.6</f>
        <v>73.769</v>
      </c>
      <c r="J761" s="30" t="n">
        <v>3.99</v>
      </c>
      <c r="K761" s="30" t="n">
        <v>1.643</v>
      </c>
      <c r="L761" s="30" t="n">
        <v>2.321</v>
      </c>
      <c r="M761" s="30" t="n">
        <v>6.08</v>
      </c>
      <c r="N761" s="25" t="n">
        <v>0.0260429707033199</v>
      </c>
      <c r="O761" s="17" t="n">
        <v>0</v>
      </c>
      <c r="P761" s="26" t="n">
        <v>0</v>
      </c>
      <c r="Q761" s="24" t="n">
        <f aca="false">IF(O761=1,1/(1+EXP(-(P761-Inputs!$B$12)/Inputs!$B$13)),0)</f>
        <v>0</v>
      </c>
      <c r="R761" s="24" t="n">
        <f aca="false">N761*O761</f>
        <v>0</v>
      </c>
      <c r="S761" s="12" t="n">
        <f aca="false">N761*Q761</f>
        <v>0</v>
      </c>
      <c r="T761" s="24" t="n">
        <f aca="false">N761^2</f>
        <v>0.000678236323053978</v>
      </c>
    </row>
    <row r="762" customFormat="false" ht="15" hidden="false" customHeight="false" outlineLevel="0" collapsed="false">
      <c r="A762" s="5" t="s">
        <v>1014</v>
      </c>
      <c r="B762" s="5" t="s">
        <v>213</v>
      </c>
      <c r="C762" s="5" t="s">
        <v>58</v>
      </c>
      <c r="D762" s="5" t="s">
        <v>66</v>
      </c>
      <c r="E762" s="5" t="s">
        <v>68</v>
      </c>
      <c r="F762" s="26" t="n">
        <v>91.86</v>
      </c>
      <c r="G762" s="26" t="n">
        <v>92.63</v>
      </c>
      <c r="H762" s="30" t="n">
        <v>5.329</v>
      </c>
      <c r="I762" s="28" t="n">
        <f aca="false">H762*G762/3.6</f>
        <v>137.118130555556</v>
      </c>
      <c r="J762" s="30" t="n">
        <v>5.82</v>
      </c>
      <c r="K762" s="30" t="n">
        <v>0.883</v>
      </c>
      <c r="L762" s="30" t="n">
        <v>1.379</v>
      </c>
      <c r="M762" s="30" t="n">
        <v>3.98</v>
      </c>
      <c r="N762" s="25" t="n">
        <v>2.75429533786666</v>
      </c>
      <c r="O762" s="17" t="n">
        <v>0</v>
      </c>
      <c r="P762" s="26" t="n">
        <v>0</v>
      </c>
      <c r="Q762" s="24" t="n">
        <f aca="false">IF(O762=1,1/(1+EXP(-(P762-Inputs!$B$12)/Inputs!$B$13)),0)</f>
        <v>0</v>
      </c>
      <c r="R762" s="24" t="n">
        <f aca="false">N762*O762</f>
        <v>0</v>
      </c>
      <c r="S762" s="12" t="n">
        <f aca="false">N762*Q762</f>
        <v>0</v>
      </c>
      <c r="T762" s="24" t="n">
        <f aca="false">N762^2</f>
        <v>7.58614280819399</v>
      </c>
    </row>
    <row r="763" customFormat="false" ht="15" hidden="false" customHeight="false" outlineLevel="0" collapsed="false">
      <c r="A763" s="5" t="s">
        <v>1015</v>
      </c>
      <c r="B763" s="5" t="s">
        <v>213</v>
      </c>
      <c r="C763" s="5" t="s">
        <v>58</v>
      </c>
      <c r="D763" s="5" t="s">
        <v>66</v>
      </c>
      <c r="E763" s="5" t="s">
        <v>68</v>
      </c>
      <c r="F763" s="26" t="n">
        <v>85.88</v>
      </c>
      <c r="G763" s="26" t="n">
        <v>86.26</v>
      </c>
      <c r="H763" s="30" t="n">
        <v>3.931</v>
      </c>
      <c r="I763" s="28" t="n">
        <f aca="false">H763*G763/3.6</f>
        <v>94.1911277777778</v>
      </c>
      <c r="J763" s="30" t="n">
        <v>5.75</v>
      </c>
      <c r="K763" s="30" t="n">
        <v>0.825</v>
      </c>
      <c r="L763" s="30" t="n">
        <v>0.878</v>
      </c>
      <c r="M763" s="30" t="n">
        <v>7.12</v>
      </c>
      <c r="N763" s="25" t="n">
        <v>2.52959494013256</v>
      </c>
      <c r="O763" s="17" t="n">
        <v>0</v>
      </c>
      <c r="P763" s="26" t="n">
        <v>0</v>
      </c>
      <c r="Q763" s="24" t="n">
        <f aca="false">IF(O763=1,1/(1+EXP(-(P763-Inputs!$B$12)/Inputs!$B$13)),0)</f>
        <v>0</v>
      </c>
      <c r="R763" s="24" t="n">
        <f aca="false">N763*O763</f>
        <v>0</v>
      </c>
      <c r="S763" s="12" t="n">
        <f aca="false">N763*Q763</f>
        <v>0</v>
      </c>
      <c r="T763" s="24" t="n">
        <f aca="false">N763^2</f>
        <v>6.39885056114422</v>
      </c>
    </row>
    <row r="764" customFormat="false" ht="15" hidden="false" customHeight="false" outlineLevel="0" collapsed="false">
      <c r="A764" s="5" t="s">
        <v>1016</v>
      </c>
      <c r="B764" s="5" t="s">
        <v>213</v>
      </c>
      <c r="C764" s="5" t="s">
        <v>58</v>
      </c>
      <c r="D764" s="5" t="s">
        <v>66</v>
      </c>
      <c r="E764" s="5" t="s">
        <v>68</v>
      </c>
      <c r="F764" s="26" t="n">
        <v>78.75</v>
      </c>
      <c r="G764" s="26" t="n">
        <v>78.21</v>
      </c>
      <c r="H764" s="30" t="n">
        <v>3.892</v>
      </c>
      <c r="I764" s="28" t="n">
        <f aca="false">H764*G764/3.6</f>
        <v>84.5537</v>
      </c>
      <c r="J764" s="30" t="n">
        <v>5.35</v>
      </c>
      <c r="K764" s="30" t="n">
        <v>2.315</v>
      </c>
      <c r="L764" s="30" t="n">
        <v>1.593</v>
      </c>
      <c r="M764" s="30" t="n">
        <v>7.35</v>
      </c>
      <c r="N764" s="25" t="n">
        <v>0.0504066191930554</v>
      </c>
      <c r="O764" s="17" t="n">
        <v>0</v>
      </c>
      <c r="P764" s="26" t="n">
        <v>0</v>
      </c>
      <c r="Q764" s="24" t="n">
        <f aca="false">IF(O764=1,1/(1+EXP(-(P764-Inputs!$B$12)/Inputs!$B$13)),0)</f>
        <v>0</v>
      </c>
      <c r="R764" s="24" t="n">
        <f aca="false">N764*O764</f>
        <v>0</v>
      </c>
      <c r="S764" s="12" t="n">
        <f aca="false">N764*Q764</f>
        <v>0</v>
      </c>
      <c r="T764" s="24" t="n">
        <f aca="false">N764^2</f>
        <v>0.0025408272584737</v>
      </c>
    </row>
    <row r="765" customFormat="false" ht="15" hidden="false" customHeight="false" outlineLevel="0" collapsed="false">
      <c r="A765" s="5" t="s">
        <v>1017</v>
      </c>
      <c r="B765" s="5" t="s">
        <v>213</v>
      </c>
      <c r="C765" s="5" t="s">
        <v>58</v>
      </c>
      <c r="D765" s="5" t="s">
        <v>66</v>
      </c>
      <c r="E765" s="5" t="s">
        <v>68</v>
      </c>
      <c r="F765" s="26" t="n">
        <v>75.6</v>
      </c>
      <c r="G765" s="26" t="n">
        <v>76.02</v>
      </c>
      <c r="H765" s="30" t="n">
        <v>3.798</v>
      </c>
      <c r="I765" s="28" t="n">
        <f aca="false">H765*G765/3.6</f>
        <v>80.2011</v>
      </c>
      <c r="J765" s="30" t="n">
        <v>3.11</v>
      </c>
      <c r="K765" s="30" t="n">
        <v>1.353</v>
      </c>
      <c r="L765" s="30" t="n">
        <v>0.943</v>
      </c>
      <c r="M765" s="30" t="n">
        <v>7.56</v>
      </c>
      <c r="N765" s="25" t="n">
        <v>0.809845731961731</v>
      </c>
      <c r="O765" s="17" t="n">
        <v>0</v>
      </c>
      <c r="P765" s="26" t="n">
        <v>0</v>
      </c>
      <c r="Q765" s="24" t="n">
        <f aca="false">IF(O765=1,1/(1+EXP(-(P765-Inputs!$B$12)/Inputs!$B$13)),0)</f>
        <v>0</v>
      </c>
      <c r="R765" s="24" t="n">
        <f aca="false">N765*O765</f>
        <v>0</v>
      </c>
      <c r="S765" s="12" t="n">
        <f aca="false">N765*Q765</f>
        <v>0</v>
      </c>
      <c r="T765" s="24" t="n">
        <f aca="false">N765^2</f>
        <v>0.655850109576632</v>
      </c>
    </row>
    <row r="766" customFormat="false" ht="15" hidden="false" customHeight="false" outlineLevel="0" collapsed="false">
      <c r="A766" s="5" t="s">
        <v>1018</v>
      </c>
      <c r="B766" s="5" t="s">
        <v>214</v>
      </c>
      <c r="C766" s="5" t="s">
        <v>58</v>
      </c>
      <c r="D766" s="5" t="s">
        <v>66</v>
      </c>
      <c r="E766" s="5" t="s">
        <v>70</v>
      </c>
      <c r="F766" s="26" t="n">
        <v>90.31</v>
      </c>
      <c r="G766" s="26" t="n">
        <v>93.33</v>
      </c>
      <c r="H766" s="30" t="n">
        <v>2.3</v>
      </c>
      <c r="I766" s="28" t="n">
        <f aca="false">H766*G766/3.6</f>
        <v>59.6275</v>
      </c>
      <c r="J766" s="30" t="n">
        <v>4.25</v>
      </c>
      <c r="K766" s="30" t="n">
        <v>0.624</v>
      </c>
      <c r="L766" s="30" t="n">
        <v>1.692</v>
      </c>
      <c r="M766" s="30" t="n">
        <v>4.33</v>
      </c>
      <c r="N766" s="25" t="n">
        <v>1.18650076560566</v>
      </c>
      <c r="O766" s="17" t="n">
        <v>0</v>
      </c>
      <c r="P766" s="26" t="n">
        <v>0</v>
      </c>
      <c r="Q766" s="24" t="n">
        <f aca="false">IF(O766=1,1/(1+EXP(-(P766-Inputs!$B$12)/Inputs!$B$13)),0)</f>
        <v>0</v>
      </c>
      <c r="R766" s="24" t="n">
        <f aca="false">N766*O766</f>
        <v>0</v>
      </c>
      <c r="S766" s="12" t="n">
        <f aca="false">N766*Q766</f>
        <v>0</v>
      </c>
      <c r="T766" s="24" t="n">
        <f aca="false">N766^2</f>
        <v>1.40778406678281</v>
      </c>
    </row>
    <row r="767" customFormat="false" ht="15" hidden="false" customHeight="false" outlineLevel="0" collapsed="false">
      <c r="A767" s="5" t="s">
        <v>1019</v>
      </c>
      <c r="B767" s="5" t="s">
        <v>214</v>
      </c>
      <c r="C767" s="5" t="s">
        <v>58</v>
      </c>
      <c r="D767" s="5" t="s">
        <v>66</v>
      </c>
      <c r="E767" s="5" t="s">
        <v>70</v>
      </c>
      <c r="F767" s="26" t="n">
        <v>93.54</v>
      </c>
      <c r="G767" s="26" t="n">
        <v>90.87</v>
      </c>
      <c r="H767" s="30" t="n">
        <v>2.807</v>
      </c>
      <c r="I767" s="28" t="n">
        <f aca="false">H767*G767/3.6</f>
        <v>70.8533583333333</v>
      </c>
      <c r="J767" s="30" t="n">
        <v>5.29</v>
      </c>
      <c r="K767" s="30" t="n">
        <v>1.341</v>
      </c>
      <c r="L767" s="30" t="n">
        <v>2.868</v>
      </c>
      <c r="M767" s="30" t="n">
        <v>3.59</v>
      </c>
      <c r="N767" s="25" t="n">
        <v>0.0795063134562143</v>
      </c>
      <c r="O767" s="17" t="n">
        <v>0</v>
      </c>
      <c r="P767" s="26" t="n">
        <v>0</v>
      </c>
      <c r="Q767" s="24" t="n">
        <f aca="false">IF(O767=1,1/(1+EXP(-(P767-Inputs!$B$12)/Inputs!$B$13)),0)</f>
        <v>0</v>
      </c>
      <c r="R767" s="24" t="n">
        <f aca="false">N767*O767</f>
        <v>0</v>
      </c>
      <c r="S767" s="12" t="n">
        <f aca="false">N767*Q767</f>
        <v>0</v>
      </c>
      <c r="T767" s="24" t="n">
        <f aca="false">N767^2</f>
        <v>0.00632125387939781</v>
      </c>
    </row>
    <row r="768" customFormat="false" ht="15" hidden="false" customHeight="false" outlineLevel="0" collapsed="false">
      <c r="A768" s="5" t="s">
        <v>1020</v>
      </c>
      <c r="B768" s="5" t="s">
        <v>214</v>
      </c>
      <c r="C768" s="5" t="s">
        <v>58</v>
      </c>
      <c r="D768" s="5" t="s">
        <v>66</v>
      </c>
      <c r="E768" s="5" t="s">
        <v>70</v>
      </c>
      <c r="F768" s="26" t="n">
        <v>85.77</v>
      </c>
      <c r="G768" s="26" t="n">
        <v>88.7</v>
      </c>
      <c r="H768" s="30" t="n">
        <v>2.719</v>
      </c>
      <c r="I768" s="28" t="n">
        <f aca="false">H768*G768/3.6</f>
        <v>66.9931388888889</v>
      </c>
      <c r="J768" s="30" t="n">
        <v>3.55</v>
      </c>
      <c r="K768" s="30" t="n">
        <v>2.476</v>
      </c>
      <c r="L768" s="30" t="n">
        <v>1.435</v>
      </c>
      <c r="M768" s="30" t="n">
        <v>6.14</v>
      </c>
      <c r="N768" s="25" t="n">
        <v>0.175510619019521</v>
      </c>
      <c r="O768" s="17" t="n">
        <v>0</v>
      </c>
      <c r="P768" s="26" t="n">
        <v>0</v>
      </c>
      <c r="Q768" s="24" t="n">
        <f aca="false">IF(O768=1,1/(1+EXP(-(P768-Inputs!$B$12)/Inputs!$B$13)),0)</f>
        <v>0</v>
      </c>
      <c r="R768" s="24" t="n">
        <f aca="false">N768*O768</f>
        <v>0</v>
      </c>
      <c r="S768" s="12" t="n">
        <f aca="false">N768*Q768</f>
        <v>0</v>
      </c>
      <c r="T768" s="24" t="n">
        <f aca="false">N768^2</f>
        <v>0.0308039773886156</v>
      </c>
    </row>
    <row r="769" customFormat="false" ht="15" hidden="false" customHeight="false" outlineLevel="0" collapsed="false">
      <c r="A769" s="5" t="s">
        <v>1021</v>
      </c>
      <c r="B769" s="5" t="s">
        <v>214</v>
      </c>
      <c r="C769" s="5" t="s">
        <v>58</v>
      </c>
      <c r="D769" s="5" t="s">
        <v>66</v>
      </c>
      <c r="E769" s="5" t="s">
        <v>70</v>
      </c>
      <c r="F769" s="26" t="n">
        <v>86.51</v>
      </c>
      <c r="G769" s="26" t="n">
        <v>86.17</v>
      </c>
      <c r="H769" s="30" t="n">
        <v>2.388</v>
      </c>
      <c r="I769" s="28" t="n">
        <f aca="false">H769*G769/3.6</f>
        <v>57.1594333333333</v>
      </c>
      <c r="J769" s="30" t="n">
        <v>3.53</v>
      </c>
      <c r="K769" s="30" t="n">
        <v>1.433</v>
      </c>
      <c r="L769" s="30" t="n">
        <v>1.118</v>
      </c>
      <c r="M769" s="30" t="n">
        <v>6.81</v>
      </c>
      <c r="N769" s="25" t="n">
        <v>0.549806990193399</v>
      </c>
      <c r="O769" s="17" t="n">
        <v>0</v>
      </c>
      <c r="P769" s="26" t="n">
        <v>0</v>
      </c>
      <c r="Q769" s="24" t="n">
        <f aca="false">IF(O769=1,1/(1+EXP(-(P769-Inputs!$B$12)/Inputs!$B$13)),0)</f>
        <v>0</v>
      </c>
      <c r="R769" s="24" t="n">
        <f aca="false">N769*O769</f>
        <v>0</v>
      </c>
      <c r="S769" s="12" t="n">
        <f aca="false">N769*Q769</f>
        <v>0</v>
      </c>
      <c r="T769" s="24" t="n">
        <f aca="false">N769^2</f>
        <v>0.302287726465524</v>
      </c>
    </row>
    <row r="770" customFormat="false" ht="15" hidden="false" customHeight="false" outlineLevel="0" collapsed="false">
      <c r="A770" s="5" t="s">
        <v>1022</v>
      </c>
      <c r="B770" s="5" t="s">
        <v>214</v>
      </c>
      <c r="C770" s="5" t="s">
        <v>58</v>
      </c>
      <c r="D770" s="5" t="s">
        <v>66</v>
      </c>
      <c r="E770" s="5" t="s">
        <v>70</v>
      </c>
      <c r="F770" s="26" t="n">
        <v>92.55</v>
      </c>
      <c r="G770" s="26" t="n">
        <v>91.12</v>
      </c>
      <c r="H770" s="30" t="n">
        <v>2.472</v>
      </c>
      <c r="I770" s="28" t="n">
        <f aca="false">H770*G770/3.6</f>
        <v>62.5690666666667</v>
      </c>
      <c r="J770" s="30" t="n">
        <v>4.71</v>
      </c>
      <c r="K770" s="30" t="n">
        <v>0.965</v>
      </c>
      <c r="L770" s="30" t="n">
        <v>0.934</v>
      </c>
      <c r="M770" s="30" t="n">
        <v>5.86</v>
      </c>
      <c r="N770" s="25" t="n">
        <v>2.14918785126236</v>
      </c>
      <c r="O770" s="17" t="n">
        <v>0</v>
      </c>
      <c r="P770" s="26" t="n">
        <v>0</v>
      </c>
      <c r="Q770" s="24" t="n">
        <f aca="false">IF(O770=1,1/(1+EXP(-(P770-Inputs!$B$12)/Inputs!$B$13)),0)</f>
        <v>0</v>
      </c>
      <c r="R770" s="24" t="n">
        <f aca="false">N770*O770</f>
        <v>0</v>
      </c>
      <c r="S770" s="12" t="n">
        <f aca="false">N770*Q770</f>
        <v>0</v>
      </c>
      <c r="T770" s="24" t="n">
        <f aca="false">N770^2</f>
        <v>4.61900842001372</v>
      </c>
    </row>
    <row r="771" customFormat="false" ht="15" hidden="false" customHeight="false" outlineLevel="0" collapsed="false">
      <c r="A771" s="5" t="s">
        <v>1023</v>
      </c>
      <c r="B771" s="5" t="s">
        <v>214</v>
      </c>
      <c r="C771" s="5" t="s">
        <v>58</v>
      </c>
      <c r="D771" s="5" t="s">
        <v>66</v>
      </c>
      <c r="E771" s="5" t="s">
        <v>70</v>
      </c>
      <c r="F771" s="26" t="n">
        <v>91.18</v>
      </c>
      <c r="G771" s="26" t="n">
        <v>94.17</v>
      </c>
      <c r="H771" s="30" t="n">
        <v>2.586</v>
      </c>
      <c r="I771" s="28" t="n">
        <f aca="false">H771*G771/3.6</f>
        <v>67.64545</v>
      </c>
      <c r="J771" s="30" t="n">
        <v>5.36</v>
      </c>
      <c r="K771" s="30" t="n">
        <v>0.8</v>
      </c>
      <c r="L771" s="30" t="n">
        <v>1.004</v>
      </c>
      <c r="M771" s="30" t="n">
        <v>6.24</v>
      </c>
      <c r="N771" s="25" t="n">
        <v>2.94505287551151</v>
      </c>
      <c r="O771" s="17" t="n">
        <v>0</v>
      </c>
      <c r="P771" s="26" t="n">
        <v>0</v>
      </c>
      <c r="Q771" s="24" t="n">
        <f aca="false">IF(O771=1,1/(1+EXP(-(P771-Inputs!$B$12)/Inputs!$B$13)),0)</f>
        <v>0</v>
      </c>
      <c r="R771" s="24" t="n">
        <f aca="false">N771*O771</f>
        <v>0</v>
      </c>
      <c r="S771" s="12" t="n">
        <f aca="false">N771*Q771</f>
        <v>0</v>
      </c>
      <c r="T771" s="24" t="n">
        <f aca="false">N771^2</f>
        <v>8.6733364395586</v>
      </c>
    </row>
    <row r="772" customFormat="false" ht="15" hidden="false" customHeight="false" outlineLevel="0" collapsed="false">
      <c r="A772" s="5" t="s">
        <v>1024</v>
      </c>
      <c r="B772" s="5" t="s">
        <v>214</v>
      </c>
      <c r="C772" s="5" t="s">
        <v>58</v>
      </c>
      <c r="D772" s="5" t="s">
        <v>66</v>
      </c>
      <c r="E772" s="5" t="s">
        <v>70</v>
      </c>
      <c r="F772" s="26" t="n">
        <v>88.12</v>
      </c>
      <c r="G772" s="26" t="n">
        <v>89.3</v>
      </c>
      <c r="H772" s="30" t="n">
        <v>2.047</v>
      </c>
      <c r="I772" s="28" t="n">
        <f aca="false">H772*G772/3.6</f>
        <v>50.7769722222222</v>
      </c>
      <c r="J772" s="30" t="n">
        <v>5.04</v>
      </c>
      <c r="K772" s="30" t="n">
        <v>1.754</v>
      </c>
      <c r="L772" s="30" t="n">
        <v>1.148</v>
      </c>
      <c r="M772" s="30" t="n">
        <v>6.43</v>
      </c>
      <c r="N772" s="25" t="n">
        <v>0.406542979069564</v>
      </c>
      <c r="O772" s="17" t="n">
        <v>0</v>
      </c>
      <c r="P772" s="26" t="n">
        <v>0</v>
      </c>
      <c r="Q772" s="24" t="n">
        <f aca="false">IF(O772=1,1/(1+EXP(-(P772-Inputs!$B$12)/Inputs!$B$13)),0)</f>
        <v>0</v>
      </c>
      <c r="R772" s="24" t="n">
        <f aca="false">N772*O772</f>
        <v>0</v>
      </c>
      <c r="S772" s="12" t="n">
        <f aca="false">N772*Q772</f>
        <v>0</v>
      </c>
      <c r="T772" s="24" t="n">
        <f aca="false">N772^2</f>
        <v>0.165277193830756</v>
      </c>
    </row>
    <row r="773" customFormat="false" ht="15" hidden="false" customHeight="false" outlineLevel="0" collapsed="false">
      <c r="A773" s="5" t="s">
        <v>1025</v>
      </c>
      <c r="B773" s="5" t="s">
        <v>214</v>
      </c>
      <c r="C773" s="5" t="s">
        <v>58</v>
      </c>
      <c r="D773" s="5" t="s">
        <v>66</v>
      </c>
      <c r="E773" s="5" t="s">
        <v>70</v>
      </c>
      <c r="F773" s="26" t="n">
        <v>93.33</v>
      </c>
      <c r="G773" s="26" t="n">
        <v>92.37</v>
      </c>
      <c r="H773" s="30" t="n">
        <v>2.254</v>
      </c>
      <c r="I773" s="28" t="n">
        <f aca="false">H773*G773/3.6</f>
        <v>57.8338833333333</v>
      </c>
      <c r="J773" s="30" t="n">
        <v>5.47</v>
      </c>
      <c r="K773" s="30" t="n">
        <v>1.035</v>
      </c>
      <c r="L773" s="30" t="n">
        <v>1.143</v>
      </c>
      <c r="M773" s="30" t="n">
        <v>6.14</v>
      </c>
      <c r="N773" s="25" t="n">
        <v>0.990976423713714</v>
      </c>
      <c r="O773" s="17" t="n">
        <v>0</v>
      </c>
      <c r="P773" s="26" t="n">
        <v>0</v>
      </c>
      <c r="Q773" s="24" t="n">
        <f aca="false">IF(O773=1,1/(1+EXP(-(P773-Inputs!$B$12)/Inputs!$B$13)),0)</f>
        <v>0</v>
      </c>
      <c r="R773" s="24" t="n">
        <f aca="false">N773*O773</f>
        <v>0</v>
      </c>
      <c r="S773" s="12" t="n">
        <f aca="false">N773*Q773</f>
        <v>0</v>
      </c>
      <c r="T773" s="24" t="n">
        <f aca="false">N773^2</f>
        <v>0.982034272356422</v>
      </c>
    </row>
    <row r="774" customFormat="false" ht="15" hidden="false" customHeight="false" outlineLevel="0" collapsed="false">
      <c r="A774" s="5" t="s">
        <v>1026</v>
      </c>
      <c r="B774" s="5" t="s">
        <v>214</v>
      </c>
      <c r="C774" s="5" t="s">
        <v>58</v>
      </c>
      <c r="D774" s="5" t="s">
        <v>66</v>
      </c>
      <c r="E774" s="5" t="s">
        <v>70</v>
      </c>
      <c r="F774" s="26" t="n">
        <v>76.28</v>
      </c>
      <c r="G774" s="26" t="n">
        <v>74.58</v>
      </c>
      <c r="H774" s="30" t="n">
        <v>2.391</v>
      </c>
      <c r="I774" s="28" t="n">
        <f aca="false">H774*G774/3.6</f>
        <v>49.53355</v>
      </c>
      <c r="J774" s="30" t="n">
        <v>5.47</v>
      </c>
      <c r="K774" s="30" t="n">
        <v>1.131</v>
      </c>
      <c r="L774" s="30" t="n">
        <v>0.697</v>
      </c>
      <c r="M774" s="30" t="n">
        <v>6.25</v>
      </c>
      <c r="N774" s="25" t="n">
        <v>2.81140592408881</v>
      </c>
      <c r="O774" s="17" t="n">
        <v>0</v>
      </c>
      <c r="P774" s="26" t="n">
        <v>0</v>
      </c>
      <c r="Q774" s="24" t="n">
        <f aca="false">IF(O774=1,1/(1+EXP(-(P774-Inputs!$B$12)/Inputs!$B$13)),0)</f>
        <v>0</v>
      </c>
      <c r="R774" s="24" t="n">
        <f aca="false">N774*O774</f>
        <v>0</v>
      </c>
      <c r="S774" s="12" t="n">
        <f aca="false">N774*Q774</f>
        <v>0</v>
      </c>
      <c r="T774" s="24" t="n">
        <f aca="false">N774^2</f>
        <v>7.90400327000165</v>
      </c>
    </row>
    <row r="775" customFormat="false" ht="15" hidden="false" customHeight="false" outlineLevel="0" collapsed="false">
      <c r="A775" s="5" t="s">
        <v>1027</v>
      </c>
      <c r="B775" s="5" t="s">
        <v>214</v>
      </c>
      <c r="C775" s="5" t="s">
        <v>58</v>
      </c>
      <c r="D775" s="5" t="s">
        <v>66</v>
      </c>
      <c r="E775" s="5" t="s">
        <v>70</v>
      </c>
      <c r="F775" s="26" t="n">
        <v>75.83</v>
      </c>
      <c r="G775" s="26" t="n">
        <v>75.69</v>
      </c>
      <c r="H775" s="30" t="n">
        <v>2.013</v>
      </c>
      <c r="I775" s="28" t="n">
        <f aca="false">H775*G775/3.6</f>
        <v>42.323325</v>
      </c>
      <c r="J775" s="30" t="n">
        <v>3.9</v>
      </c>
      <c r="K775" s="30" t="n">
        <v>0.722</v>
      </c>
      <c r="L775" s="30" t="n">
        <v>2.009</v>
      </c>
      <c r="M775" s="30" t="n">
        <v>4.31</v>
      </c>
      <c r="N775" s="25" t="n">
        <v>0.584418063092199</v>
      </c>
      <c r="O775" s="17" t="n">
        <v>0</v>
      </c>
      <c r="P775" s="26" t="n">
        <v>0</v>
      </c>
      <c r="Q775" s="24" t="n">
        <f aca="false">IF(O775=1,1/(1+EXP(-(P775-Inputs!$B$12)/Inputs!$B$13)),0)</f>
        <v>0</v>
      </c>
      <c r="R775" s="24" t="n">
        <f aca="false">N775*O775</f>
        <v>0</v>
      </c>
      <c r="S775" s="12" t="n">
        <f aca="false">N775*Q775</f>
        <v>0</v>
      </c>
      <c r="T775" s="24" t="n">
        <f aca="false">N775^2</f>
        <v>0.341544472468438</v>
      </c>
    </row>
    <row r="776" customFormat="false" ht="15" hidden="false" customHeight="false" outlineLevel="0" collapsed="false">
      <c r="A776" s="5" t="s">
        <v>1028</v>
      </c>
      <c r="B776" s="5" t="s">
        <v>215</v>
      </c>
      <c r="C776" s="5" t="s">
        <v>58</v>
      </c>
      <c r="D776" s="5" t="s">
        <v>66</v>
      </c>
      <c r="E776" s="5" t="s">
        <v>71</v>
      </c>
      <c r="F776" s="26" t="n">
        <v>80.43</v>
      </c>
      <c r="G776" s="26" t="n">
        <v>78.51</v>
      </c>
      <c r="H776" s="30" t="n">
        <v>1.562</v>
      </c>
      <c r="I776" s="28" t="n">
        <f aca="false">H776*G776/3.6</f>
        <v>34.0646166666667</v>
      </c>
      <c r="J776" s="30" t="n">
        <v>4.12</v>
      </c>
      <c r="K776" s="30" t="n">
        <v>1.377</v>
      </c>
      <c r="L776" s="30" t="n">
        <v>1.265</v>
      </c>
      <c r="M776" s="30" t="n">
        <v>6.13</v>
      </c>
      <c r="N776" s="25" t="n">
        <v>0.471150465997059</v>
      </c>
      <c r="O776" s="17" t="n">
        <v>0</v>
      </c>
      <c r="P776" s="26" t="n">
        <v>0</v>
      </c>
      <c r="Q776" s="24" t="n">
        <f aca="false">IF(O776=1,1/(1+EXP(-(P776-Inputs!$B$12)/Inputs!$B$13)),0)</f>
        <v>0</v>
      </c>
      <c r="R776" s="24" t="n">
        <f aca="false">N776*O776</f>
        <v>0</v>
      </c>
      <c r="S776" s="12" t="n">
        <f aca="false">N776*Q776</f>
        <v>0</v>
      </c>
      <c r="T776" s="24" t="n">
        <f aca="false">N776^2</f>
        <v>0.221982761609246</v>
      </c>
    </row>
    <row r="777" customFormat="false" ht="15" hidden="false" customHeight="false" outlineLevel="0" collapsed="false">
      <c r="A777" s="5" t="s">
        <v>1029</v>
      </c>
      <c r="B777" s="5" t="s">
        <v>215</v>
      </c>
      <c r="C777" s="5" t="s">
        <v>58</v>
      </c>
      <c r="D777" s="5" t="s">
        <v>66</v>
      </c>
      <c r="E777" s="5" t="s">
        <v>71</v>
      </c>
      <c r="F777" s="26" t="n">
        <v>88.71</v>
      </c>
      <c r="G777" s="26" t="n">
        <v>87.03</v>
      </c>
      <c r="H777" s="30" t="n">
        <v>1.668</v>
      </c>
      <c r="I777" s="28" t="n">
        <f aca="false">H777*G777/3.6</f>
        <v>40.3239</v>
      </c>
      <c r="J777" s="30" t="n">
        <v>4.87</v>
      </c>
      <c r="K777" s="30" t="n">
        <v>1.35</v>
      </c>
      <c r="L777" s="30" t="n">
        <v>1.551</v>
      </c>
      <c r="M777" s="30" t="n">
        <v>5.49</v>
      </c>
      <c r="N777" s="25" t="n">
        <v>0.269488190301063</v>
      </c>
      <c r="O777" s="17" t="n">
        <v>0</v>
      </c>
      <c r="P777" s="26" t="n">
        <v>0</v>
      </c>
      <c r="Q777" s="24" t="n">
        <f aca="false">IF(O777=1,1/(1+EXP(-(P777-Inputs!$B$12)/Inputs!$B$13)),0)</f>
        <v>0</v>
      </c>
      <c r="R777" s="24" t="n">
        <f aca="false">N777*O777</f>
        <v>0</v>
      </c>
      <c r="S777" s="12" t="n">
        <f aca="false">N777*Q777</f>
        <v>0</v>
      </c>
      <c r="T777" s="24" t="n">
        <f aca="false">N777^2</f>
        <v>0.0726238847117417</v>
      </c>
    </row>
    <row r="778" customFormat="false" ht="15" hidden="false" customHeight="false" outlineLevel="0" collapsed="false">
      <c r="A778" s="5" t="s">
        <v>1030</v>
      </c>
      <c r="B778" s="5" t="s">
        <v>215</v>
      </c>
      <c r="C778" s="5" t="s">
        <v>58</v>
      </c>
      <c r="D778" s="5" t="s">
        <v>66</v>
      </c>
      <c r="E778" s="5" t="s">
        <v>71</v>
      </c>
      <c r="F778" s="26" t="n">
        <v>90.28</v>
      </c>
      <c r="G778" s="26" t="n">
        <v>89</v>
      </c>
      <c r="H778" s="30" t="n">
        <v>1.645</v>
      </c>
      <c r="I778" s="28" t="n">
        <f aca="false">H778*G778/3.6</f>
        <v>40.6680555555556</v>
      </c>
      <c r="J778" s="30" t="n">
        <v>4.2</v>
      </c>
      <c r="K778" s="30" t="n">
        <v>2.022</v>
      </c>
      <c r="L778" s="30" t="n">
        <v>1.637</v>
      </c>
      <c r="M778" s="30" t="n">
        <v>3.95</v>
      </c>
      <c r="N778" s="25" t="n">
        <v>0.165864365594694</v>
      </c>
      <c r="O778" s="17" t="n">
        <v>0</v>
      </c>
      <c r="P778" s="26" t="n">
        <v>0</v>
      </c>
      <c r="Q778" s="24" t="n">
        <f aca="false">IF(O778=1,1/(1+EXP(-(P778-Inputs!$B$12)/Inputs!$B$13)),0)</f>
        <v>0</v>
      </c>
      <c r="R778" s="24" t="n">
        <f aca="false">N778*O778</f>
        <v>0</v>
      </c>
      <c r="S778" s="12" t="n">
        <f aca="false">N778*Q778</f>
        <v>0</v>
      </c>
      <c r="T778" s="24" t="n">
        <f aca="false">N778^2</f>
        <v>0.0275109877741302</v>
      </c>
    </row>
    <row r="779" customFormat="false" ht="15" hidden="false" customHeight="false" outlineLevel="0" collapsed="false">
      <c r="A779" s="5" t="s">
        <v>1031</v>
      </c>
      <c r="B779" s="5" t="s">
        <v>215</v>
      </c>
      <c r="C779" s="5" t="s">
        <v>58</v>
      </c>
      <c r="D779" s="5" t="s">
        <v>66</v>
      </c>
      <c r="E779" s="5" t="s">
        <v>71</v>
      </c>
      <c r="F779" s="26" t="n">
        <v>88.2</v>
      </c>
      <c r="G779" s="26" t="n">
        <v>87.39</v>
      </c>
      <c r="H779" s="30" t="n">
        <v>1.599</v>
      </c>
      <c r="I779" s="28" t="n">
        <f aca="false">H779*G779/3.6</f>
        <v>38.815725</v>
      </c>
      <c r="J779" s="30" t="n">
        <v>5.29</v>
      </c>
      <c r="K779" s="30" t="n">
        <v>1.425</v>
      </c>
      <c r="L779" s="30" t="n">
        <v>1.807</v>
      </c>
      <c r="M779" s="30" t="n">
        <v>7.54</v>
      </c>
      <c r="N779" s="25" t="n">
        <v>0.0592258757434597</v>
      </c>
      <c r="O779" s="17" t="n">
        <v>0</v>
      </c>
      <c r="P779" s="26" t="n">
        <v>0</v>
      </c>
      <c r="Q779" s="24" t="n">
        <f aca="false">IF(O779=1,1/(1+EXP(-(P779-Inputs!$B$12)/Inputs!$B$13)),0)</f>
        <v>0</v>
      </c>
      <c r="R779" s="24" t="n">
        <f aca="false">N779*O779</f>
        <v>0</v>
      </c>
      <c r="S779" s="12" t="n">
        <f aca="false">N779*Q779</f>
        <v>0</v>
      </c>
      <c r="T779" s="24" t="n">
        <f aca="false">N779^2</f>
        <v>0.00350770435757973</v>
      </c>
    </row>
    <row r="780" customFormat="false" ht="15" hidden="false" customHeight="false" outlineLevel="0" collapsed="false">
      <c r="A780" s="5" t="s">
        <v>1032</v>
      </c>
      <c r="B780" s="5" t="s">
        <v>215</v>
      </c>
      <c r="C780" s="5" t="s">
        <v>58</v>
      </c>
      <c r="D780" s="5" t="s">
        <v>66</v>
      </c>
      <c r="E780" s="5" t="s">
        <v>71</v>
      </c>
      <c r="F780" s="26" t="n">
        <v>78.93</v>
      </c>
      <c r="G780" s="26" t="n">
        <v>78.83</v>
      </c>
      <c r="H780" s="30" t="n">
        <v>1.542</v>
      </c>
      <c r="I780" s="28" t="n">
        <f aca="false">H780*G780/3.6</f>
        <v>33.7655166666667</v>
      </c>
      <c r="J780" s="30" t="n">
        <v>3.34</v>
      </c>
      <c r="K780" s="30" t="n">
        <v>0.605</v>
      </c>
      <c r="L780" s="30" t="n">
        <v>2.03</v>
      </c>
      <c r="M780" s="30" t="n">
        <v>4.65</v>
      </c>
      <c r="N780" s="25" t="n">
        <v>0.535127876770541</v>
      </c>
      <c r="O780" s="17" t="n">
        <v>0</v>
      </c>
      <c r="P780" s="26" t="n">
        <v>0</v>
      </c>
      <c r="Q780" s="24" t="n">
        <f aca="false">IF(O780=1,1/(1+EXP(-(P780-Inputs!$B$12)/Inputs!$B$13)),0)</f>
        <v>0</v>
      </c>
      <c r="R780" s="24" t="n">
        <f aca="false">N780*O780</f>
        <v>0</v>
      </c>
      <c r="S780" s="12" t="n">
        <f aca="false">N780*Q780</f>
        <v>0</v>
      </c>
      <c r="T780" s="24" t="n">
        <f aca="false">N780^2</f>
        <v>0.286361844496948</v>
      </c>
    </row>
    <row r="781" customFormat="false" ht="15" hidden="false" customHeight="false" outlineLevel="0" collapsed="false">
      <c r="A781" s="5" t="s">
        <v>1033</v>
      </c>
      <c r="B781" s="5" t="s">
        <v>215</v>
      </c>
      <c r="C781" s="5" t="s">
        <v>58</v>
      </c>
      <c r="D781" s="5" t="s">
        <v>66</v>
      </c>
      <c r="E781" s="5" t="s">
        <v>71</v>
      </c>
      <c r="F781" s="26" t="n">
        <v>85.84</v>
      </c>
      <c r="G781" s="26" t="n">
        <v>83.54</v>
      </c>
      <c r="H781" s="30" t="n">
        <v>1.602</v>
      </c>
      <c r="I781" s="28" t="n">
        <f aca="false">H781*G781/3.6</f>
        <v>37.1753</v>
      </c>
      <c r="J781" s="30" t="n">
        <v>2.6</v>
      </c>
      <c r="K781" s="30" t="n">
        <v>0.842</v>
      </c>
      <c r="L781" s="30" t="n">
        <v>1.353</v>
      </c>
      <c r="M781" s="30" t="n">
        <v>7.51</v>
      </c>
      <c r="N781" s="25" t="n">
        <v>0.593727337758414</v>
      </c>
      <c r="O781" s="17" t="n">
        <v>0</v>
      </c>
      <c r="P781" s="26" t="n">
        <v>0</v>
      </c>
      <c r="Q781" s="24" t="n">
        <f aca="false">IF(O781=1,1/(1+EXP(-(P781-Inputs!$B$12)/Inputs!$B$13)),0)</f>
        <v>0</v>
      </c>
      <c r="R781" s="24" t="n">
        <f aca="false">N781*O781</f>
        <v>0</v>
      </c>
      <c r="S781" s="12" t="n">
        <f aca="false">N781*Q781</f>
        <v>0</v>
      </c>
      <c r="T781" s="24" t="n">
        <f aca="false">N781^2</f>
        <v>0.352512151601694</v>
      </c>
    </row>
    <row r="782" customFormat="false" ht="15" hidden="false" customHeight="false" outlineLevel="0" collapsed="false">
      <c r="A782" s="5" t="s">
        <v>1034</v>
      </c>
      <c r="B782" s="5" t="s">
        <v>215</v>
      </c>
      <c r="C782" s="5" t="s">
        <v>58</v>
      </c>
      <c r="D782" s="5" t="s">
        <v>66</v>
      </c>
      <c r="E782" s="5" t="s">
        <v>71</v>
      </c>
      <c r="F782" s="26" t="n">
        <v>89.44</v>
      </c>
      <c r="G782" s="26" t="n">
        <v>89.99</v>
      </c>
      <c r="H782" s="30" t="n">
        <v>1.858</v>
      </c>
      <c r="I782" s="28" t="n">
        <f aca="false">H782*G782/3.6</f>
        <v>46.4448388888889</v>
      </c>
      <c r="J782" s="30" t="n">
        <v>4.22</v>
      </c>
      <c r="K782" s="30" t="n">
        <v>2.873</v>
      </c>
      <c r="L782" s="30" t="n">
        <v>2.969</v>
      </c>
      <c r="M782" s="30" t="n">
        <v>7.11</v>
      </c>
      <c r="N782" s="25" t="n">
        <v>0.0021904838908517</v>
      </c>
      <c r="O782" s="17" t="n">
        <v>0</v>
      </c>
      <c r="P782" s="26" t="n">
        <v>0</v>
      </c>
      <c r="Q782" s="24" t="n">
        <f aca="false">IF(O782=1,1/(1+EXP(-(P782-Inputs!$B$12)/Inputs!$B$13)),0)</f>
        <v>0</v>
      </c>
      <c r="R782" s="24" t="n">
        <f aca="false">N782*O782</f>
        <v>0</v>
      </c>
      <c r="S782" s="12" t="n">
        <f aca="false">N782*Q782</f>
        <v>0</v>
      </c>
      <c r="T782" s="24" t="n">
        <f aca="false">N782^2</f>
        <v>4.79821967608078E-006</v>
      </c>
    </row>
    <row r="783" customFormat="false" ht="15" hidden="false" customHeight="false" outlineLevel="0" collapsed="false">
      <c r="A783" s="5" t="s">
        <v>1035</v>
      </c>
      <c r="B783" s="5" t="s">
        <v>215</v>
      </c>
      <c r="C783" s="5" t="s">
        <v>58</v>
      </c>
      <c r="D783" s="5" t="s">
        <v>66</v>
      </c>
      <c r="E783" s="5" t="s">
        <v>71</v>
      </c>
      <c r="F783" s="26" t="n">
        <v>80.51</v>
      </c>
      <c r="G783" s="26" t="n">
        <v>83.71</v>
      </c>
      <c r="H783" s="30" t="n">
        <v>1.583</v>
      </c>
      <c r="I783" s="28" t="n">
        <f aca="false">H783*G783/3.6</f>
        <v>36.8091472222222</v>
      </c>
      <c r="J783" s="30" t="n">
        <v>5.25</v>
      </c>
      <c r="K783" s="30" t="n">
        <v>2.061</v>
      </c>
      <c r="L783" s="30" t="n">
        <v>3.31</v>
      </c>
      <c r="M783" s="30" t="n">
        <v>4.22</v>
      </c>
      <c r="N783" s="25" t="n">
        <v>0.00328099200340452</v>
      </c>
      <c r="O783" s="17" t="n">
        <v>1</v>
      </c>
      <c r="P783" s="26" t="n">
        <v>28.34</v>
      </c>
      <c r="Q783" s="24" t="n">
        <f aca="false">IF(O783=1,1/(1+EXP(-(P783-Inputs!$B$12)/Inputs!$B$13)),0)</f>
        <v>0.0847105657307358</v>
      </c>
      <c r="R783" s="24" t="n">
        <f aca="false">N783*O783</f>
        <v>0.00328099200340452</v>
      </c>
      <c r="S783" s="12" t="n">
        <f aca="false">N783*Q783</f>
        <v>0.000277934688766417</v>
      </c>
      <c r="T783" s="24" t="n">
        <f aca="false">N783^2</f>
        <v>1.07649085264044E-005</v>
      </c>
    </row>
    <row r="784" customFormat="false" ht="15" hidden="false" customHeight="false" outlineLevel="0" collapsed="false">
      <c r="A784" s="5" t="s">
        <v>1036</v>
      </c>
      <c r="B784" s="5" t="s">
        <v>215</v>
      </c>
      <c r="C784" s="5" t="s">
        <v>58</v>
      </c>
      <c r="D784" s="5" t="s">
        <v>66</v>
      </c>
      <c r="E784" s="5" t="s">
        <v>71</v>
      </c>
      <c r="F784" s="26" t="n">
        <v>81.21</v>
      </c>
      <c r="G784" s="26" t="n">
        <v>80.95</v>
      </c>
      <c r="H784" s="30" t="n">
        <v>1.779</v>
      </c>
      <c r="I784" s="28" t="n">
        <f aca="false">H784*G784/3.6</f>
        <v>40.0027916666667</v>
      </c>
      <c r="J784" s="30" t="n">
        <v>2.79</v>
      </c>
      <c r="K784" s="30" t="n">
        <v>1.189</v>
      </c>
      <c r="L784" s="30" t="n">
        <v>1.032</v>
      </c>
      <c r="M784" s="30" t="n">
        <v>5.29</v>
      </c>
      <c r="N784" s="25" t="n">
        <v>1.74089033487088</v>
      </c>
      <c r="O784" s="17" t="n">
        <v>0</v>
      </c>
      <c r="P784" s="26" t="n">
        <v>0</v>
      </c>
      <c r="Q784" s="24" t="n">
        <f aca="false">IF(O784=1,1/(1+EXP(-(P784-Inputs!$B$12)/Inputs!$B$13)),0)</f>
        <v>0</v>
      </c>
      <c r="R784" s="24" t="n">
        <f aca="false">N784*O784</f>
        <v>0</v>
      </c>
      <c r="S784" s="12" t="n">
        <f aca="false">N784*Q784</f>
        <v>0</v>
      </c>
      <c r="T784" s="24" t="n">
        <f aca="false">N784^2</f>
        <v>3.03069915804683</v>
      </c>
    </row>
    <row r="785" customFormat="false" ht="15" hidden="false" customHeight="false" outlineLevel="0" collapsed="false">
      <c r="A785" s="5" t="s">
        <v>1037</v>
      </c>
      <c r="B785" s="5" t="s">
        <v>215</v>
      </c>
      <c r="C785" s="5" t="s">
        <v>58</v>
      </c>
      <c r="D785" s="5" t="s">
        <v>66</v>
      </c>
      <c r="E785" s="5" t="s">
        <v>71</v>
      </c>
      <c r="F785" s="26" t="n">
        <v>86.9</v>
      </c>
      <c r="G785" s="26" t="n">
        <v>86.23</v>
      </c>
      <c r="H785" s="30" t="n">
        <v>1.617</v>
      </c>
      <c r="I785" s="28" t="n">
        <f aca="false">H785*G785/3.6</f>
        <v>38.7316416666667</v>
      </c>
      <c r="J785" s="30" t="n">
        <v>4.67</v>
      </c>
      <c r="K785" s="30" t="n">
        <v>0.59</v>
      </c>
      <c r="L785" s="30" t="n">
        <v>1.586</v>
      </c>
      <c r="M785" s="30" t="n">
        <v>6.79</v>
      </c>
      <c r="N785" s="25" t="n">
        <v>0.833981380017467</v>
      </c>
      <c r="O785" s="17" t="n">
        <v>0</v>
      </c>
      <c r="P785" s="26" t="n">
        <v>0</v>
      </c>
      <c r="Q785" s="24" t="n">
        <f aca="false">IF(O785=1,1/(1+EXP(-(P785-Inputs!$B$12)/Inputs!$B$13)),0)</f>
        <v>0</v>
      </c>
      <c r="R785" s="24" t="n">
        <f aca="false">N785*O785</f>
        <v>0</v>
      </c>
      <c r="S785" s="12" t="n">
        <f aca="false">N785*Q785</f>
        <v>0</v>
      </c>
      <c r="T785" s="24" t="n">
        <f aca="false">N785^2</f>
        <v>0.695524942215839</v>
      </c>
    </row>
    <row r="786" customFormat="false" ht="15" hidden="false" customHeight="false" outlineLevel="0" collapsed="false">
      <c r="A786" s="5" t="s">
        <v>1038</v>
      </c>
      <c r="B786" s="5" t="s">
        <v>216</v>
      </c>
      <c r="C786" s="5" t="s">
        <v>58</v>
      </c>
      <c r="D786" s="5" t="s">
        <v>66</v>
      </c>
      <c r="E786" s="5" t="s">
        <v>72</v>
      </c>
      <c r="F786" s="26" t="n">
        <v>82.03</v>
      </c>
      <c r="G786" s="26" t="n">
        <v>83.09</v>
      </c>
      <c r="H786" s="30" t="n">
        <v>1.253</v>
      </c>
      <c r="I786" s="28" t="n">
        <f aca="false">H786*G786/3.6</f>
        <v>28.9199361111111</v>
      </c>
      <c r="J786" s="30" t="n">
        <v>3.17</v>
      </c>
      <c r="K786" s="30" t="n">
        <v>1.86</v>
      </c>
      <c r="L786" s="30" t="n">
        <v>1.143</v>
      </c>
      <c r="M786" s="30" t="n">
        <v>6.2</v>
      </c>
      <c r="N786" s="25" t="n">
        <v>0.430637197811292</v>
      </c>
      <c r="O786" s="17" t="n">
        <v>0</v>
      </c>
      <c r="P786" s="26" t="n">
        <v>0</v>
      </c>
      <c r="Q786" s="24" t="n">
        <f aca="false">IF(O786=1,1/(1+EXP(-(P786-Inputs!$B$12)/Inputs!$B$13)),0)</f>
        <v>0</v>
      </c>
      <c r="R786" s="24" t="n">
        <f aca="false">N786*O786</f>
        <v>0</v>
      </c>
      <c r="S786" s="12" t="n">
        <f aca="false">N786*Q786</f>
        <v>0</v>
      </c>
      <c r="T786" s="24" t="n">
        <f aca="false">N786^2</f>
        <v>0.185448396138762</v>
      </c>
    </row>
    <row r="787" customFormat="false" ht="15" hidden="false" customHeight="false" outlineLevel="0" collapsed="false">
      <c r="A787" s="5" t="s">
        <v>1039</v>
      </c>
      <c r="B787" s="5" t="s">
        <v>216</v>
      </c>
      <c r="C787" s="5" t="s">
        <v>58</v>
      </c>
      <c r="D787" s="5" t="s">
        <v>66</v>
      </c>
      <c r="E787" s="5" t="s">
        <v>72</v>
      </c>
      <c r="F787" s="26" t="n">
        <v>86.42</v>
      </c>
      <c r="G787" s="26" t="n">
        <v>84.73</v>
      </c>
      <c r="H787" s="30" t="n">
        <v>1.341</v>
      </c>
      <c r="I787" s="28" t="n">
        <f aca="false">H787*G787/3.6</f>
        <v>31.561925</v>
      </c>
      <c r="J787" s="30" t="n">
        <v>4.61</v>
      </c>
      <c r="K787" s="30" t="n">
        <v>2.589</v>
      </c>
      <c r="L787" s="30" t="n">
        <v>0.73</v>
      </c>
      <c r="M787" s="30" t="n">
        <v>7.07</v>
      </c>
      <c r="N787" s="25" t="n">
        <v>0.583343148993813</v>
      </c>
      <c r="O787" s="17" t="n">
        <v>0</v>
      </c>
      <c r="P787" s="26" t="n">
        <v>0</v>
      </c>
      <c r="Q787" s="24" t="n">
        <f aca="false">IF(O787=1,1/(1+EXP(-(P787-Inputs!$B$12)/Inputs!$B$13)),0)</f>
        <v>0</v>
      </c>
      <c r="R787" s="24" t="n">
        <f aca="false">N787*O787</f>
        <v>0</v>
      </c>
      <c r="S787" s="12" t="n">
        <f aca="false">N787*Q787</f>
        <v>0</v>
      </c>
      <c r="T787" s="24" t="n">
        <f aca="false">N787^2</f>
        <v>0.340289229478018</v>
      </c>
    </row>
    <row r="788" customFormat="false" ht="15" hidden="false" customHeight="false" outlineLevel="0" collapsed="false">
      <c r="A788" s="5" t="s">
        <v>1040</v>
      </c>
      <c r="B788" s="5" t="s">
        <v>216</v>
      </c>
      <c r="C788" s="5" t="s">
        <v>58</v>
      </c>
      <c r="D788" s="5" t="s">
        <v>66</v>
      </c>
      <c r="E788" s="5" t="s">
        <v>72</v>
      </c>
      <c r="F788" s="26" t="n">
        <v>94.66</v>
      </c>
      <c r="G788" s="26" t="n">
        <v>90.32</v>
      </c>
      <c r="H788" s="30" t="n">
        <v>1.421</v>
      </c>
      <c r="I788" s="28" t="n">
        <f aca="false">H788*G788/3.6</f>
        <v>35.6513111111111</v>
      </c>
      <c r="J788" s="30" t="n">
        <v>4.6</v>
      </c>
      <c r="K788" s="30" t="n">
        <v>2.156</v>
      </c>
      <c r="L788" s="30" t="n">
        <v>1.619</v>
      </c>
      <c r="M788" s="30" t="n">
        <v>5.54</v>
      </c>
      <c r="N788" s="25" t="n">
        <v>0.194636874303313</v>
      </c>
      <c r="O788" s="17" t="n">
        <v>0</v>
      </c>
      <c r="P788" s="26" t="n">
        <v>0</v>
      </c>
      <c r="Q788" s="24" t="n">
        <f aca="false">IF(O788=1,1/(1+EXP(-(P788-Inputs!$B$12)/Inputs!$B$13)),0)</f>
        <v>0</v>
      </c>
      <c r="R788" s="24" t="n">
        <f aca="false">N788*O788</f>
        <v>0</v>
      </c>
      <c r="S788" s="12" t="n">
        <f aca="false">N788*Q788</f>
        <v>0</v>
      </c>
      <c r="T788" s="24" t="n">
        <f aca="false">N788^2</f>
        <v>0.0378835128385635</v>
      </c>
    </row>
    <row r="789" customFormat="false" ht="15" hidden="false" customHeight="false" outlineLevel="0" collapsed="false">
      <c r="A789" s="5" t="s">
        <v>1041</v>
      </c>
      <c r="B789" s="5" t="s">
        <v>216</v>
      </c>
      <c r="C789" s="5" t="s">
        <v>58</v>
      </c>
      <c r="D789" s="5" t="s">
        <v>66</v>
      </c>
      <c r="E789" s="5" t="s">
        <v>72</v>
      </c>
      <c r="F789" s="26" t="n">
        <v>91.57</v>
      </c>
      <c r="G789" s="26" t="n">
        <v>93.74</v>
      </c>
      <c r="H789" s="30" t="n">
        <v>1.046</v>
      </c>
      <c r="I789" s="28" t="n">
        <f aca="false">H789*G789/3.6</f>
        <v>27.2366777777778</v>
      </c>
      <c r="J789" s="30" t="n">
        <v>4.84</v>
      </c>
      <c r="K789" s="30" t="n">
        <v>2.269</v>
      </c>
      <c r="L789" s="30" t="n">
        <v>2.251</v>
      </c>
      <c r="M789" s="30" t="n">
        <v>3.67</v>
      </c>
      <c r="N789" s="25" t="n">
        <v>0.0470779082499552</v>
      </c>
      <c r="O789" s="17" t="n">
        <v>1</v>
      </c>
      <c r="P789" s="26" t="n">
        <v>21.35</v>
      </c>
      <c r="Q789" s="24" t="n">
        <f aca="false">IF(O789=1,1/(1+EXP(-(P789-Inputs!$B$12)/Inputs!$B$13)),0)</f>
        <v>0.0329719140877984</v>
      </c>
      <c r="R789" s="24" t="n">
        <f aca="false">N789*O789</f>
        <v>0.0470779082499552</v>
      </c>
      <c r="S789" s="12" t="n">
        <f aca="false">N789*Q789</f>
        <v>0.00155224874625078</v>
      </c>
      <c r="T789" s="24" t="n">
        <f aca="false">N789^2</f>
        <v>0.0022163294451912</v>
      </c>
    </row>
    <row r="790" customFormat="false" ht="15" hidden="false" customHeight="false" outlineLevel="0" collapsed="false">
      <c r="A790" s="5" t="s">
        <v>1042</v>
      </c>
      <c r="B790" s="5" t="s">
        <v>216</v>
      </c>
      <c r="C790" s="5" t="s">
        <v>58</v>
      </c>
      <c r="D790" s="5" t="s">
        <v>66</v>
      </c>
      <c r="E790" s="5" t="s">
        <v>72</v>
      </c>
      <c r="F790" s="26" t="n">
        <v>80.62</v>
      </c>
      <c r="G790" s="26" t="n">
        <v>82.99</v>
      </c>
      <c r="H790" s="30" t="n">
        <v>1.04</v>
      </c>
      <c r="I790" s="28" t="n">
        <f aca="false">H790*G790/3.6</f>
        <v>23.9748888888889</v>
      </c>
      <c r="J790" s="30" t="n">
        <v>5.89</v>
      </c>
      <c r="K790" s="30" t="n">
        <v>1.523</v>
      </c>
      <c r="L790" s="30" t="n">
        <v>1.322</v>
      </c>
      <c r="M790" s="30" t="n">
        <v>4.35</v>
      </c>
      <c r="N790" s="25" t="n">
        <v>0.57346889702757</v>
      </c>
      <c r="O790" s="17" t="n">
        <v>0</v>
      </c>
      <c r="P790" s="26" t="n">
        <v>0</v>
      </c>
      <c r="Q790" s="24" t="n">
        <f aca="false">IF(O790=1,1/(1+EXP(-(P790-Inputs!$B$12)/Inputs!$B$13)),0)</f>
        <v>0</v>
      </c>
      <c r="R790" s="24" t="n">
        <f aca="false">N790*O790</f>
        <v>0</v>
      </c>
      <c r="S790" s="12" t="n">
        <f aca="false">N790*Q790</f>
        <v>0</v>
      </c>
      <c r="T790" s="24" t="n">
        <f aca="false">N790^2</f>
        <v>0.328866575858018</v>
      </c>
    </row>
    <row r="791" customFormat="false" ht="15" hidden="false" customHeight="false" outlineLevel="0" collapsed="false">
      <c r="A791" s="5" t="s">
        <v>1043</v>
      </c>
      <c r="B791" s="5" t="s">
        <v>216</v>
      </c>
      <c r="C791" s="5" t="s">
        <v>58</v>
      </c>
      <c r="D791" s="5" t="s">
        <v>66</v>
      </c>
      <c r="E791" s="5" t="s">
        <v>72</v>
      </c>
      <c r="F791" s="26" t="n">
        <v>78.43</v>
      </c>
      <c r="G791" s="26" t="n">
        <v>76.85</v>
      </c>
      <c r="H791" s="30" t="n">
        <v>1.311</v>
      </c>
      <c r="I791" s="28" t="n">
        <f aca="false">H791*G791/3.6</f>
        <v>27.9862083333333</v>
      </c>
      <c r="J791" s="30" t="n">
        <v>5.8</v>
      </c>
      <c r="K791" s="30" t="n">
        <v>1.804</v>
      </c>
      <c r="L791" s="30" t="n">
        <v>0.995</v>
      </c>
      <c r="M791" s="30" t="n">
        <v>6.88</v>
      </c>
      <c r="N791" s="25" t="n">
        <v>0.742974031781882</v>
      </c>
      <c r="O791" s="17" t="n">
        <v>0</v>
      </c>
      <c r="P791" s="26" t="n">
        <v>0</v>
      </c>
      <c r="Q791" s="24" t="n">
        <f aca="false">IF(O791=1,1/(1+EXP(-(P791-Inputs!$B$12)/Inputs!$B$13)),0)</f>
        <v>0</v>
      </c>
      <c r="R791" s="24" t="n">
        <f aca="false">N791*O791</f>
        <v>0</v>
      </c>
      <c r="S791" s="12" t="n">
        <f aca="false">N791*Q791</f>
        <v>0</v>
      </c>
      <c r="T791" s="24" t="n">
        <f aca="false">N791^2</f>
        <v>0.552010411902225</v>
      </c>
    </row>
    <row r="792" customFormat="false" ht="15" hidden="false" customHeight="false" outlineLevel="0" collapsed="false">
      <c r="A792" s="5" t="s">
        <v>1044</v>
      </c>
      <c r="B792" s="5" t="s">
        <v>216</v>
      </c>
      <c r="C792" s="5" t="s">
        <v>58</v>
      </c>
      <c r="D792" s="5" t="s">
        <v>66</v>
      </c>
      <c r="E792" s="5" t="s">
        <v>72</v>
      </c>
      <c r="F792" s="26" t="n">
        <v>92.74</v>
      </c>
      <c r="G792" s="26" t="n">
        <v>91.58</v>
      </c>
      <c r="H792" s="30" t="n">
        <v>1.128</v>
      </c>
      <c r="I792" s="28" t="n">
        <f aca="false">H792*G792/3.6</f>
        <v>28.6950666666667</v>
      </c>
      <c r="J792" s="30" t="n">
        <v>3.4</v>
      </c>
      <c r="K792" s="30" t="n">
        <v>2.29</v>
      </c>
      <c r="L792" s="30" t="n">
        <v>1.118</v>
      </c>
      <c r="M792" s="30" t="n">
        <v>7.43</v>
      </c>
      <c r="N792" s="25" t="n">
        <v>0.15821356055418</v>
      </c>
      <c r="O792" s="17" t="n">
        <v>0</v>
      </c>
      <c r="P792" s="26" t="n">
        <v>0</v>
      </c>
      <c r="Q792" s="24" t="n">
        <f aca="false">IF(O792=1,1/(1+EXP(-(P792-Inputs!$B$12)/Inputs!$B$13)),0)</f>
        <v>0</v>
      </c>
      <c r="R792" s="24" t="n">
        <f aca="false">N792*O792</f>
        <v>0</v>
      </c>
      <c r="S792" s="12" t="n">
        <f aca="false">N792*Q792</f>
        <v>0</v>
      </c>
      <c r="T792" s="24" t="n">
        <f aca="false">N792^2</f>
        <v>0.0250315307432313</v>
      </c>
    </row>
    <row r="793" customFormat="false" ht="15" hidden="false" customHeight="false" outlineLevel="0" collapsed="false">
      <c r="A793" s="5" t="s">
        <v>1045</v>
      </c>
      <c r="B793" s="5" t="s">
        <v>216</v>
      </c>
      <c r="C793" s="5" t="s">
        <v>58</v>
      </c>
      <c r="D793" s="5" t="s">
        <v>66</v>
      </c>
      <c r="E793" s="5" t="s">
        <v>72</v>
      </c>
      <c r="F793" s="26" t="n">
        <v>94.41</v>
      </c>
      <c r="G793" s="26" t="n">
        <v>96.55</v>
      </c>
      <c r="H793" s="30" t="n">
        <v>1.304</v>
      </c>
      <c r="I793" s="28" t="n">
        <f aca="false">H793*G793/3.6</f>
        <v>34.9725555555556</v>
      </c>
      <c r="J793" s="30" t="n">
        <v>4.88</v>
      </c>
      <c r="K793" s="30" t="n">
        <v>2.466</v>
      </c>
      <c r="L793" s="30" t="n">
        <v>1.32</v>
      </c>
      <c r="M793" s="30" t="n">
        <v>7.33</v>
      </c>
      <c r="N793" s="25" t="n">
        <v>0.105664329036268</v>
      </c>
      <c r="O793" s="17" t="n">
        <v>0</v>
      </c>
      <c r="P793" s="26" t="n">
        <v>0</v>
      </c>
      <c r="Q793" s="24" t="n">
        <f aca="false">IF(O793=1,1/(1+EXP(-(P793-Inputs!$B$12)/Inputs!$B$13)),0)</f>
        <v>0</v>
      </c>
      <c r="R793" s="24" t="n">
        <f aca="false">N793*O793</f>
        <v>0</v>
      </c>
      <c r="S793" s="12" t="n">
        <f aca="false">N793*Q793</f>
        <v>0</v>
      </c>
      <c r="T793" s="24" t="n">
        <f aca="false">N793^2</f>
        <v>0.0111649504306846</v>
      </c>
    </row>
    <row r="794" customFormat="false" ht="15" hidden="false" customHeight="false" outlineLevel="0" collapsed="false">
      <c r="A794" s="5" t="s">
        <v>1046</v>
      </c>
      <c r="B794" s="5" t="s">
        <v>216</v>
      </c>
      <c r="C794" s="5" t="s">
        <v>58</v>
      </c>
      <c r="D794" s="5" t="s">
        <v>66</v>
      </c>
      <c r="E794" s="5" t="s">
        <v>72</v>
      </c>
      <c r="F794" s="26" t="n">
        <v>76.85</v>
      </c>
      <c r="G794" s="26" t="n">
        <v>75.38</v>
      </c>
      <c r="H794" s="30" t="n">
        <v>1.351</v>
      </c>
      <c r="I794" s="28" t="n">
        <f aca="false">H794*G794/3.6</f>
        <v>28.2884388888889</v>
      </c>
      <c r="J794" s="30" t="n">
        <v>4.56</v>
      </c>
      <c r="K794" s="30" t="n">
        <v>1.335</v>
      </c>
      <c r="L794" s="30" t="n">
        <v>1.344</v>
      </c>
      <c r="M794" s="30" t="n">
        <v>4.61</v>
      </c>
      <c r="N794" s="25" t="n">
        <v>1.20939563138255</v>
      </c>
      <c r="O794" s="17" t="n">
        <v>0</v>
      </c>
      <c r="P794" s="26" t="n">
        <v>0</v>
      </c>
      <c r="Q794" s="24" t="n">
        <f aca="false">IF(O794=1,1/(1+EXP(-(P794-Inputs!$B$12)/Inputs!$B$13)),0)</f>
        <v>0</v>
      </c>
      <c r="R794" s="24" t="n">
        <f aca="false">N794*O794</f>
        <v>0</v>
      </c>
      <c r="S794" s="12" t="n">
        <f aca="false">N794*Q794</f>
        <v>0</v>
      </c>
      <c r="T794" s="24" t="n">
        <f aca="false">N794^2</f>
        <v>1.4626377932072</v>
      </c>
    </row>
    <row r="795" customFormat="false" ht="15" hidden="false" customHeight="false" outlineLevel="0" collapsed="false">
      <c r="A795" s="5" t="s">
        <v>1047</v>
      </c>
      <c r="B795" s="5" t="s">
        <v>216</v>
      </c>
      <c r="C795" s="5" t="s">
        <v>58</v>
      </c>
      <c r="D795" s="5" t="s">
        <v>66</v>
      </c>
      <c r="E795" s="5" t="s">
        <v>72</v>
      </c>
      <c r="F795" s="26" t="n">
        <v>80.88</v>
      </c>
      <c r="G795" s="26" t="n">
        <v>81.74</v>
      </c>
      <c r="H795" s="30" t="n">
        <v>1.16</v>
      </c>
      <c r="I795" s="28" t="n">
        <f aca="false">H795*G795/3.6</f>
        <v>26.3384444444444</v>
      </c>
      <c r="J795" s="30" t="n">
        <v>5.29</v>
      </c>
      <c r="K795" s="30" t="n">
        <v>1.657</v>
      </c>
      <c r="L795" s="30" t="n">
        <v>2.313</v>
      </c>
      <c r="M795" s="30" t="n">
        <v>6.82</v>
      </c>
      <c r="N795" s="25" t="n">
        <v>0.0182015078790342</v>
      </c>
      <c r="O795" s="17" t="n">
        <v>0</v>
      </c>
      <c r="P795" s="26" t="n">
        <v>0</v>
      </c>
      <c r="Q795" s="24" t="n">
        <f aca="false">IF(O795=1,1/(1+EXP(-(P795-Inputs!$B$12)/Inputs!$B$13)),0)</f>
        <v>0</v>
      </c>
      <c r="R795" s="24" t="n">
        <f aca="false">N795*O795</f>
        <v>0</v>
      </c>
      <c r="S795" s="12" t="n">
        <f aca="false">N795*Q795</f>
        <v>0</v>
      </c>
      <c r="T795" s="24" t="n">
        <f aca="false">N795^2</f>
        <v>0.000331294889070543</v>
      </c>
    </row>
    <row r="796" customFormat="false" ht="15" hidden="false" customHeight="false" outlineLevel="0" collapsed="false">
      <c r="A796" s="5" t="s">
        <v>1048</v>
      </c>
      <c r="B796" s="5" t="s">
        <v>217</v>
      </c>
      <c r="C796" s="5" t="s">
        <v>58</v>
      </c>
      <c r="D796" s="5" t="s">
        <v>66</v>
      </c>
      <c r="E796" s="5" t="s">
        <v>73</v>
      </c>
      <c r="F796" s="26" t="n">
        <v>75.3</v>
      </c>
      <c r="G796" s="26" t="n">
        <v>78.32</v>
      </c>
      <c r="H796" s="30" t="n">
        <v>0.517</v>
      </c>
      <c r="I796" s="28" t="n">
        <f aca="false">H796*G796/3.6</f>
        <v>11.2476222222222</v>
      </c>
      <c r="J796" s="30" t="n">
        <v>5.92</v>
      </c>
      <c r="K796" s="30" t="n">
        <v>3.862</v>
      </c>
      <c r="L796" s="30" t="n">
        <v>1.283</v>
      </c>
      <c r="M796" s="30" t="n">
        <v>5.33</v>
      </c>
      <c r="N796" s="25" t="n">
        <v>0.0858808836084016</v>
      </c>
      <c r="O796" s="17" t="n">
        <v>1</v>
      </c>
      <c r="P796" s="26" t="n">
        <v>31.78</v>
      </c>
      <c r="Q796" s="24" t="n">
        <f aca="false">IF(O796=1,1/(1+EXP(-(P796-Inputs!$B$12)/Inputs!$B$13)),0)</f>
        <v>0.131407440060805</v>
      </c>
      <c r="R796" s="24" t="n">
        <f aca="false">N796*O796</f>
        <v>0.0858808836084016</v>
      </c>
      <c r="S796" s="12" t="n">
        <f aca="false">N796*Q796</f>
        <v>0.01128538706514</v>
      </c>
      <c r="T796" s="24" t="n">
        <f aca="false">N796^2</f>
        <v>0.00737552616935982</v>
      </c>
    </row>
    <row r="797" customFormat="false" ht="15" hidden="false" customHeight="false" outlineLevel="0" collapsed="false">
      <c r="A797" s="5" t="s">
        <v>1049</v>
      </c>
      <c r="B797" s="5" t="s">
        <v>217</v>
      </c>
      <c r="C797" s="5" t="s">
        <v>58</v>
      </c>
      <c r="D797" s="5" t="s">
        <v>66</v>
      </c>
      <c r="E797" s="5" t="s">
        <v>73</v>
      </c>
      <c r="F797" s="26" t="n">
        <v>80.23</v>
      </c>
      <c r="G797" s="26" t="n">
        <v>78.92</v>
      </c>
      <c r="H797" s="30" t="n">
        <v>0.703</v>
      </c>
      <c r="I797" s="28" t="n">
        <f aca="false">H797*G797/3.6</f>
        <v>15.4113222222222</v>
      </c>
      <c r="J797" s="30" t="n">
        <v>3.63</v>
      </c>
      <c r="K797" s="30" t="n">
        <v>1.552</v>
      </c>
      <c r="L797" s="30" t="n">
        <v>1.092</v>
      </c>
      <c r="M797" s="30" t="n">
        <v>5.73</v>
      </c>
      <c r="N797" s="25" t="n">
        <v>0.697103058252807</v>
      </c>
      <c r="O797" s="17" t="n">
        <v>0</v>
      </c>
      <c r="P797" s="26" t="n">
        <v>0</v>
      </c>
      <c r="Q797" s="24" t="n">
        <f aca="false">IF(O797=1,1/(1+EXP(-(P797-Inputs!$B$12)/Inputs!$B$13)),0)</f>
        <v>0</v>
      </c>
      <c r="R797" s="24" t="n">
        <f aca="false">N797*O797</f>
        <v>0</v>
      </c>
      <c r="S797" s="12" t="n">
        <f aca="false">N797*Q797</f>
        <v>0</v>
      </c>
      <c r="T797" s="24" t="n">
        <f aca="false">N797^2</f>
        <v>0.485952673825416</v>
      </c>
    </row>
    <row r="798" customFormat="false" ht="15" hidden="false" customHeight="false" outlineLevel="0" collapsed="false">
      <c r="A798" s="5" t="s">
        <v>1050</v>
      </c>
      <c r="B798" s="5" t="s">
        <v>217</v>
      </c>
      <c r="C798" s="5" t="s">
        <v>58</v>
      </c>
      <c r="D798" s="5" t="s">
        <v>66</v>
      </c>
      <c r="E798" s="5" t="s">
        <v>73</v>
      </c>
      <c r="F798" s="26" t="n">
        <v>88.53</v>
      </c>
      <c r="G798" s="26" t="n">
        <v>89.17</v>
      </c>
      <c r="H798" s="30" t="n">
        <v>0.605</v>
      </c>
      <c r="I798" s="28" t="n">
        <f aca="false">H798*G798/3.6</f>
        <v>14.9855138888889</v>
      </c>
      <c r="J798" s="30" t="n">
        <v>5.9</v>
      </c>
      <c r="K798" s="30" t="n">
        <v>1.785</v>
      </c>
      <c r="L798" s="30" t="n">
        <v>1.143</v>
      </c>
      <c r="M798" s="30" t="n">
        <v>6.08</v>
      </c>
      <c r="N798" s="25" t="n">
        <v>0.367575291450589</v>
      </c>
      <c r="O798" s="17" t="n">
        <v>0</v>
      </c>
      <c r="P798" s="26" t="n">
        <v>0</v>
      </c>
      <c r="Q798" s="24" t="n">
        <f aca="false">IF(O798=1,1/(1+EXP(-(P798-Inputs!$B$12)/Inputs!$B$13)),0)</f>
        <v>0</v>
      </c>
      <c r="R798" s="24" t="n">
        <f aca="false">N798*O798</f>
        <v>0</v>
      </c>
      <c r="S798" s="12" t="n">
        <f aca="false">N798*Q798</f>
        <v>0</v>
      </c>
      <c r="T798" s="24" t="n">
        <f aca="false">N798^2</f>
        <v>0.135111594884986</v>
      </c>
    </row>
    <row r="799" customFormat="false" ht="15" hidden="false" customHeight="false" outlineLevel="0" collapsed="false">
      <c r="A799" s="5" t="s">
        <v>1051</v>
      </c>
      <c r="B799" s="5" t="s">
        <v>217</v>
      </c>
      <c r="C799" s="5" t="s">
        <v>58</v>
      </c>
      <c r="D799" s="5" t="s">
        <v>66</v>
      </c>
      <c r="E799" s="5" t="s">
        <v>73</v>
      </c>
      <c r="F799" s="26" t="n">
        <v>91.58</v>
      </c>
      <c r="G799" s="26" t="n">
        <v>97.23</v>
      </c>
      <c r="H799" s="30" t="n">
        <v>0.564</v>
      </c>
      <c r="I799" s="28" t="n">
        <f aca="false">H799*G799/3.6</f>
        <v>15.2327</v>
      </c>
      <c r="J799" s="30" t="n">
        <v>2.6</v>
      </c>
      <c r="K799" s="30" t="n">
        <v>1.219</v>
      </c>
      <c r="L799" s="30" t="n">
        <v>1.3</v>
      </c>
      <c r="M799" s="30" t="n">
        <v>6.58</v>
      </c>
      <c r="N799" s="25" t="n">
        <v>0.464173004029415</v>
      </c>
      <c r="O799" s="17" t="n">
        <v>0</v>
      </c>
      <c r="P799" s="26" t="n">
        <v>0</v>
      </c>
      <c r="Q799" s="24" t="n">
        <f aca="false">IF(O799=1,1/(1+EXP(-(P799-Inputs!$B$12)/Inputs!$B$13)),0)</f>
        <v>0</v>
      </c>
      <c r="R799" s="24" t="n">
        <f aca="false">N799*O799</f>
        <v>0</v>
      </c>
      <c r="S799" s="12" t="n">
        <f aca="false">N799*Q799</f>
        <v>0</v>
      </c>
      <c r="T799" s="24" t="n">
        <f aca="false">N799^2</f>
        <v>0.215456577669691</v>
      </c>
    </row>
    <row r="800" customFormat="false" ht="15" hidden="false" customHeight="false" outlineLevel="0" collapsed="false">
      <c r="A800" s="5" t="s">
        <v>1052</v>
      </c>
      <c r="B800" s="5" t="s">
        <v>217</v>
      </c>
      <c r="C800" s="5" t="s">
        <v>58</v>
      </c>
      <c r="D800" s="5" t="s">
        <v>66</v>
      </c>
      <c r="E800" s="5" t="s">
        <v>73</v>
      </c>
      <c r="F800" s="26" t="n">
        <v>83.07</v>
      </c>
      <c r="G800" s="26" t="n">
        <v>82.99</v>
      </c>
      <c r="H800" s="30" t="n">
        <v>0.706</v>
      </c>
      <c r="I800" s="28" t="n">
        <f aca="false">H800*G800/3.6</f>
        <v>16.2752611111111</v>
      </c>
      <c r="J800" s="30" t="n">
        <v>3.87</v>
      </c>
      <c r="K800" s="30" t="n">
        <v>2.174</v>
      </c>
      <c r="L800" s="30" t="n">
        <v>1.114</v>
      </c>
      <c r="M800" s="30" t="n">
        <v>7.27</v>
      </c>
      <c r="N800" s="25" t="n">
        <v>0.229848813900116</v>
      </c>
      <c r="O800" s="17" t="n">
        <v>0</v>
      </c>
      <c r="P800" s="26" t="n">
        <v>0</v>
      </c>
      <c r="Q800" s="24" t="n">
        <f aca="false">IF(O800=1,1/(1+EXP(-(P800-Inputs!$B$12)/Inputs!$B$13)),0)</f>
        <v>0</v>
      </c>
      <c r="R800" s="24" t="n">
        <f aca="false">N800*O800</f>
        <v>0</v>
      </c>
      <c r="S800" s="12" t="n">
        <f aca="false">N800*Q800</f>
        <v>0</v>
      </c>
      <c r="T800" s="24" t="n">
        <f aca="false">N800^2</f>
        <v>0.05283047725129</v>
      </c>
    </row>
    <row r="801" customFormat="false" ht="15" hidden="false" customHeight="false" outlineLevel="0" collapsed="false">
      <c r="A801" s="5" t="s">
        <v>1053</v>
      </c>
      <c r="B801" s="5" t="s">
        <v>217</v>
      </c>
      <c r="C801" s="5" t="s">
        <v>58</v>
      </c>
      <c r="D801" s="5" t="s">
        <v>66</v>
      </c>
      <c r="E801" s="5" t="s">
        <v>73</v>
      </c>
      <c r="F801" s="26" t="n">
        <v>88.1</v>
      </c>
      <c r="G801" s="26" t="n">
        <v>90.42</v>
      </c>
      <c r="H801" s="30" t="n">
        <v>0.803</v>
      </c>
      <c r="I801" s="28" t="n">
        <f aca="false">H801*G801/3.6</f>
        <v>20.1686833333333</v>
      </c>
      <c r="J801" s="30" t="n">
        <v>4.21</v>
      </c>
      <c r="K801" s="30" t="n">
        <v>1.616</v>
      </c>
      <c r="L801" s="30" t="n">
        <v>2.449</v>
      </c>
      <c r="M801" s="30" t="n">
        <v>4.68</v>
      </c>
      <c r="N801" s="25" t="n">
        <v>0.0386634822721776</v>
      </c>
      <c r="O801" s="17" t="n">
        <v>0</v>
      </c>
      <c r="P801" s="26" t="n">
        <v>0</v>
      </c>
      <c r="Q801" s="24" t="n">
        <f aca="false">IF(O801=1,1/(1+EXP(-(P801-Inputs!$B$12)/Inputs!$B$13)),0)</f>
        <v>0</v>
      </c>
      <c r="R801" s="24" t="n">
        <f aca="false">N801*O801</f>
        <v>0</v>
      </c>
      <c r="S801" s="12" t="n">
        <f aca="false">N801*Q801</f>
        <v>0</v>
      </c>
      <c r="T801" s="24" t="n">
        <f aca="false">N801^2</f>
        <v>0.00149486486141099</v>
      </c>
    </row>
    <row r="802" customFormat="false" ht="15" hidden="false" customHeight="false" outlineLevel="0" collapsed="false">
      <c r="A802" s="5" t="s">
        <v>1054</v>
      </c>
      <c r="B802" s="5" t="s">
        <v>217</v>
      </c>
      <c r="C802" s="5" t="s">
        <v>58</v>
      </c>
      <c r="D802" s="5" t="s">
        <v>66</v>
      </c>
      <c r="E802" s="5" t="s">
        <v>73</v>
      </c>
      <c r="F802" s="26" t="n">
        <v>90.26</v>
      </c>
      <c r="G802" s="26" t="n">
        <v>93.64</v>
      </c>
      <c r="H802" s="30" t="n">
        <v>0.658</v>
      </c>
      <c r="I802" s="28" t="n">
        <f aca="false">H802*G802/3.6</f>
        <v>17.1153111111111</v>
      </c>
      <c r="J802" s="30" t="n">
        <v>4.5</v>
      </c>
      <c r="K802" s="30" t="n">
        <v>1.386</v>
      </c>
      <c r="L802" s="30" t="n">
        <v>1.768</v>
      </c>
      <c r="M802" s="30" t="n">
        <v>4.4</v>
      </c>
      <c r="N802" s="25" t="n">
        <v>0.205930136399139</v>
      </c>
      <c r="O802" s="17" t="n">
        <v>0</v>
      </c>
      <c r="P802" s="26" t="n">
        <v>0</v>
      </c>
      <c r="Q802" s="24" t="n">
        <f aca="false">IF(O802=1,1/(1+EXP(-(P802-Inputs!$B$12)/Inputs!$B$13)),0)</f>
        <v>0</v>
      </c>
      <c r="R802" s="24" t="n">
        <f aca="false">N802*O802</f>
        <v>0</v>
      </c>
      <c r="S802" s="12" t="n">
        <f aca="false">N802*Q802</f>
        <v>0</v>
      </c>
      <c r="T802" s="24" t="n">
        <f aca="false">N802^2</f>
        <v>0.0424072210773681</v>
      </c>
    </row>
    <row r="803" customFormat="false" ht="15" hidden="false" customHeight="false" outlineLevel="0" collapsed="false">
      <c r="A803" s="5" t="s">
        <v>1055</v>
      </c>
      <c r="B803" s="5" t="s">
        <v>217</v>
      </c>
      <c r="C803" s="5" t="s">
        <v>58</v>
      </c>
      <c r="D803" s="5" t="s">
        <v>66</v>
      </c>
      <c r="E803" s="5" t="s">
        <v>73</v>
      </c>
      <c r="F803" s="26" t="n">
        <v>94.46</v>
      </c>
      <c r="G803" s="26" t="n">
        <v>93.95</v>
      </c>
      <c r="H803" s="30" t="n">
        <v>0.59</v>
      </c>
      <c r="I803" s="28" t="n">
        <f aca="false">H803*G803/3.6</f>
        <v>15.3973611111111</v>
      </c>
      <c r="J803" s="30" t="n">
        <v>3.62</v>
      </c>
      <c r="K803" s="30" t="n">
        <v>1.001</v>
      </c>
      <c r="L803" s="30" t="n">
        <v>1.131</v>
      </c>
      <c r="M803" s="30" t="n">
        <v>5.1</v>
      </c>
      <c r="N803" s="25" t="n">
        <v>1.37172279741058</v>
      </c>
      <c r="O803" s="17" t="n">
        <v>0</v>
      </c>
      <c r="P803" s="26" t="n">
        <v>0</v>
      </c>
      <c r="Q803" s="24" t="n">
        <f aca="false">IF(O803=1,1/(1+EXP(-(P803-Inputs!$B$12)/Inputs!$B$13)),0)</f>
        <v>0</v>
      </c>
      <c r="R803" s="24" t="n">
        <f aca="false">N803*O803</f>
        <v>0</v>
      </c>
      <c r="S803" s="12" t="n">
        <f aca="false">N803*Q803</f>
        <v>0</v>
      </c>
      <c r="T803" s="24" t="n">
        <f aca="false">N803^2</f>
        <v>1.88162343293589</v>
      </c>
    </row>
    <row r="804" customFormat="false" ht="15" hidden="false" customHeight="false" outlineLevel="0" collapsed="false">
      <c r="A804" s="5" t="s">
        <v>1056</v>
      </c>
      <c r="B804" s="5" t="s">
        <v>217</v>
      </c>
      <c r="C804" s="5" t="s">
        <v>58</v>
      </c>
      <c r="D804" s="5" t="s">
        <v>66</v>
      </c>
      <c r="E804" s="5" t="s">
        <v>73</v>
      </c>
      <c r="F804" s="26" t="n">
        <v>87.32</v>
      </c>
      <c r="G804" s="26" t="n">
        <v>88.06</v>
      </c>
      <c r="H804" s="30" t="n">
        <v>0.627</v>
      </c>
      <c r="I804" s="28" t="n">
        <f aca="false">H804*G804/3.6</f>
        <v>15.3371166666667</v>
      </c>
      <c r="J804" s="30" t="n">
        <v>4.7</v>
      </c>
      <c r="K804" s="30" t="n">
        <v>3.111</v>
      </c>
      <c r="L804" s="30" t="n">
        <v>1.485</v>
      </c>
      <c r="M804" s="30" t="n">
        <v>7.75</v>
      </c>
      <c r="N804" s="25" t="n">
        <v>0.0274845139944016</v>
      </c>
      <c r="O804" s="17" t="n">
        <v>0</v>
      </c>
      <c r="P804" s="26" t="n">
        <v>0</v>
      </c>
      <c r="Q804" s="24" t="n">
        <f aca="false">IF(O804=1,1/(1+EXP(-(P804-Inputs!$B$12)/Inputs!$B$13)),0)</f>
        <v>0</v>
      </c>
      <c r="R804" s="24" t="n">
        <f aca="false">N804*O804</f>
        <v>0</v>
      </c>
      <c r="S804" s="12" t="n">
        <f aca="false">N804*Q804</f>
        <v>0</v>
      </c>
      <c r="T804" s="24" t="n">
        <f aca="false">N804^2</f>
        <v>0.000755398509508457</v>
      </c>
    </row>
    <row r="805" customFormat="false" ht="15" hidden="false" customHeight="false" outlineLevel="0" collapsed="false">
      <c r="A805" s="5" t="s">
        <v>1057</v>
      </c>
      <c r="B805" s="5" t="s">
        <v>217</v>
      </c>
      <c r="C805" s="5" t="s">
        <v>58</v>
      </c>
      <c r="D805" s="5" t="s">
        <v>66</v>
      </c>
      <c r="E805" s="5" t="s">
        <v>73</v>
      </c>
      <c r="F805" s="26" t="n">
        <v>75.36</v>
      </c>
      <c r="G805" s="26" t="n">
        <v>79.87</v>
      </c>
      <c r="H805" s="30" t="n">
        <v>0.507</v>
      </c>
      <c r="I805" s="28" t="n">
        <f aca="false">H805*G805/3.6</f>
        <v>11.2483583333333</v>
      </c>
      <c r="J805" s="30" t="n">
        <v>2.77</v>
      </c>
      <c r="K805" s="30" t="n">
        <v>2.137</v>
      </c>
      <c r="L805" s="30" t="n">
        <v>1.904</v>
      </c>
      <c r="M805" s="30" t="n">
        <v>6.58</v>
      </c>
      <c r="N805" s="25" t="n">
        <v>0.0407657560142378</v>
      </c>
      <c r="O805" s="17" t="n">
        <v>1</v>
      </c>
      <c r="P805" s="26" t="n">
        <v>2.38</v>
      </c>
      <c r="Q805" s="24" t="n">
        <f aca="false">IF(O805=1,1/(1+EXP(-(P805-Inputs!$B$12)/Inputs!$B$13)),0)</f>
        <v>0.00226351241416849</v>
      </c>
      <c r="R805" s="24" t="n">
        <f aca="false">N805*O805</f>
        <v>0.0407657560142378</v>
      </c>
      <c r="S805" s="12" t="n">
        <f aca="false">N805*Q805</f>
        <v>9.22737948111912E-005</v>
      </c>
      <c r="T805" s="24" t="n">
        <f aca="false">N805^2</f>
        <v>0.00166184686341237</v>
      </c>
    </row>
    <row r="806" customFormat="false" ht="15" hidden="false" customHeight="false" outlineLevel="0" collapsed="false">
      <c r="A806" s="5" t="s">
        <v>1058</v>
      </c>
      <c r="B806" s="5" t="s">
        <v>218</v>
      </c>
      <c r="C806" s="5" t="s">
        <v>59</v>
      </c>
      <c r="D806" s="5" t="s">
        <v>62</v>
      </c>
      <c r="E806" s="5" t="s">
        <v>68</v>
      </c>
      <c r="F806" s="26" t="n">
        <v>26.89</v>
      </c>
      <c r="G806" s="26" t="n">
        <v>25.64</v>
      </c>
      <c r="H806" s="30" t="n">
        <v>3.811</v>
      </c>
      <c r="I806" s="28" t="n">
        <f aca="false">H806*G806/3.6</f>
        <v>27.1427888888889</v>
      </c>
      <c r="J806" s="30" t="n">
        <v>2.64</v>
      </c>
      <c r="K806" s="30" t="n">
        <v>1.048</v>
      </c>
      <c r="L806" s="30" t="n">
        <v>1.276</v>
      </c>
      <c r="M806" s="30" t="n">
        <v>7.06</v>
      </c>
      <c r="N806" s="25" t="n">
        <v>0.589560282353865</v>
      </c>
      <c r="O806" s="17" t="n">
        <v>0</v>
      </c>
      <c r="P806" s="26" t="n">
        <v>0</v>
      </c>
      <c r="Q806" s="24" t="n">
        <f aca="false">IF(O806=1,1/(1+EXP(-(P806-Inputs!$B$12)/Inputs!$B$13)),0)</f>
        <v>0</v>
      </c>
      <c r="R806" s="24" t="n">
        <f aca="false">N806*O806</f>
        <v>0</v>
      </c>
      <c r="S806" s="12" t="n">
        <f aca="false">N806*Q806</f>
        <v>0</v>
      </c>
      <c r="T806" s="24" t="n">
        <f aca="false">N806^2</f>
        <v>0.347581326529169</v>
      </c>
    </row>
    <row r="807" customFormat="false" ht="15" hidden="false" customHeight="false" outlineLevel="0" collapsed="false">
      <c r="A807" s="5" t="s">
        <v>1059</v>
      </c>
      <c r="B807" s="5" t="s">
        <v>218</v>
      </c>
      <c r="C807" s="5" t="s">
        <v>59</v>
      </c>
      <c r="D807" s="5" t="s">
        <v>62</v>
      </c>
      <c r="E807" s="5" t="s">
        <v>68</v>
      </c>
      <c r="F807" s="26" t="n">
        <v>27.6</v>
      </c>
      <c r="G807" s="26" t="n">
        <v>29.1</v>
      </c>
      <c r="H807" s="30" t="n">
        <v>3.855</v>
      </c>
      <c r="I807" s="28" t="n">
        <f aca="false">H807*G807/3.6</f>
        <v>31.16125</v>
      </c>
      <c r="J807" s="30" t="n">
        <v>4.86</v>
      </c>
      <c r="K807" s="30" t="n">
        <v>1.775</v>
      </c>
      <c r="L807" s="30" t="n">
        <v>0.717</v>
      </c>
      <c r="M807" s="30" t="n">
        <v>7.69</v>
      </c>
      <c r="N807" s="25" t="n">
        <v>0.655068246901964</v>
      </c>
      <c r="O807" s="17" t="n">
        <v>0</v>
      </c>
      <c r="P807" s="26" t="n">
        <v>0</v>
      </c>
      <c r="Q807" s="24" t="n">
        <f aca="false">IF(O807=1,1/(1+EXP(-(P807-Inputs!$B$12)/Inputs!$B$13)),0)</f>
        <v>0</v>
      </c>
      <c r="R807" s="24" t="n">
        <f aca="false">N807*O807</f>
        <v>0</v>
      </c>
      <c r="S807" s="12" t="n">
        <f aca="false">N807*Q807</f>
        <v>0</v>
      </c>
      <c r="T807" s="24" t="n">
        <f aca="false">N807^2</f>
        <v>0.429114408099213</v>
      </c>
    </row>
    <row r="808" customFormat="false" ht="15" hidden="false" customHeight="false" outlineLevel="0" collapsed="false">
      <c r="A808" s="5" t="s">
        <v>1060</v>
      </c>
      <c r="B808" s="5" t="s">
        <v>218</v>
      </c>
      <c r="C808" s="5" t="s">
        <v>59</v>
      </c>
      <c r="D808" s="5" t="s">
        <v>62</v>
      </c>
      <c r="E808" s="5" t="s">
        <v>68</v>
      </c>
      <c r="F808" s="26" t="n">
        <v>29.57</v>
      </c>
      <c r="G808" s="26" t="n">
        <v>30.28</v>
      </c>
      <c r="H808" s="30" t="n">
        <v>4.305</v>
      </c>
      <c r="I808" s="28" t="n">
        <f aca="false">H808*G808/3.6</f>
        <v>36.2098333333333</v>
      </c>
      <c r="J808" s="30" t="n">
        <v>2.78</v>
      </c>
      <c r="K808" s="30" t="n">
        <v>1.481</v>
      </c>
      <c r="L808" s="30" t="n">
        <v>1.71</v>
      </c>
      <c r="M808" s="30" t="n">
        <v>5.58</v>
      </c>
      <c r="N808" s="25" t="n">
        <v>0.159949624127215</v>
      </c>
      <c r="O808" s="17" t="n">
        <v>0</v>
      </c>
      <c r="P808" s="26" t="n">
        <v>0</v>
      </c>
      <c r="Q808" s="24" t="n">
        <f aca="false">IF(O808=1,1/(1+EXP(-(P808-Inputs!$B$12)/Inputs!$B$13)),0)</f>
        <v>0</v>
      </c>
      <c r="R808" s="24" t="n">
        <f aca="false">N808*O808</f>
        <v>0</v>
      </c>
      <c r="S808" s="12" t="n">
        <f aca="false">N808*Q808</f>
        <v>0</v>
      </c>
      <c r="T808" s="24" t="n">
        <f aca="false">N808^2</f>
        <v>0.0255838822584375</v>
      </c>
    </row>
    <row r="809" customFormat="false" ht="15" hidden="false" customHeight="false" outlineLevel="0" collapsed="false">
      <c r="A809" s="5" t="s">
        <v>1061</v>
      </c>
      <c r="B809" s="5" t="s">
        <v>218</v>
      </c>
      <c r="C809" s="5" t="s">
        <v>59</v>
      </c>
      <c r="D809" s="5" t="s">
        <v>62</v>
      </c>
      <c r="E809" s="5" t="s">
        <v>68</v>
      </c>
      <c r="F809" s="26" t="n">
        <v>24.02</v>
      </c>
      <c r="G809" s="26" t="n">
        <v>27.2</v>
      </c>
      <c r="H809" s="30" t="n">
        <v>4.791</v>
      </c>
      <c r="I809" s="28" t="n">
        <f aca="false">H809*G809/3.6</f>
        <v>36.1986666666667</v>
      </c>
      <c r="J809" s="30" t="n">
        <v>3.59</v>
      </c>
      <c r="K809" s="30" t="n">
        <v>1.164</v>
      </c>
      <c r="L809" s="30" t="n">
        <v>1.192</v>
      </c>
      <c r="M809" s="30" t="n">
        <v>5.52</v>
      </c>
      <c r="N809" s="25" t="n">
        <v>1.30500509103864</v>
      </c>
      <c r="O809" s="17" t="n">
        <v>0</v>
      </c>
      <c r="P809" s="26" t="n">
        <v>0</v>
      </c>
      <c r="Q809" s="24" t="n">
        <f aca="false">IF(O809=1,1/(1+EXP(-(P809-Inputs!$B$12)/Inputs!$B$13)),0)</f>
        <v>0</v>
      </c>
      <c r="R809" s="24" t="n">
        <f aca="false">N809*O809</f>
        <v>0</v>
      </c>
      <c r="S809" s="12" t="n">
        <f aca="false">N809*Q809</f>
        <v>0</v>
      </c>
      <c r="T809" s="24" t="n">
        <f aca="false">N809^2</f>
        <v>1.70303828763677</v>
      </c>
    </row>
    <row r="810" customFormat="false" ht="15" hidden="false" customHeight="false" outlineLevel="0" collapsed="false">
      <c r="A810" s="5" t="s">
        <v>1062</v>
      </c>
      <c r="B810" s="5" t="s">
        <v>218</v>
      </c>
      <c r="C810" s="5" t="s">
        <v>59</v>
      </c>
      <c r="D810" s="5" t="s">
        <v>62</v>
      </c>
      <c r="E810" s="5" t="s">
        <v>68</v>
      </c>
      <c r="F810" s="26" t="n">
        <v>32.5</v>
      </c>
      <c r="G810" s="26" t="n">
        <v>31.99</v>
      </c>
      <c r="H810" s="30" t="n">
        <v>4.197</v>
      </c>
      <c r="I810" s="28" t="n">
        <f aca="false">H810*G810/3.6</f>
        <v>37.2950083333333</v>
      </c>
      <c r="J810" s="30" t="n">
        <v>2.59</v>
      </c>
      <c r="K810" s="30" t="n">
        <v>0.582</v>
      </c>
      <c r="L810" s="30" t="n">
        <v>1.567</v>
      </c>
      <c r="M810" s="30" t="n">
        <v>6.06</v>
      </c>
      <c r="N810" s="25" t="n">
        <v>1.15128853940859</v>
      </c>
      <c r="O810" s="17" t="n">
        <v>0</v>
      </c>
      <c r="P810" s="26" t="n">
        <v>0</v>
      </c>
      <c r="Q810" s="24" t="n">
        <f aca="false">IF(O810=1,1/(1+EXP(-(P810-Inputs!$B$12)/Inputs!$B$13)),0)</f>
        <v>0</v>
      </c>
      <c r="R810" s="24" t="n">
        <f aca="false">N810*O810</f>
        <v>0</v>
      </c>
      <c r="S810" s="12" t="n">
        <f aca="false">N810*Q810</f>
        <v>0</v>
      </c>
      <c r="T810" s="24" t="n">
        <f aca="false">N810^2</f>
        <v>1.32546530097357</v>
      </c>
    </row>
    <row r="811" customFormat="false" ht="15" hidden="false" customHeight="false" outlineLevel="0" collapsed="false">
      <c r="A811" s="5" t="s">
        <v>1063</v>
      </c>
      <c r="B811" s="5" t="s">
        <v>218</v>
      </c>
      <c r="C811" s="5" t="s">
        <v>59</v>
      </c>
      <c r="D811" s="5" t="s">
        <v>62</v>
      </c>
      <c r="E811" s="5" t="s">
        <v>68</v>
      </c>
      <c r="F811" s="26" t="n">
        <v>24.68</v>
      </c>
      <c r="G811" s="26" t="n">
        <v>22.81</v>
      </c>
      <c r="H811" s="30" t="n">
        <v>3.124</v>
      </c>
      <c r="I811" s="28" t="n">
        <f aca="false">H811*G811/3.6</f>
        <v>19.7940111111111</v>
      </c>
      <c r="J811" s="30" t="n">
        <v>5.14</v>
      </c>
      <c r="K811" s="30" t="n">
        <v>1.574</v>
      </c>
      <c r="L811" s="30" t="n">
        <v>1.909</v>
      </c>
      <c r="M811" s="30" t="n">
        <v>6.02</v>
      </c>
      <c r="N811" s="25" t="n">
        <v>0.0791833776026736</v>
      </c>
      <c r="O811" s="17" t="n">
        <v>0</v>
      </c>
      <c r="P811" s="26" t="n">
        <v>0</v>
      </c>
      <c r="Q811" s="24" t="n">
        <f aca="false">IF(O811=1,1/(1+EXP(-(P811-Inputs!$B$12)/Inputs!$B$13)),0)</f>
        <v>0</v>
      </c>
      <c r="R811" s="24" t="n">
        <f aca="false">N811*O811</f>
        <v>0</v>
      </c>
      <c r="S811" s="12" t="n">
        <f aca="false">N811*Q811</f>
        <v>0</v>
      </c>
      <c r="T811" s="24" t="n">
        <f aca="false">N811^2</f>
        <v>0.00627000728856759</v>
      </c>
    </row>
    <row r="812" customFormat="false" ht="15" hidden="false" customHeight="false" outlineLevel="0" collapsed="false">
      <c r="A812" s="5" t="s">
        <v>1064</v>
      </c>
      <c r="B812" s="5" t="s">
        <v>218</v>
      </c>
      <c r="C812" s="5" t="s">
        <v>59</v>
      </c>
      <c r="D812" s="5" t="s">
        <v>62</v>
      </c>
      <c r="E812" s="5" t="s">
        <v>68</v>
      </c>
      <c r="F812" s="26" t="n">
        <v>22.06</v>
      </c>
      <c r="G812" s="26" t="n">
        <v>19.23</v>
      </c>
      <c r="H812" s="30" t="n">
        <v>4.042</v>
      </c>
      <c r="I812" s="28" t="n">
        <f aca="false">H812*G812/3.6</f>
        <v>21.5910166666667</v>
      </c>
      <c r="J812" s="30" t="n">
        <v>5.86</v>
      </c>
      <c r="K812" s="30" t="n">
        <v>1.292</v>
      </c>
      <c r="L812" s="30" t="n">
        <v>2.132</v>
      </c>
      <c r="M812" s="30" t="n">
        <v>4.16</v>
      </c>
      <c r="N812" s="25" t="n">
        <v>0.122635220373918</v>
      </c>
      <c r="O812" s="17" t="n">
        <v>0</v>
      </c>
      <c r="P812" s="26" t="n">
        <v>0</v>
      </c>
      <c r="Q812" s="24" t="n">
        <f aca="false">IF(O812=1,1/(1+EXP(-(P812-Inputs!$B$12)/Inputs!$B$13)),0)</f>
        <v>0</v>
      </c>
      <c r="R812" s="24" t="n">
        <f aca="false">N812*O812</f>
        <v>0</v>
      </c>
      <c r="S812" s="12" t="n">
        <f aca="false">N812*Q812</f>
        <v>0</v>
      </c>
      <c r="T812" s="24" t="n">
        <f aca="false">N812^2</f>
        <v>0.0150393972761594</v>
      </c>
    </row>
    <row r="813" customFormat="false" ht="15" hidden="false" customHeight="false" outlineLevel="0" collapsed="false">
      <c r="A813" s="5" t="s">
        <v>1065</v>
      </c>
      <c r="B813" s="5" t="s">
        <v>218</v>
      </c>
      <c r="C813" s="5" t="s">
        <v>59</v>
      </c>
      <c r="D813" s="5" t="s">
        <v>62</v>
      </c>
      <c r="E813" s="5" t="s">
        <v>68</v>
      </c>
      <c r="F813" s="26" t="n">
        <v>27.22</v>
      </c>
      <c r="G813" s="26" t="n">
        <v>30.57</v>
      </c>
      <c r="H813" s="30" t="n">
        <v>3.936</v>
      </c>
      <c r="I813" s="28" t="n">
        <f aca="false">H813*G813/3.6</f>
        <v>33.4232</v>
      </c>
      <c r="J813" s="30" t="n">
        <v>5.51</v>
      </c>
      <c r="K813" s="30" t="n">
        <v>1.257</v>
      </c>
      <c r="L813" s="30" t="n">
        <v>1.71</v>
      </c>
      <c r="M813" s="30" t="n">
        <v>4.31</v>
      </c>
      <c r="N813" s="25" t="n">
        <v>0.306451170137596</v>
      </c>
      <c r="O813" s="17" t="n">
        <v>0</v>
      </c>
      <c r="P813" s="26" t="n">
        <v>0</v>
      </c>
      <c r="Q813" s="24" t="n">
        <f aca="false">IF(O813=1,1/(1+EXP(-(P813-Inputs!$B$12)/Inputs!$B$13)),0)</f>
        <v>0</v>
      </c>
      <c r="R813" s="24" t="n">
        <f aca="false">N813*O813</f>
        <v>0</v>
      </c>
      <c r="S813" s="12" t="n">
        <f aca="false">N813*Q813</f>
        <v>0</v>
      </c>
      <c r="T813" s="24" t="n">
        <f aca="false">N813^2</f>
        <v>0.0939123196787016</v>
      </c>
    </row>
    <row r="814" customFormat="false" ht="15" hidden="false" customHeight="false" outlineLevel="0" collapsed="false">
      <c r="A814" s="5" t="s">
        <v>1066</v>
      </c>
      <c r="B814" s="5" t="s">
        <v>218</v>
      </c>
      <c r="C814" s="5" t="s">
        <v>59</v>
      </c>
      <c r="D814" s="5" t="s">
        <v>62</v>
      </c>
      <c r="E814" s="5" t="s">
        <v>68</v>
      </c>
      <c r="F814" s="26" t="n">
        <v>22.97</v>
      </c>
      <c r="G814" s="26" t="n">
        <v>22.64</v>
      </c>
      <c r="H814" s="30" t="n">
        <v>3.386</v>
      </c>
      <c r="I814" s="28" t="n">
        <f aca="false">H814*G814/3.6</f>
        <v>21.2941777777778</v>
      </c>
      <c r="J814" s="30" t="n">
        <v>5.13</v>
      </c>
      <c r="K814" s="30" t="n">
        <v>0.952</v>
      </c>
      <c r="L814" s="30" t="n">
        <v>1.501</v>
      </c>
      <c r="M814" s="30" t="n">
        <v>3.67</v>
      </c>
      <c r="N814" s="25" t="n">
        <v>1.36136126621493</v>
      </c>
      <c r="O814" s="17" t="n">
        <v>0</v>
      </c>
      <c r="P814" s="26" t="n">
        <v>0</v>
      </c>
      <c r="Q814" s="24" t="n">
        <f aca="false">IF(O814=1,1/(1+EXP(-(P814-Inputs!$B$12)/Inputs!$B$13)),0)</f>
        <v>0</v>
      </c>
      <c r="R814" s="24" t="n">
        <f aca="false">N814*O814</f>
        <v>0</v>
      </c>
      <c r="S814" s="12" t="n">
        <f aca="false">N814*Q814</f>
        <v>0</v>
      </c>
      <c r="T814" s="24" t="n">
        <f aca="false">N814^2</f>
        <v>1.85330449715033</v>
      </c>
    </row>
    <row r="815" customFormat="false" ht="15" hidden="false" customHeight="false" outlineLevel="0" collapsed="false">
      <c r="A815" s="5" t="s">
        <v>1067</v>
      </c>
      <c r="B815" s="5" t="s">
        <v>218</v>
      </c>
      <c r="C815" s="5" t="s">
        <v>59</v>
      </c>
      <c r="D815" s="5" t="s">
        <v>62</v>
      </c>
      <c r="E815" s="5" t="s">
        <v>68</v>
      </c>
      <c r="F815" s="26" t="n">
        <v>33.86</v>
      </c>
      <c r="G815" s="26" t="n">
        <v>36.8</v>
      </c>
      <c r="H815" s="30" t="n">
        <v>4.288</v>
      </c>
      <c r="I815" s="28" t="n">
        <f aca="false">H815*G815/3.6</f>
        <v>43.8328888888889</v>
      </c>
      <c r="J815" s="30" t="n">
        <v>4.58</v>
      </c>
      <c r="K815" s="30" t="n">
        <v>1.402</v>
      </c>
      <c r="L815" s="30" t="n">
        <v>0.947</v>
      </c>
      <c r="M815" s="30" t="n">
        <v>6.74</v>
      </c>
      <c r="N815" s="25" t="n">
        <v>0.804701442569189</v>
      </c>
      <c r="O815" s="17" t="n">
        <v>0</v>
      </c>
      <c r="P815" s="26" t="n">
        <v>0</v>
      </c>
      <c r="Q815" s="24" t="n">
        <f aca="false">IF(O815=1,1/(1+EXP(-(P815-Inputs!$B$12)/Inputs!$B$13)),0)</f>
        <v>0</v>
      </c>
      <c r="R815" s="24" t="n">
        <f aca="false">N815*O815</f>
        <v>0</v>
      </c>
      <c r="S815" s="12" t="n">
        <f aca="false">N815*Q815</f>
        <v>0</v>
      </c>
      <c r="T815" s="24" t="n">
        <f aca="false">N815^2</f>
        <v>0.647544411672934</v>
      </c>
    </row>
    <row r="816" customFormat="false" ht="15" hidden="false" customHeight="false" outlineLevel="0" collapsed="false">
      <c r="A816" s="5" t="s">
        <v>1068</v>
      </c>
      <c r="B816" s="5" t="s">
        <v>219</v>
      </c>
      <c r="C816" s="5" t="s">
        <v>59</v>
      </c>
      <c r="D816" s="5" t="s">
        <v>62</v>
      </c>
      <c r="E816" s="5" t="s">
        <v>70</v>
      </c>
      <c r="F816" s="26" t="n">
        <v>20.86</v>
      </c>
      <c r="G816" s="26" t="n">
        <v>17.12</v>
      </c>
      <c r="H816" s="30" t="n">
        <v>2.069</v>
      </c>
      <c r="I816" s="28" t="n">
        <f aca="false">H816*G816/3.6</f>
        <v>9.83924444444445</v>
      </c>
      <c r="J816" s="30" t="n">
        <v>3.32</v>
      </c>
      <c r="K816" s="30" t="n">
        <v>1.617</v>
      </c>
      <c r="L816" s="30" t="n">
        <v>2.09</v>
      </c>
      <c r="M816" s="30" t="n">
        <v>4.04</v>
      </c>
      <c r="N816" s="25" t="n">
        <v>0.0936906252246065</v>
      </c>
      <c r="O816" s="17" t="n">
        <v>0</v>
      </c>
      <c r="P816" s="26" t="n">
        <v>0</v>
      </c>
      <c r="Q816" s="24" t="n">
        <f aca="false">IF(O816=1,1/(1+EXP(-(P816-Inputs!$B$12)/Inputs!$B$13)),0)</f>
        <v>0</v>
      </c>
      <c r="R816" s="24" t="n">
        <f aca="false">N816*O816</f>
        <v>0</v>
      </c>
      <c r="S816" s="12" t="n">
        <f aca="false">N816*Q816</f>
        <v>0</v>
      </c>
      <c r="T816" s="24" t="n">
        <f aca="false">N816^2</f>
        <v>0.00877793325497766</v>
      </c>
    </row>
    <row r="817" customFormat="false" ht="15" hidden="false" customHeight="false" outlineLevel="0" collapsed="false">
      <c r="A817" s="5" t="s">
        <v>1069</v>
      </c>
      <c r="B817" s="5" t="s">
        <v>219</v>
      </c>
      <c r="C817" s="5" t="s">
        <v>59</v>
      </c>
      <c r="D817" s="5" t="s">
        <v>62</v>
      </c>
      <c r="E817" s="5" t="s">
        <v>70</v>
      </c>
      <c r="F817" s="26" t="n">
        <v>28.75</v>
      </c>
      <c r="G817" s="26" t="n">
        <v>29.69</v>
      </c>
      <c r="H817" s="30" t="n">
        <v>2.103</v>
      </c>
      <c r="I817" s="28" t="n">
        <f aca="false">H817*G817/3.6</f>
        <v>17.3439083333333</v>
      </c>
      <c r="J817" s="30" t="n">
        <v>4.53</v>
      </c>
      <c r="K817" s="30" t="n">
        <v>1.418</v>
      </c>
      <c r="L817" s="30" t="n">
        <v>0.967</v>
      </c>
      <c r="M817" s="30" t="n">
        <v>5.18</v>
      </c>
      <c r="N817" s="25" t="n">
        <v>1.125093805687</v>
      </c>
      <c r="O817" s="17" t="n">
        <v>0</v>
      </c>
      <c r="P817" s="26" t="n">
        <v>0</v>
      </c>
      <c r="Q817" s="24" t="n">
        <f aca="false">IF(O817=1,1/(1+EXP(-(P817-Inputs!$B$12)/Inputs!$B$13)),0)</f>
        <v>0</v>
      </c>
      <c r="R817" s="24" t="n">
        <f aca="false">N817*O817</f>
        <v>0</v>
      </c>
      <c r="S817" s="12" t="n">
        <f aca="false">N817*Q817</f>
        <v>0</v>
      </c>
      <c r="T817" s="24" t="n">
        <f aca="false">N817^2</f>
        <v>1.26583607159526</v>
      </c>
    </row>
    <row r="818" customFormat="false" ht="15" hidden="false" customHeight="false" outlineLevel="0" collapsed="false">
      <c r="A818" s="5" t="s">
        <v>1070</v>
      </c>
      <c r="B818" s="5" t="s">
        <v>219</v>
      </c>
      <c r="C818" s="5" t="s">
        <v>59</v>
      </c>
      <c r="D818" s="5" t="s">
        <v>62</v>
      </c>
      <c r="E818" s="5" t="s">
        <v>70</v>
      </c>
      <c r="F818" s="26" t="n">
        <v>34.88</v>
      </c>
      <c r="G818" s="26" t="n">
        <v>33.99</v>
      </c>
      <c r="H818" s="30" t="n">
        <v>2.821</v>
      </c>
      <c r="I818" s="28" t="n">
        <f aca="false">H818*G818/3.6</f>
        <v>26.6349416666667</v>
      </c>
      <c r="J818" s="30" t="n">
        <v>5.54</v>
      </c>
      <c r="K818" s="30" t="n">
        <v>3.853</v>
      </c>
      <c r="L818" s="30" t="n">
        <v>1.679</v>
      </c>
      <c r="M818" s="30" t="n">
        <v>5.21</v>
      </c>
      <c r="N818" s="25" t="n">
        <v>0.0514520936836682</v>
      </c>
      <c r="O818" s="17" t="n">
        <v>0</v>
      </c>
      <c r="P818" s="26" t="n">
        <v>0</v>
      </c>
      <c r="Q818" s="24" t="n">
        <f aca="false">IF(O818=1,1/(1+EXP(-(P818-Inputs!$B$12)/Inputs!$B$13)),0)</f>
        <v>0</v>
      </c>
      <c r="R818" s="24" t="n">
        <f aca="false">N818*O818</f>
        <v>0</v>
      </c>
      <c r="S818" s="12" t="n">
        <f aca="false">N818*Q818</f>
        <v>0</v>
      </c>
      <c r="T818" s="24" t="n">
        <f aca="false">N818^2</f>
        <v>0.00264731794443297</v>
      </c>
    </row>
    <row r="819" customFormat="false" ht="15" hidden="false" customHeight="false" outlineLevel="0" collapsed="false">
      <c r="A819" s="5" t="s">
        <v>1071</v>
      </c>
      <c r="B819" s="5" t="s">
        <v>219</v>
      </c>
      <c r="C819" s="5" t="s">
        <v>59</v>
      </c>
      <c r="D819" s="5" t="s">
        <v>62</v>
      </c>
      <c r="E819" s="5" t="s">
        <v>70</v>
      </c>
      <c r="F819" s="26" t="n">
        <v>29.06</v>
      </c>
      <c r="G819" s="26" t="n">
        <v>28.05</v>
      </c>
      <c r="H819" s="30" t="n">
        <v>2.127</v>
      </c>
      <c r="I819" s="28" t="n">
        <f aca="false">H819*G819/3.6</f>
        <v>16.572875</v>
      </c>
      <c r="J819" s="30" t="n">
        <v>3.76</v>
      </c>
      <c r="K819" s="30" t="n">
        <v>1.102</v>
      </c>
      <c r="L819" s="30" t="n">
        <v>0.975</v>
      </c>
      <c r="M819" s="30" t="n">
        <v>7.71</v>
      </c>
      <c r="N819" s="25" t="n">
        <v>0.885471741536761</v>
      </c>
      <c r="O819" s="17" t="n">
        <v>0</v>
      </c>
      <c r="P819" s="26" t="n">
        <v>0</v>
      </c>
      <c r="Q819" s="24" t="n">
        <f aca="false">IF(O819=1,1/(1+EXP(-(P819-Inputs!$B$12)/Inputs!$B$13)),0)</f>
        <v>0</v>
      </c>
      <c r="R819" s="24" t="n">
        <f aca="false">N819*O819</f>
        <v>0</v>
      </c>
      <c r="S819" s="12" t="n">
        <f aca="false">N819*Q819</f>
        <v>0</v>
      </c>
      <c r="T819" s="24" t="n">
        <f aca="false">N819^2</f>
        <v>0.784060205060144</v>
      </c>
    </row>
    <row r="820" customFormat="false" ht="15" hidden="false" customHeight="false" outlineLevel="0" collapsed="false">
      <c r="A820" s="5" t="s">
        <v>1072</v>
      </c>
      <c r="B820" s="5" t="s">
        <v>219</v>
      </c>
      <c r="C820" s="5" t="s">
        <v>59</v>
      </c>
      <c r="D820" s="5" t="s">
        <v>62</v>
      </c>
      <c r="E820" s="5" t="s">
        <v>70</v>
      </c>
      <c r="F820" s="26" t="n">
        <v>21.92</v>
      </c>
      <c r="G820" s="26" t="n">
        <v>19.29</v>
      </c>
      <c r="H820" s="30" t="n">
        <v>2.035</v>
      </c>
      <c r="I820" s="28" t="n">
        <f aca="false">H820*G820/3.6</f>
        <v>10.9042083333333</v>
      </c>
      <c r="J820" s="30" t="n">
        <v>4.6</v>
      </c>
      <c r="K820" s="30" t="n">
        <v>0.432</v>
      </c>
      <c r="L820" s="30" t="n">
        <v>1.464</v>
      </c>
      <c r="M820" s="30" t="n">
        <v>7.04</v>
      </c>
      <c r="N820" s="25" t="n">
        <v>2.29786900009081</v>
      </c>
      <c r="O820" s="17" t="n">
        <v>0</v>
      </c>
      <c r="P820" s="26" t="n">
        <v>0</v>
      </c>
      <c r="Q820" s="24" t="n">
        <f aca="false">IF(O820=1,1/(1+EXP(-(P820-Inputs!$B$12)/Inputs!$B$13)),0)</f>
        <v>0</v>
      </c>
      <c r="R820" s="24" t="n">
        <f aca="false">N820*O820</f>
        <v>0</v>
      </c>
      <c r="S820" s="12" t="n">
        <f aca="false">N820*Q820</f>
        <v>0</v>
      </c>
      <c r="T820" s="24" t="n">
        <f aca="false">N820^2</f>
        <v>5.28020194157833</v>
      </c>
    </row>
    <row r="821" customFormat="false" ht="15" hidden="false" customHeight="false" outlineLevel="0" collapsed="false">
      <c r="A821" s="5" t="s">
        <v>1073</v>
      </c>
      <c r="B821" s="5" t="s">
        <v>219</v>
      </c>
      <c r="C821" s="5" t="s">
        <v>59</v>
      </c>
      <c r="D821" s="5" t="s">
        <v>62</v>
      </c>
      <c r="E821" s="5" t="s">
        <v>70</v>
      </c>
      <c r="F821" s="26" t="n">
        <v>32.8</v>
      </c>
      <c r="G821" s="26" t="n">
        <v>32.15</v>
      </c>
      <c r="H821" s="30" t="n">
        <v>2.028</v>
      </c>
      <c r="I821" s="28" t="n">
        <f aca="false">H821*G821/3.6</f>
        <v>18.1111666666667</v>
      </c>
      <c r="J821" s="30" t="n">
        <v>3.74</v>
      </c>
      <c r="K821" s="30" t="n">
        <v>0.721</v>
      </c>
      <c r="L821" s="30" t="n">
        <v>2.572</v>
      </c>
      <c r="M821" s="30" t="n">
        <v>5.61</v>
      </c>
      <c r="N821" s="25" t="n">
        <v>0.0930338474510651</v>
      </c>
      <c r="O821" s="17" t="n">
        <v>0</v>
      </c>
      <c r="P821" s="26" t="n">
        <v>0</v>
      </c>
      <c r="Q821" s="24" t="n">
        <f aca="false">IF(O821=1,1/(1+EXP(-(P821-Inputs!$B$12)/Inputs!$B$13)),0)</f>
        <v>0</v>
      </c>
      <c r="R821" s="24" t="n">
        <f aca="false">N821*O821</f>
        <v>0</v>
      </c>
      <c r="S821" s="12" t="n">
        <f aca="false">N821*Q821</f>
        <v>0</v>
      </c>
      <c r="T821" s="24" t="n">
        <f aca="false">N821^2</f>
        <v>0.00865529677154805</v>
      </c>
    </row>
    <row r="822" customFormat="false" ht="15" hidden="false" customHeight="false" outlineLevel="0" collapsed="false">
      <c r="A822" s="5" t="s">
        <v>1074</v>
      </c>
      <c r="B822" s="5" t="s">
        <v>219</v>
      </c>
      <c r="C822" s="5" t="s">
        <v>59</v>
      </c>
      <c r="D822" s="5" t="s">
        <v>62</v>
      </c>
      <c r="E822" s="5" t="s">
        <v>70</v>
      </c>
      <c r="F822" s="26" t="n">
        <v>32.37</v>
      </c>
      <c r="G822" s="26" t="n">
        <v>33.39</v>
      </c>
      <c r="H822" s="30" t="n">
        <v>2.38</v>
      </c>
      <c r="I822" s="28" t="n">
        <f aca="false">H822*G822/3.6</f>
        <v>22.0745</v>
      </c>
      <c r="J822" s="30" t="n">
        <v>5.45</v>
      </c>
      <c r="K822" s="30" t="n">
        <v>1.259</v>
      </c>
      <c r="L822" s="30" t="n">
        <v>1.121</v>
      </c>
      <c r="M822" s="30" t="n">
        <v>7.32</v>
      </c>
      <c r="N822" s="25" t="n">
        <v>0.563662589535457</v>
      </c>
      <c r="O822" s="17" t="n">
        <v>0</v>
      </c>
      <c r="P822" s="26" t="n">
        <v>0</v>
      </c>
      <c r="Q822" s="24" t="n">
        <f aca="false">IF(O822=1,1/(1+EXP(-(P822-Inputs!$B$12)/Inputs!$B$13)),0)</f>
        <v>0</v>
      </c>
      <c r="R822" s="24" t="n">
        <f aca="false">N822*O822</f>
        <v>0</v>
      </c>
      <c r="S822" s="12" t="n">
        <f aca="false">N822*Q822</f>
        <v>0</v>
      </c>
      <c r="T822" s="24" t="n">
        <f aca="false">N822^2</f>
        <v>0.317715514841817</v>
      </c>
    </row>
    <row r="823" customFormat="false" ht="15" hidden="false" customHeight="false" outlineLevel="0" collapsed="false">
      <c r="A823" s="5" t="s">
        <v>1075</v>
      </c>
      <c r="B823" s="5" t="s">
        <v>219</v>
      </c>
      <c r="C823" s="5" t="s">
        <v>59</v>
      </c>
      <c r="D823" s="5" t="s">
        <v>62</v>
      </c>
      <c r="E823" s="5" t="s">
        <v>70</v>
      </c>
      <c r="F823" s="26" t="n">
        <v>28.53</v>
      </c>
      <c r="G823" s="26" t="n">
        <v>27.87</v>
      </c>
      <c r="H823" s="30" t="n">
        <v>2.081</v>
      </c>
      <c r="I823" s="28" t="n">
        <f aca="false">H823*G823/3.6</f>
        <v>16.1104083333333</v>
      </c>
      <c r="J823" s="30" t="n">
        <v>5.47</v>
      </c>
      <c r="K823" s="30" t="n">
        <v>1.478</v>
      </c>
      <c r="L823" s="30" t="n">
        <v>1.465</v>
      </c>
      <c r="M823" s="30" t="n">
        <v>7.2</v>
      </c>
      <c r="N823" s="25" t="n">
        <v>0.178401980802471</v>
      </c>
      <c r="O823" s="17" t="n">
        <v>0</v>
      </c>
      <c r="P823" s="26" t="n">
        <v>0</v>
      </c>
      <c r="Q823" s="24" t="n">
        <f aca="false">IF(O823=1,1/(1+EXP(-(P823-Inputs!$B$12)/Inputs!$B$13)),0)</f>
        <v>0</v>
      </c>
      <c r="R823" s="24" t="n">
        <f aca="false">N823*O823</f>
        <v>0</v>
      </c>
      <c r="S823" s="12" t="n">
        <f aca="false">N823*Q823</f>
        <v>0</v>
      </c>
      <c r="T823" s="24" t="n">
        <f aca="false">N823^2</f>
        <v>0.0318272667542454</v>
      </c>
    </row>
    <row r="824" customFormat="false" ht="15" hidden="false" customHeight="false" outlineLevel="0" collapsed="false">
      <c r="A824" s="5" t="s">
        <v>1076</v>
      </c>
      <c r="B824" s="5" t="s">
        <v>219</v>
      </c>
      <c r="C824" s="5" t="s">
        <v>59</v>
      </c>
      <c r="D824" s="5" t="s">
        <v>62</v>
      </c>
      <c r="E824" s="5" t="s">
        <v>70</v>
      </c>
      <c r="F824" s="26" t="n">
        <v>33.62</v>
      </c>
      <c r="G824" s="26" t="n">
        <v>36.86</v>
      </c>
      <c r="H824" s="30" t="n">
        <v>2.461</v>
      </c>
      <c r="I824" s="28" t="n">
        <f aca="false">H824*G824/3.6</f>
        <v>25.1979055555556</v>
      </c>
      <c r="J824" s="30" t="n">
        <v>5.37</v>
      </c>
      <c r="K824" s="30" t="n">
        <v>2.051</v>
      </c>
      <c r="L824" s="30" t="n">
        <v>2.148</v>
      </c>
      <c r="M824" s="30" t="n">
        <v>4.89</v>
      </c>
      <c r="N824" s="25" t="n">
        <v>0.0345363048148282</v>
      </c>
      <c r="O824" s="17" t="n">
        <v>0</v>
      </c>
      <c r="P824" s="26" t="n">
        <v>0</v>
      </c>
      <c r="Q824" s="24" t="n">
        <f aca="false">IF(O824=1,1/(1+EXP(-(P824-Inputs!$B$12)/Inputs!$B$13)),0)</f>
        <v>0</v>
      </c>
      <c r="R824" s="24" t="n">
        <f aca="false">N824*O824</f>
        <v>0</v>
      </c>
      <c r="S824" s="12" t="n">
        <f aca="false">N824*Q824</f>
        <v>0</v>
      </c>
      <c r="T824" s="24" t="n">
        <f aca="false">N824^2</f>
        <v>0.00119275635026273</v>
      </c>
    </row>
    <row r="825" customFormat="false" ht="15" hidden="false" customHeight="false" outlineLevel="0" collapsed="false">
      <c r="A825" s="5" t="s">
        <v>1077</v>
      </c>
      <c r="B825" s="5" t="s">
        <v>219</v>
      </c>
      <c r="C825" s="5" t="s">
        <v>59</v>
      </c>
      <c r="D825" s="5" t="s">
        <v>62</v>
      </c>
      <c r="E825" s="5" t="s">
        <v>70</v>
      </c>
      <c r="F825" s="26" t="n">
        <v>26.17</v>
      </c>
      <c r="G825" s="26" t="n">
        <v>26.67</v>
      </c>
      <c r="H825" s="30" t="n">
        <v>2.273</v>
      </c>
      <c r="I825" s="28" t="n">
        <f aca="false">H825*G825/3.6</f>
        <v>16.8391416666667</v>
      </c>
      <c r="J825" s="30" t="n">
        <v>4.34</v>
      </c>
      <c r="K825" s="30" t="n">
        <v>0.549</v>
      </c>
      <c r="L825" s="30" t="n">
        <v>2.551</v>
      </c>
      <c r="M825" s="30" t="n">
        <v>6.72</v>
      </c>
      <c r="N825" s="25" t="n">
        <v>0.0865582264470756</v>
      </c>
      <c r="O825" s="17" t="n">
        <v>0</v>
      </c>
      <c r="P825" s="26" t="n">
        <v>0</v>
      </c>
      <c r="Q825" s="24" t="n">
        <f aca="false">IF(O825=1,1/(1+EXP(-(P825-Inputs!$B$12)/Inputs!$B$13)),0)</f>
        <v>0</v>
      </c>
      <c r="R825" s="24" t="n">
        <f aca="false">N825*O825</f>
        <v>0</v>
      </c>
      <c r="S825" s="12" t="n">
        <f aca="false">N825*Q825</f>
        <v>0</v>
      </c>
      <c r="T825" s="24" t="n">
        <f aca="false">N825^2</f>
        <v>0.00749232656566321</v>
      </c>
    </row>
    <row r="826" customFormat="false" ht="15" hidden="false" customHeight="false" outlineLevel="0" collapsed="false">
      <c r="A826" s="5" t="s">
        <v>1078</v>
      </c>
      <c r="B826" s="5" t="s">
        <v>220</v>
      </c>
      <c r="C826" s="5" t="s">
        <v>59</v>
      </c>
      <c r="D826" s="5" t="s">
        <v>62</v>
      </c>
      <c r="E826" s="5" t="s">
        <v>71</v>
      </c>
      <c r="F826" s="26" t="n">
        <v>31.63</v>
      </c>
      <c r="G826" s="26" t="n">
        <v>33.18</v>
      </c>
      <c r="H826" s="30" t="n">
        <v>1.697</v>
      </c>
      <c r="I826" s="28" t="n">
        <f aca="false">H826*G826/3.6</f>
        <v>15.6406833333333</v>
      </c>
      <c r="J826" s="30" t="n">
        <v>2.68</v>
      </c>
      <c r="K826" s="30" t="n">
        <v>1.747</v>
      </c>
      <c r="L826" s="30" t="n">
        <v>1.11</v>
      </c>
      <c r="M826" s="30" t="n">
        <v>7.68</v>
      </c>
      <c r="N826" s="25" t="n">
        <v>0.267625169824523</v>
      </c>
      <c r="O826" s="17" t="n">
        <v>0</v>
      </c>
      <c r="P826" s="26" t="n">
        <v>0</v>
      </c>
      <c r="Q826" s="24" t="n">
        <f aca="false">IF(O826=1,1/(1+EXP(-(P826-Inputs!$B$12)/Inputs!$B$13)),0)</f>
        <v>0</v>
      </c>
      <c r="R826" s="24" t="n">
        <f aca="false">N826*O826</f>
        <v>0</v>
      </c>
      <c r="S826" s="12" t="n">
        <f aca="false">N826*Q826</f>
        <v>0</v>
      </c>
      <c r="T826" s="24" t="n">
        <f aca="false">N826^2</f>
        <v>0.0716232315236049</v>
      </c>
    </row>
    <row r="827" customFormat="false" ht="15" hidden="false" customHeight="false" outlineLevel="0" collapsed="false">
      <c r="A827" s="5" t="s">
        <v>1079</v>
      </c>
      <c r="B827" s="5" t="s">
        <v>220</v>
      </c>
      <c r="C827" s="5" t="s">
        <v>59</v>
      </c>
      <c r="D827" s="5" t="s">
        <v>62</v>
      </c>
      <c r="E827" s="5" t="s">
        <v>71</v>
      </c>
      <c r="F827" s="26" t="n">
        <v>28.19</v>
      </c>
      <c r="G827" s="26" t="n">
        <v>28.06</v>
      </c>
      <c r="H827" s="30" t="n">
        <v>1.574</v>
      </c>
      <c r="I827" s="28" t="n">
        <f aca="false">H827*G827/3.6</f>
        <v>12.2684555555556</v>
      </c>
      <c r="J827" s="30" t="n">
        <v>4.48</v>
      </c>
      <c r="K827" s="30" t="n">
        <v>0.574</v>
      </c>
      <c r="L827" s="30" t="n">
        <v>1.815</v>
      </c>
      <c r="M827" s="30" t="n">
        <v>6.16</v>
      </c>
      <c r="N827" s="25" t="n">
        <v>0.592010752782628</v>
      </c>
      <c r="O827" s="17" t="n">
        <v>0</v>
      </c>
      <c r="P827" s="26" t="n">
        <v>0</v>
      </c>
      <c r="Q827" s="24" t="n">
        <f aca="false">IF(O827=1,1/(1+EXP(-(P827-Inputs!$B$12)/Inputs!$B$13)),0)</f>
        <v>0</v>
      </c>
      <c r="R827" s="24" t="n">
        <f aca="false">N827*O827</f>
        <v>0</v>
      </c>
      <c r="S827" s="12" t="n">
        <f aca="false">N827*Q827</f>
        <v>0</v>
      </c>
      <c r="T827" s="24" t="n">
        <f aca="false">N827^2</f>
        <v>0.350476731410253</v>
      </c>
    </row>
    <row r="828" customFormat="false" ht="15" hidden="false" customHeight="false" outlineLevel="0" collapsed="false">
      <c r="A828" s="5" t="s">
        <v>1080</v>
      </c>
      <c r="B828" s="5" t="s">
        <v>220</v>
      </c>
      <c r="C828" s="5" t="s">
        <v>59</v>
      </c>
      <c r="D828" s="5" t="s">
        <v>62</v>
      </c>
      <c r="E828" s="5" t="s">
        <v>71</v>
      </c>
      <c r="F828" s="26" t="n">
        <v>34.99</v>
      </c>
      <c r="G828" s="26" t="n">
        <v>32.47</v>
      </c>
      <c r="H828" s="30" t="n">
        <v>1.885</v>
      </c>
      <c r="I828" s="28" t="n">
        <f aca="false">H828*G828/3.6</f>
        <v>17.0016527777778</v>
      </c>
      <c r="J828" s="30" t="n">
        <v>4.55</v>
      </c>
      <c r="K828" s="30" t="n">
        <v>0.588</v>
      </c>
      <c r="L828" s="30" t="n">
        <v>1.559</v>
      </c>
      <c r="M828" s="30" t="n">
        <v>6.6</v>
      </c>
      <c r="N828" s="25" t="n">
        <v>1.41700640150573</v>
      </c>
      <c r="O828" s="17" t="n">
        <v>0</v>
      </c>
      <c r="P828" s="26" t="n">
        <v>0</v>
      </c>
      <c r="Q828" s="24" t="n">
        <f aca="false">IF(O828=1,1/(1+EXP(-(P828-Inputs!$B$12)/Inputs!$B$13)),0)</f>
        <v>0</v>
      </c>
      <c r="R828" s="24" t="n">
        <f aca="false">N828*O828</f>
        <v>0</v>
      </c>
      <c r="S828" s="12" t="n">
        <f aca="false">N828*Q828</f>
        <v>0</v>
      </c>
      <c r="T828" s="24" t="n">
        <f aca="false">N828^2</f>
        <v>2.00790714190823</v>
      </c>
    </row>
    <row r="829" customFormat="false" ht="15" hidden="false" customHeight="false" outlineLevel="0" collapsed="false">
      <c r="A829" s="5" t="s">
        <v>1081</v>
      </c>
      <c r="B829" s="5" t="s">
        <v>220</v>
      </c>
      <c r="C829" s="5" t="s">
        <v>59</v>
      </c>
      <c r="D829" s="5" t="s">
        <v>62</v>
      </c>
      <c r="E829" s="5" t="s">
        <v>71</v>
      </c>
      <c r="F829" s="26" t="n">
        <v>33.25</v>
      </c>
      <c r="G829" s="26" t="n">
        <v>32.43</v>
      </c>
      <c r="H829" s="30" t="n">
        <v>1.877</v>
      </c>
      <c r="I829" s="28" t="n">
        <f aca="false">H829*G829/3.6</f>
        <v>16.9086416666667</v>
      </c>
      <c r="J829" s="30" t="n">
        <v>5.39</v>
      </c>
      <c r="K829" s="30" t="n">
        <v>0.751</v>
      </c>
      <c r="L829" s="30" t="n">
        <v>1.863</v>
      </c>
      <c r="M829" s="30" t="n">
        <v>3.54</v>
      </c>
      <c r="N829" s="25" t="n">
        <v>1.92299949802746</v>
      </c>
      <c r="O829" s="17" t="n">
        <v>0</v>
      </c>
      <c r="P829" s="26" t="n">
        <v>0</v>
      </c>
      <c r="Q829" s="24" t="n">
        <f aca="false">IF(O829=1,1/(1+EXP(-(P829-Inputs!$B$12)/Inputs!$B$13)),0)</f>
        <v>0</v>
      </c>
      <c r="R829" s="24" t="n">
        <f aca="false">N829*O829</f>
        <v>0</v>
      </c>
      <c r="S829" s="12" t="n">
        <f aca="false">N829*Q829</f>
        <v>0</v>
      </c>
      <c r="T829" s="24" t="n">
        <f aca="false">N829^2</f>
        <v>3.69792706941387</v>
      </c>
    </row>
    <row r="830" customFormat="false" ht="15" hidden="false" customHeight="false" outlineLevel="0" collapsed="false">
      <c r="A830" s="5" t="s">
        <v>1082</v>
      </c>
      <c r="B830" s="5" t="s">
        <v>220</v>
      </c>
      <c r="C830" s="5" t="s">
        <v>59</v>
      </c>
      <c r="D830" s="5" t="s">
        <v>62</v>
      </c>
      <c r="E830" s="5" t="s">
        <v>71</v>
      </c>
      <c r="F830" s="26" t="n">
        <v>21.95</v>
      </c>
      <c r="G830" s="26" t="n">
        <v>20.16</v>
      </c>
      <c r="H830" s="30" t="n">
        <v>1.754</v>
      </c>
      <c r="I830" s="28" t="n">
        <f aca="false">H830*G830/3.6</f>
        <v>9.8224</v>
      </c>
      <c r="J830" s="30" t="n">
        <v>2.53</v>
      </c>
      <c r="K830" s="30" t="n">
        <v>1.291</v>
      </c>
      <c r="L830" s="30" t="n">
        <v>1.218</v>
      </c>
      <c r="M830" s="30" t="n">
        <v>7.65</v>
      </c>
      <c r="N830" s="25" t="n">
        <v>0.500655230719829</v>
      </c>
      <c r="O830" s="17" t="n">
        <v>0</v>
      </c>
      <c r="P830" s="26" t="n">
        <v>0</v>
      </c>
      <c r="Q830" s="24" t="n">
        <f aca="false">IF(O830=1,1/(1+EXP(-(P830-Inputs!$B$12)/Inputs!$B$13)),0)</f>
        <v>0</v>
      </c>
      <c r="R830" s="24" t="n">
        <f aca="false">N830*O830</f>
        <v>0</v>
      </c>
      <c r="S830" s="12" t="n">
        <f aca="false">N830*Q830</f>
        <v>0</v>
      </c>
      <c r="T830" s="24" t="n">
        <f aca="false">N830^2</f>
        <v>0.250655660047125</v>
      </c>
    </row>
    <row r="831" customFormat="false" ht="15" hidden="false" customHeight="false" outlineLevel="0" collapsed="false">
      <c r="A831" s="5" t="s">
        <v>1083</v>
      </c>
      <c r="B831" s="5" t="s">
        <v>220</v>
      </c>
      <c r="C831" s="5" t="s">
        <v>59</v>
      </c>
      <c r="D831" s="5" t="s">
        <v>62</v>
      </c>
      <c r="E831" s="5" t="s">
        <v>71</v>
      </c>
      <c r="F831" s="26" t="n">
        <v>23.74</v>
      </c>
      <c r="G831" s="26" t="n">
        <v>21.89</v>
      </c>
      <c r="H831" s="30" t="n">
        <v>1.528</v>
      </c>
      <c r="I831" s="28" t="n">
        <f aca="false">H831*G831/3.6</f>
        <v>9.29108888888889</v>
      </c>
      <c r="J831" s="30" t="n">
        <v>4.17</v>
      </c>
      <c r="K831" s="30" t="n">
        <v>0.835</v>
      </c>
      <c r="L831" s="30" t="n">
        <v>2.591</v>
      </c>
      <c r="M831" s="30" t="n">
        <v>4.4</v>
      </c>
      <c r="N831" s="25" t="n">
        <v>0.0906051172578548</v>
      </c>
      <c r="O831" s="17" t="n">
        <v>0</v>
      </c>
      <c r="P831" s="26" t="n">
        <v>0</v>
      </c>
      <c r="Q831" s="24" t="n">
        <f aca="false">IF(O831=1,1/(1+EXP(-(P831-Inputs!$B$12)/Inputs!$B$13)),0)</f>
        <v>0</v>
      </c>
      <c r="R831" s="24" t="n">
        <f aca="false">N831*O831</f>
        <v>0</v>
      </c>
      <c r="S831" s="12" t="n">
        <f aca="false">N831*Q831</f>
        <v>0</v>
      </c>
      <c r="T831" s="24" t="n">
        <f aca="false">N831^2</f>
        <v>0.00820928727330962</v>
      </c>
    </row>
    <row r="832" customFormat="false" ht="15" hidden="false" customHeight="false" outlineLevel="0" collapsed="false">
      <c r="A832" s="5" t="s">
        <v>1084</v>
      </c>
      <c r="B832" s="5" t="s">
        <v>220</v>
      </c>
      <c r="C832" s="5" t="s">
        <v>59</v>
      </c>
      <c r="D832" s="5" t="s">
        <v>62</v>
      </c>
      <c r="E832" s="5" t="s">
        <v>71</v>
      </c>
      <c r="F832" s="26" t="n">
        <v>34.11</v>
      </c>
      <c r="G832" s="26" t="n">
        <v>35.41</v>
      </c>
      <c r="H832" s="30" t="n">
        <v>1.67</v>
      </c>
      <c r="I832" s="28" t="n">
        <f aca="false">H832*G832/3.6</f>
        <v>16.4263055555556</v>
      </c>
      <c r="J832" s="30" t="n">
        <v>2.62</v>
      </c>
      <c r="K832" s="30" t="n">
        <v>0.714</v>
      </c>
      <c r="L832" s="30" t="n">
        <v>1.618</v>
      </c>
      <c r="M832" s="30" t="n">
        <v>4.35</v>
      </c>
      <c r="N832" s="25" t="n">
        <v>1.04956743399037</v>
      </c>
      <c r="O832" s="17" t="n">
        <v>0</v>
      </c>
      <c r="P832" s="26" t="n">
        <v>0</v>
      </c>
      <c r="Q832" s="24" t="n">
        <f aca="false">IF(O832=1,1/(1+EXP(-(P832-Inputs!$B$12)/Inputs!$B$13)),0)</f>
        <v>0</v>
      </c>
      <c r="R832" s="24" t="n">
        <f aca="false">N832*O832</f>
        <v>0</v>
      </c>
      <c r="S832" s="12" t="n">
        <f aca="false">N832*Q832</f>
        <v>0</v>
      </c>
      <c r="T832" s="24" t="n">
        <f aca="false">N832^2</f>
        <v>1.10159179849312</v>
      </c>
    </row>
    <row r="833" customFormat="false" ht="15" hidden="false" customHeight="false" outlineLevel="0" collapsed="false">
      <c r="A833" s="5" t="s">
        <v>1085</v>
      </c>
      <c r="B833" s="5" t="s">
        <v>220</v>
      </c>
      <c r="C833" s="5" t="s">
        <v>59</v>
      </c>
      <c r="D833" s="5" t="s">
        <v>62</v>
      </c>
      <c r="E833" s="5" t="s">
        <v>71</v>
      </c>
      <c r="F833" s="26" t="n">
        <v>25.95</v>
      </c>
      <c r="G833" s="26" t="n">
        <v>24.54</v>
      </c>
      <c r="H833" s="30" t="n">
        <v>1.64</v>
      </c>
      <c r="I833" s="28" t="n">
        <f aca="false">H833*G833/3.6</f>
        <v>11.1793333333333</v>
      </c>
      <c r="J833" s="30" t="n">
        <v>5.28</v>
      </c>
      <c r="K833" s="30" t="n">
        <v>1.89</v>
      </c>
      <c r="L833" s="30" t="n">
        <v>1.529</v>
      </c>
      <c r="M833" s="30" t="n">
        <v>7.37</v>
      </c>
      <c r="N833" s="25" t="n">
        <v>0.0843732846673212</v>
      </c>
      <c r="O833" s="17" t="n">
        <v>0</v>
      </c>
      <c r="P833" s="26" t="n">
        <v>0</v>
      </c>
      <c r="Q833" s="24" t="n">
        <f aca="false">IF(O833=1,1/(1+EXP(-(P833-Inputs!$B$12)/Inputs!$B$13)),0)</f>
        <v>0</v>
      </c>
      <c r="R833" s="24" t="n">
        <f aca="false">N833*O833</f>
        <v>0</v>
      </c>
      <c r="S833" s="12" t="n">
        <f aca="false">N833*Q833</f>
        <v>0</v>
      </c>
      <c r="T833" s="24" t="n">
        <f aca="false">N833^2</f>
        <v>0.00711885116555282</v>
      </c>
    </row>
    <row r="834" customFormat="false" ht="15" hidden="false" customHeight="false" outlineLevel="0" collapsed="false">
      <c r="A834" s="5" t="s">
        <v>1086</v>
      </c>
      <c r="B834" s="5" t="s">
        <v>220</v>
      </c>
      <c r="C834" s="5" t="s">
        <v>59</v>
      </c>
      <c r="D834" s="5" t="s">
        <v>62</v>
      </c>
      <c r="E834" s="5" t="s">
        <v>71</v>
      </c>
      <c r="F834" s="26" t="n">
        <v>26.04</v>
      </c>
      <c r="G834" s="26" t="n">
        <v>29.45</v>
      </c>
      <c r="H834" s="30" t="n">
        <v>1.856</v>
      </c>
      <c r="I834" s="28" t="n">
        <f aca="false">H834*G834/3.6</f>
        <v>15.1831111111111</v>
      </c>
      <c r="J834" s="30" t="n">
        <v>5.07</v>
      </c>
      <c r="K834" s="30" t="n">
        <v>2.048</v>
      </c>
      <c r="L834" s="30" t="n">
        <v>1.289</v>
      </c>
      <c r="M834" s="30" t="n">
        <v>7.98</v>
      </c>
      <c r="N834" s="25" t="n">
        <v>0.154206186676343</v>
      </c>
      <c r="O834" s="17" t="n">
        <v>0</v>
      </c>
      <c r="P834" s="26" t="n">
        <v>0</v>
      </c>
      <c r="Q834" s="24" t="n">
        <f aca="false">IF(O834=1,1/(1+EXP(-(P834-Inputs!$B$12)/Inputs!$B$13)),0)</f>
        <v>0</v>
      </c>
      <c r="R834" s="24" t="n">
        <f aca="false">N834*O834</f>
        <v>0</v>
      </c>
      <c r="S834" s="12" t="n">
        <f aca="false">N834*Q834</f>
        <v>0</v>
      </c>
      <c r="T834" s="24" t="n">
        <f aca="false">N834^2</f>
        <v>0.0237795480092593</v>
      </c>
    </row>
    <row r="835" customFormat="false" ht="15" hidden="false" customHeight="false" outlineLevel="0" collapsed="false">
      <c r="A835" s="5" t="s">
        <v>1087</v>
      </c>
      <c r="B835" s="5" t="s">
        <v>220</v>
      </c>
      <c r="C835" s="5" t="s">
        <v>59</v>
      </c>
      <c r="D835" s="5" t="s">
        <v>62</v>
      </c>
      <c r="E835" s="5" t="s">
        <v>71</v>
      </c>
      <c r="F835" s="26" t="n">
        <v>25.28</v>
      </c>
      <c r="G835" s="26" t="n">
        <v>21.81</v>
      </c>
      <c r="H835" s="30" t="n">
        <v>1.646</v>
      </c>
      <c r="I835" s="28" t="n">
        <f aca="false">H835*G835/3.6</f>
        <v>9.97201666666667</v>
      </c>
      <c r="J835" s="30" t="n">
        <v>4.77</v>
      </c>
      <c r="K835" s="30" t="n">
        <v>1.693</v>
      </c>
      <c r="L835" s="30" t="n">
        <v>1.182</v>
      </c>
      <c r="M835" s="30" t="n">
        <v>7.3</v>
      </c>
      <c r="N835" s="25" t="n">
        <v>0.283117669834811</v>
      </c>
      <c r="O835" s="17" t="n">
        <v>0</v>
      </c>
      <c r="P835" s="26" t="n">
        <v>0</v>
      </c>
      <c r="Q835" s="24" t="n">
        <f aca="false">IF(O835=1,1/(1+EXP(-(P835-Inputs!$B$12)/Inputs!$B$13)),0)</f>
        <v>0</v>
      </c>
      <c r="R835" s="24" t="n">
        <f aca="false">N835*O835</f>
        <v>0</v>
      </c>
      <c r="S835" s="12" t="n">
        <f aca="false">N835*Q835</f>
        <v>0</v>
      </c>
      <c r="T835" s="24" t="n">
        <f aca="false">N835^2</f>
        <v>0.0801556149726932</v>
      </c>
    </row>
    <row r="836" customFormat="false" ht="15" hidden="false" customHeight="false" outlineLevel="0" collapsed="false">
      <c r="A836" s="5" t="s">
        <v>1088</v>
      </c>
      <c r="B836" s="5" t="s">
        <v>221</v>
      </c>
      <c r="C836" s="5" t="s">
        <v>59</v>
      </c>
      <c r="D836" s="5" t="s">
        <v>62</v>
      </c>
      <c r="E836" s="5" t="s">
        <v>72</v>
      </c>
      <c r="F836" s="26" t="n">
        <v>32.38</v>
      </c>
      <c r="G836" s="26" t="n">
        <v>33.12</v>
      </c>
      <c r="H836" s="30" t="n">
        <v>1.117</v>
      </c>
      <c r="I836" s="28" t="n">
        <f aca="false">H836*G836/3.6</f>
        <v>10.2764</v>
      </c>
      <c r="J836" s="30" t="n">
        <v>5.94</v>
      </c>
      <c r="K836" s="30" t="n">
        <v>1.529</v>
      </c>
      <c r="L836" s="30" t="n">
        <v>1.265</v>
      </c>
      <c r="M836" s="30" t="n">
        <v>7.62</v>
      </c>
      <c r="N836" s="25" t="n">
        <v>0.216000019825185</v>
      </c>
      <c r="O836" s="17" t="n">
        <v>1</v>
      </c>
      <c r="P836" s="26" t="n">
        <v>5.42</v>
      </c>
      <c r="Q836" s="24" t="n">
        <f aca="false">IF(O836=1,1/(1+EXP(-(P836-Inputs!$B$12)/Inputs!$B$13)),0)</f>
        <v>0.00349024945282169</v>
      </c>
      <c r="R836" s="24" t="n">
        <f aca="false">N836*O836</f>
        <v>0.216000019825185</v>
      </c>
      <c r="S836" s="12" t="n">
        <f aca="false">N836*Q836</f>
        <v>0.000753893951004326</v>
      </c>
      <c r="T836" s="24" t="n">
        <f aca="false">N836^2</f>
        <v>0.0466560085644803</v>
      </c>
    </row>
    <row r="837" customFormat="false" ht="15" hidden="false" customHeight="false" outlineLevel="0" collapsed="false">
      <c r="A837" s="5" t="s">
        <v>1089</v>
      </c>
      <c r="B837" s="5" t="s">
        <v>221</v>
      </c>
      <c r="C837" s="5" t="s">
        <v>59</v>
      </c>
      <c r="D837" s="5" t="s">
        <v>62</v>
      </c>
      <c r="E837" s="5" t="s">
        <v>72</v>
      </c>
      <c r="F837" s="26" t="n">
        <v>20.75</v>
      </c>
      <c r="G837" s="26" t="n">
        <v>16.74</v>
      </c>
      <c r="H837" s="30" t="n">
        <v>1.405</v>
      </c>
      <c r="I837" s="28" t="n">
        <f aca="false">H837*G837/3.6</f>
        <v>6.53325</v>
      </c>
      <c r="J837" s="30" t="n">
        <v>4.43</v>
      </c>
      <c r="K837" s="30" t="n">
        <v>0.436</v>
      </c>
      <c r="L837" s="30" t="n">
        <v>0.921</v>
      </c>
      <c r="M837" s="30" t="n">
        <v>7.75</v>
      </c>
      <c r="N837" s="25" t="n">
        <v>22.495591802977</v>
      </c>
      <c r="O837" s="17" t="n">
        <v>0</v>
      </c>
      <c r="P837" s="26" t="n">
        <v>0</v>
      </c>
      <c r="Q837" s="24" t="n">
        <f aca="false">IF(O837=1,1/(1+EXP(-(P837-Inputs!$B$12)/Inputs!$B$13)),0)</f>
        <v>0</v>
      </c>
      <c r="R837" s="24" t="n">
        <f aca="false">N837*O837</f>
        <v>0</v>
      </c>
      <c r="S837" s="12" t="n">
        <f aca="false">N837*Q837</f>
        <v>0</v>
      </c>
      <c r="T837" s="24" t="n">
        <f aca="false">N837^2</f>
        <v>506.051650566165</v>
      </c>
    </row>
    <row r="838" customFormat="false" ht="15" hidden="false" customHeight="false" outlineLevel="0" collapsed="false">
      <c r="A838" s="5" t="s">
        <v>1090</v>
      </c>
      <c r="B838" s="5" t="s">
        <v>221</v>
      </c>
      <c r="C838" s="5" t="s">
        <v>59</v>
      </c>
      <c r="D838" s="5" t="s">
        <v>62</v>
      </c>
      <c r="E838" s="5" t="s">
        <v>72</v>
      </c>
      <c r="F838" s="26" t="n">
        <v>33.52</v>
      </c>
      <c r="G838" s="26" t="n">
        <v>34.66</v>
      </c>
      <c r="H838" s="30" t="n">
        <v>1.101</v>
      </c>
      <c r="I838" s="28" t="n">
        <f aca="false">H838*G838/3.6</f>
        <v>10.6001833333333</v>
      </c>
      <c r="J838" s="30" t="n">
        <v>3.42</v>
      </c>
      <c r="K838" s="30" t="n">
        <v>2.268</v>
      </c>
      <c r="L838" s="30" t="n">
        <v>1.468</v>
      </c>
      <c r="M838" s="30" t="n">
        <v>7.36</v>
      </c>
      <c r="N838" s="25" t="n">
        <v>0.0646990702361177</v>
      </c>
      <c r="O838" s="17" t="n">
        <v>0</v>
      </c>
      <c r="P838" s="26" t="n">
        <v>0</v>
      </c>
      <c r="Q838" s="24" t="n">
        <f aca="false">IF(O838=1,1/(1+EXP(-(P838-Inputs!$B$12)/Inputs!$B$13)),0)</f>
        <v>0</v>
      </c>
      <c r="R838" s="24" t="n">
        <f aca="false">N838*O838</f>
        <v>0</v>
      </c>
      <c r="S838" s="12" t="n">
        <f aca="false">N838*Q838</f>
        <v>0</v>
      </c>
      <c r="T838" s="24" t="n">
        <f aca="false">N838^2</f>
        <v>0.0041859696894181</v>
      </c>
    </row>
    <row r="839" customFormat="false" ht="15" hidden="false" customHeight="false" outlineLevel="0" collapsed="false">
      <c r="A839" s="5" t="s">
        <v>1091</v>
      </c>
      <c r="B839" s="5" t="s">
        <v>221</v>
      </c>
      <c r="C839" s="5" t="s">
        <v>59</v>
      </c>
      <c r="D839" s="5" t="s">
        <v>62</v>
      </c>
      <c r="E839" s="5" t="s">
        <v>72</v>
      </c>
      <c r="F839" s="26" t="n">
        <v>32.25</v>
      </c>
      <c r="G839" s="26" t="n">
        <v>32.22</v>
      </c>
      <c r="H839" s="30" t="n">
        <v>1.384</v>
      </c>
      <c r="I839" s="28" t="n">
        <f aca="false">H839*G839/3.6</f>
        <v>12.3868</v>
      </c>
      <c r="J839" s="30" t="n">
        <v>4.52</v>
      </c>
      <c r="K839" s="30" t="n">
        <v>0.985</v>
      </c>
      <c r="L839" s="30" t="n">
        <v>1.252</v>
      </c>
      <c r="M839" s="30" t="n">
        <v>4.96</v>
      </c>
      <c r="N839" s="25" t="n">
        <v>2.17211370320015</v>
      </c>
      <c r="O839" s="17" t="n">
        <v>0</v>
      </c>
      <c r="P839" s="26" t="n">
        <v>0</v>
      </c>
      <c r="Q839" s="24" t="n">
        <f aca="false">IF(O839=1,1/(1+EXP(-(P839-Inputs!$B$12)/Inputs!$B$13)),0)</f>
        <v>0</v>
      </c>
      <c r="R839" s="24" t="n">
        <f aca="false">N839*O839</f>
        <v>0</v>
      </c>
      <c r="S839" s="12" t="n">
        <f aca="false">N839*Q839</f>
        <v>0</v>
      </c>
      <c r="T839" s="24" t="n">
        <f aca="false">N839^2</f>
        <v>4.71807793962987</v>
      </c>
    </row>
    <row r="840" customFormat="false" ht="15" hidden="false" customHeight="false" outlineLevel="0" collapsed="false">
      <c r="A840" s="5" t="s">
        <v>1092</v>
      </c>
      <c r="B840" s="5" t="s">
        <v>221</v>
      </c>
      <c r="C840" s="5" t="s">
        <v>59</v>
      </c>
      <c r="D840" s="5" t="s">
        <v>62</v>
      </c>
      <c r="E840" s="5" t="s">
        <v>72</v>
      </c>
      <c r="F840" s="26" t="n">
        <v>25.06</v>
      </c>
      <c r="G840" s="26" t="n">
        <v>24.37</v>
      </c>
      <c r="H840" s="30" t="n">
        <v>1.069</v>
      </c>
      <c r="I840" s="28" t="n">
        <f aca="false">H840*G840/3.6</f>
        <v>7.23653611111111</v>
      </c>
      <c r="J840" s="30" t="n">
        <v>5.78</v>
      </c>
      <c r="K840" s="30" t="n">
        <v>1.406</v>
      </c>
      <c r="L840" s="30" t="n">
        <v>2.41</v>
      </c>
      <c r="M840" s="30" t="n">
        <v>3.74</v>
      </c>
      <c r="N840" s="25" t="n">
        <v>0.0720356451499373</v>
      </c>
      <c r="O840" s="17" t="n">
        <v>1</v>
      </c>
      <c r="P840" s="26" t="n">
        <v>24.37</v>
      </c>
      <c r="Q840" s="24" t="n">
        <f aca="false">IF(O840=1,1/(1+EXP(-(P840-Inputs!$B$12)/Inputs!$B$13)),0)</f>
        <v>0.0498717219559533</v>
      </c>
      <c r="R840" s="24" t="n">
        <f aca="false">N840*O840</f>
        <v>0.0720356451499373</v>
      </c>
      <c r="S840" s="12" t="n">
        <f aca="false">N840*Q840</f>
        <v>0.00359254166583539</v>
      </c>
      <c r="T840" s="24" t="n">
        <f aca="false">N840^2</f>
        <v>0.00518913417216768</v>
      </c>
    </row>
    <row r="841" customFormat="false" ht="15" hidden="false" customHeight="false" outlineLevel="0" collapsed="false">
      <c r="A841" s="5" t="s">
        <v>1093</v>
      </c>
      <c r="B841" s="5" t="s">
        <v>221</v>
      </c>
      <c r="C841" s="5" t="s">
        <v>59</v>
      </c>
      <c r="D841" s="5" t="s">
        <v>62</v>
      </c>
      <c r="E841" s="5" t="s">
        <v>72</v>
      </c>
      <c r="F841" s="26" t="n">
        <v>28</v>
      </c>
      <c r="G841" s="26" t="n">
        <v>29.86</v>
      </c>
      <c r="H841" s="30" t="n">
        <v>1.071</v>
      </c>
      <c r="I841" s="28" t="n">
        <f aca="false">H841*G841/3.6</f>
        <v>8.88335</v>
      </c>
      <c r="J841" s="30" t="n">
        <v>5</v>
      </c>
      <c r="K841" s="30" t="n">
        <v>0.842</v>
      </c>
      <c r="L841" s="30" t="n">
        <v>2.241</v>
      </c>
      <c r="M841" s="30" t="n">
        <v>5.81</v>
      </c>
      <c r="N841" s="25" t="n">
        <v>0.107832995383879</v>
      </c>
      <c r="O841" s="17" t="n">
        <v>1</v>
      </c>
      <c r="P841" s="26" t="n">
        <v>17.15</v>
      </c>
      <c r="Q841" s="24" t="n">
        <f aca="false">IF(O841=1,1/(1+EXP(-(P841-Inputs!$B$12)/Inputs!$B$13)),0)</f>
        <v>0.0183686318754796</v>
      </c>
      <c r="R841" s="24" t="n">
        <f aca="false">N841*O841</f>
        <v>0.107832995383879</v>
      </c>
      <c r="S841" s="12" t="n">
        <f aca="false">N841*Q841</f>
        <v>0.00198074459623676</v>
      </c>
      <c r="T841" s="24" t="n">
        <f aca="false">N841^2</f>
        <v>0.0116279548934596</v>
      </c>
    </row>
    <row r="842" customFormat="false" ht="15" hidden="false" customHeight="false" outlineLevel="0" collapsed="false">
      <c r="A842" s="5" t="s">
        <v>1094</v>
      </c>
      <c r="B842" s="5" t="s">
        <v>221</v>
      </c>
      <c r="C842" s="5" t="s">
        <v>59</v>
      </c>
      <c r="D842" s="5" t="s">
        <v>62</v>
      </c>
      <c r="E842" s="5" t="s">
        <v>72</v>
      </c>
      <c r="F842" s="26" t="n">
        <v>31.1</v>
      </c>
      <c r="G842" s="26" t="n">
        <v>32.27</v>
      </c>
      <c r="H842" s="30" t="n">
        <v>1.318</v>
      </c>
      <c r="I842" s="28" t="n">
        <f aca="false">H842*G842/3.6</f>
        <v>11.8144055555556</v>
      </c>
      <c r="J842" s="30" t="n">
        <v>4.64</v>
      </c>
      <c r="K842" s="30" t="n">
        <v>2.418</v>
      </c>
      <c r="L842" s="30" t="n">
        <v>1.755</v>
      </c>
      <c r="M842" s="30" t="n">
        <v>5.73</v>
      </c>
      <c r="N842" s="25" t="n">
        <v>0.0693261181062729</v>
      </c>
      <c r="O842" s="17" t="n">
        <v>1</v>
      </c>
      <c r="P842" s="26" t="n">
        <v>20.92</v>
      </c>
      <c r="Q842" s="24" t="n">
        <f aca="false">IF(O842=1,1/(1+EXP(-(P842-Inputs!$B$12)/Inputs!$B$13)),0)</f>
        <v>0.0310684841596674</v>
      </c>
      <c r="R842" s="24" t="n">
        <f aca="false">N842*O842</f>
        <v>0.0693261181062729</v>
      </c>
      <c r="S842" s="12" t="n">
        <f aca="false">N842*Q842</f>
        <v>0.00215385740223597</v>
      </c>
      <c r="T842" s="24" t="n">
        <f aca="false">N842^2</f>
        <v>0.0048061106516849</v>
      </c>
    </row>
    <row r="843" customFormat="false" ht="15" hidden="false" customHeight="false" outlineLevel="0" collapsed="false">
      <c r="A843" s="5" t="s">
        <v>1095</v>
      </c>
      <c r="B843" s="5" t="s">
        <v>221</v>
      </c>
      <c r="C843" s="5" t="s">
        <v>59</v>
      </c>
      <c r="D843" s="5" t="s">
        <v>62</v>
      </c>
      <c r="E843" s="5" t="s">
        <v>72</v>
      </c>
      <c r="F843" s="26" t="n">
        <v>21.86</v>
      </c>
      <c r="G843" s="26" t="n">
        <v>22.69</v>
      </c>
      <c r="H843" s="30" t="n">
        <v>1.019</v>
      </c>
      <c r="I843" s="28" t="n">
        <f aca="false">H843*G843/3.6</f>
        <v>6.42253055555555</v>
      </c>
      <c r="J843" s="30" t="n">
        <v>2.76</v>
      </c>
      <c r="K843" s="30" t="n">
        <v>0.834</v>
      </c>
      <c r="L843" s="30" t="n">
        <v>1.323</v>
      </c>
      <c r="M843" s="30" t="n">
        <v>3.51</v>
      </c>
      <c r="N843" s="25" t="n">
        <v>5.60418364346393</v>
      </c>
      <c r="O843" s="17" t="n">
        <v>0</v>
      </c>
      <c r="P843" s="26" t="n">
        <v>0</v>
      </c>
      <c r="Q843" s="24" t="n">
        <f aca="false">IF(O843=1,1/(1+EXP(-(P843-Inputs!$B$12)/Inputs!$B$13)),0)</f>
        <v>0</v>
      </c>
      <c r="R843" s="24" t="n">
        <f aca="false">N843*O843</f>
        <v>0</v>
      </c>
      <c r="S843" s="12" t="n">
        <f aca="false">N843*Q843</f>
        <v>0</v>
      </c>
      <c r="T843" s="24" t="n">
        <f aca="false">N843^2</f>
        <v>31.4068743096686</v>
      </c>
    </row>
    <row r="844" customFormat="false" ht="15" hidden="false" customHeight="false" outlineLevel="0" collapsed="false">
      <c r="A844" s="5" t="s">
        <v>1096</v>
      </c>
      <c r="B844" s="5" t="s">
        <v>221</v>
      </c>
      <c r="C844" s="5" t="s">
        <v>59</v>
      </c>
      <c r="D844" s="5" t="s">
        <v>62</v>
      </c>
      <c r="E844" s="5" t="s">
        <v>72</v>
      </c>
      <c r="F844" s="26" t="n">
        <v>25.06</v>
      </c>
      <c r="G844" s="26" t="n">
        <v>22.96</v>
      </c>
      <c r="H844" s="30" t="n">
        <v>1.26</v>
      </c>
      <c r="I844" s="28" t="n">
        <f aca="false">H844*G844/3.6</f>
        <v>8.036</v>
      </c>
      <c r="J844" s="30" t="n">
        <v>5.19</v>
      </c>
      <c r="K844" s="30" t="n">
        <v>1.54</v>
      </c>
      <c r="L844" s="30" t="n">
        <v>1.576</v>
      </c>
      <c r="M844" s="30" t="n">
        <v>5.9</v>
      </c>
      <c r="N844" s="25" t="n">
        <v>0.22731757815771</v>
      </c>
      <c r="O844" s="17" t="n">
        <v>1</v>
      </c>
      <c r="P844" s="26" t="n">
        <v>11.28</v>
      </c>
      <c r="Q844" s="24" t="n">
        <f aca="false">IF(O844=1,1/(1+EXP(-(P844-Inputs!$B$12)/Inputs!$B$13)),0)</f>
        <v>0.00802494729459925</v>
      </c>
      <c r="R844" s="24" t="n">
        <f aca="false">N844*O844</f>
        <v>0.22731757815771</v>
      </c>
      <c r="S844" s="12" t="n">
        <f aca="false">N844*Q844</f>
        <v>0.00182421158385157</v>
      </c>
      <c r="T844" s="24" t="n">
        <f aca="false">N844^2</f>
        <v>0.0516732813394865</v>
      </c>
    </row>
    <row r="845" customFormat="false" ht="15" hidden="false" customHeight="false" outlineLevel="0" collapsed="false">
      <c r="A845" s="5" t="s">
        <v>1097</v>
      </c>
      <c r="B845" s="5" t="s">
        <v>221</v>
      </c>
      <c r="C845" s="5" t="s">
        <v>59</v>
      </c>
      <c r="D845" s="5" t="s">
        <v>62</v>
      </c>
      <c r="E845" s="5" t="s">
        <v>72</v>
      </c>
      <c r="F845" s="26" t="n">
        <v>24.25</v>
      </c>
      <c r="G845" s="26" t="n">
        <v>23.92</v>
      </c>
      <c r="H845" s="30" t="n">
        <v>1.03</v>
      </c>
      <c r="I845" s="28" t="n">
        <f aca="false">H845*G845/3.6</f>
        <v>6.84377777777778</v>
      </c>
      <c r="J845" s="30" t="n">
        <v>2.77</v>
      </c>
      <c r="K845" s="30" t="n">
        <v>1.742</v>
      </c>
      <c r="L845" s="30" t="n">
        <v>1.046</v>
      </c>
      <c r="M845" s="30" t="n">
        <v>7.35</v>
      </c>
      <c r="N845" s="25" t="n">
        <v>0.397002291391643</v>
      </c>
      <c r="O845" s="17" t="n">
        <v>0</v>
      </c>
      <c r="P845" s="26" t="n">
        <v>0</v>
      </c>
      <c r="Q845" s="24" t="n">
        <f aca="false">IF(O845=1,1/(1+EXP(-(P845-Inputs!$B$12)/Inputs!$B$13)),0)</f>
        <v>0</v>
      </c>
      <c r="R845" s="24" t="n">
        <f aca="false">N845*O845</f>
        <v>0</v>
      </c>
      <c r="S845" s="12" t="n">
        <f aca="false">N845*Q845</f>
        <v>0</v>
      </c>
      <c r="T845" s="24" t="n">
        <f aca="false">N845^2</f>
        <v>0.157610819370215</v>
      </c>
    </row>
    <row r="846" customFormat="false" ht="15" hidden="false" customHeight="false" outlineLevel="0" collapsed="false">
      <c r="A846" s="5" t="s">
        <v>1098</v>
      </c>
      <c r="B846" s="5" t="s">
        <v>222</v>
      </c>
      <c r="C846" s="5" t="s">
        <v>59</v>
      </c>
      <c r="D846" s="5" t="s">
        <v>62</v>
      </c>
      <c r="E846" s="5" t="s">
        <v>73</v>
      </c>
      <c r="F846" s="26" t="n">
        <v>23.82</v>
      </c>
      <c r="G846" s="26" t="n">
        <v>27.22</v>
      </c>
      <c r="H846" s="30" t="n">
        <v>0.634</v>
      </c>
      <c r="I846" s="28" t="n">
        <f aca="false">H846*G846/3.6</f>
        <v>4.79374444444445</v>
      </c>
      <c r="J846" s="30" t="n">
        <v>4.34</v>
      </c>
      <c r="K846" s="30" t="n">
        <v>0.729</v>
      </c>
      <c r="L846" s="30" t="n">
        <v>1.88</v>
      </c>
      <c r="M846" s="30" t="n">
        <v>3.83</v>
      </c>
      <c r="N846" s="25" t="n">
        <v>0.785192288217114</v>
      </c>
      <c r="O846" s="17" t="n">
        <v>1</v>
      </c>
      <c r="P846" s="26" t="n">
        <v>14.8</v>
      </c>
      <c r="Q846" s="24" t="n">
        <f aca="false">IF(O846=1,1/(1+EXP(-(P846-Inputs!$B$12)/Inputs!$B$13)),0)</f>
        <v>0.0131995420322399</v>
      </c>
      <c r="R846" s="24" t="n">
        <f aca="false">N846*O846</f>
        <v>0.785192288217114</v>
      </c>
      <c r="S846" s="12" t="n">
        <f aca="false">N846*Q846</f>
        <v>0.0103641786117125</v>
      </c>
      <c r="T846" s="24" t="n">
        <f aca="false">N846^2</f>
        <v>0.616526929475628</v>
      </c>
    </row>
    <row r="847" customFormat="false" ht="15" hidden="false" customHeight="false" outlineLevel="0" collapsed="false">
      <c r="A847" s="5" t="s">
        <v>1099</v>
      </c>
      <c r="B847" s="5" t="s">
        <v>222</v>
      </c>
      <c r="C847" s="5" t="s">
        <v>59</v>
      </c>
      <c r="D847" s="5" t="s">
        <v>62</v>
      </c>
      <c r="E847" s="5" t="s">
        <v>73</v>
      </c>
      <c r="F847" s="26" t="n">
        <v>34.4</v>
      </c>
      <c r="G847" s="26" t="n">
        <v>36.1</v>
      </c>
      <c r="H847" s="30" t="n">
        <v>0.84</v>
      </c>
      <c r="I847" s="28" t="n">
        <f aca="false">H847*G847/3.6</f>
        <v>8.42333333333333</v>
      </c>
      <c r="J847" s="30" t="n">
        <v>5.18</v>
      </c>
      <c r="K847" s="30" t="n">
        <v>1.473</v>
      </c>
      <c r="L847" s="30" t="n">
        <v>0.942</v>
      </c>
      <c r="M847" s="30" t="n">
        <v>4.15</v>
      </c>
      <c r="N847" s="25" t="n">
        <v>1.58627190659722</v>
      </c>
      <c r="O847" s="17" t="n">
        <v>1</v>
      </c>
      <c r="P847" s="26" t="n">
        <v>13.16</v>
      </c>
      <c r="Q847" s="24" t="n">
        <f aca="false">IF(O847=1,1/(1+EXP(-(P847-Inputs!$B$12)/Inputs!$B$13)),0)</f>
        <v>0.0104714985222498</v>
      </c>
      <c r="R847" s="24" t="n">
        <f aca="false">N847*O847</f>
        <v>1.58627190659722</v>
      </c>
      <c r="S847" s="12" t="n">
        <f aca="false">N847*Q847</f>
        <v>0.0166106439258192</v>
      </c>
      <c r="T847" s="24" t="n">
        <f aca="false">N847^2</f>
        <v>2.51625856165957</v>
      </c>
    </row>
    <row r="848" customFormat="false" ht="15" hidden="false" customHeight="false" outlineLevel="0" collapsed="false">
      <c r="A848" s="5" t="s">
        <v>1100</v>
      </c>
      <c r="B848" s="5" t="s">
        <v>222</v>
      </c>
      <c r="C848" s="5" t="s">
        <v>59</v>
      </c>
      <c r="D848" s="5" t="s">
        <v>62</v>
      </c>
      <c r="E848" s="5" t="s">
        <v>73</v>
      </c>
      <c r="F848" s="26" t="n">
        <v>31.07</v>
      </c>
      <c r="G848" s="26" t="n">
        <v>31.06</v>
      </c>
      <c r="H848" s="30" t="n">
        <v>0.807</v>
      </c>
      <c r="I848" s="28" t="n">
        <f aca="false">H848*G848/3.6</f>
        <v>6.96261666666667</v>
      </c>
      <c r="J848" s="30" t="n">
        <v>4.22</v>
      </c>
      <c r="K848" s="30" t="n">
        <v>1.782</v>
      </c>
      <c r="L848" s="30" t="n">
        <v>0.957</v>
      </c>
      <c r="M848" s="30" t="n">
        <v>7.92</v>
      </c>
      <c r="N848" s="25" t="n">
        <v>0.421726800219946</v>
      </c>
      <c r="O848" s="17" t="n">
        <v>0</v>
      </c>
      <c r="P848" s="26" t="n">
        <v>0</v>
      </c>
      <c r="Q848" s="24" t="n">
        <f aca="false">IF(O848=1,1/(1+EXP(-(P848-Inputs!$B$12)/Inputs!$B$13)),0)</f>
        <v>0</v>
      </c>
      <c r="R848" s="24" t="n">
        <f aca="false">N848*O848</f>
        <v>0</v>
      </c>
      <c r="S848" s="12" t="n">
        <f aca="false">N848*Q848</f>
        <v>0</v>
      </c>
      <c r="T848" s="24" t="n">
        <f aca="false">N848^2</f>
        <v>0.177853494023754</v>
      </c>
    </row>
    <row r="849" customFormat="false" ht="15" hidden="false" customHeight="false" outlineLevel="0" collapsed="false">
      <c r="A849" s="5" t="s">
        <v>1101</v>
      </c>
      <c r="B849" s="5" t="s">
        <v>222</v>
      </c>
      <c r="C849" s="5" t="s">
        <v>59</v>
      </c>
      <c r="D849" s="5" t="s">
        <v>62</v>
      </c>
      <c r="E849" s="5" t="s">
        <v>73</v>
      </c>
      <c r="F849" s="26" t="n">
        <v>28.93</v>
      </c>
      <c r="G849" s="26" t="n">
        <v>28.05</v>
      </c>
      <c r="H849" s="30" t="n">
        <v>0.565</v>
      </c>
      <c r="I849" s="28" t="n">
        <f aca="false">H849*G849/3.6</f>
        <v>4.40229166666667</v>
      </c>
      <c r="J849" s="30" t="n">
        <v>4.17</v>
      </c>
      <c r="K849" s="30" t="n">
        <v>1.703</v>
      </c>
      <c r="L849" s="30" t="n">
        <v>1.25</v>
      </c>
      <c r="M849" s="30" t="n">
        <v>7.87</v>
      </c>
      <c r="N849" s="25" t="n">
        <v>0.150476043691554</v>
      </c>
      <c r="O849" s="17" t="n">
        <v>1</v>
      </c>
      <c r="P849" s="26" t="n">
        <v>13.78</v>
      </c>
      <c r="Q849" s="24" t="n">
        <f aca="false">IF(O849=1,1/(1+EXP(-(P849-Inputs!$B$12)/Inputs!$B$13)),0)</f>
        <v>0.0114302031264707</v>
      </c>
      <c r="R849" s="24" t="n">
        <f aca="false">N849*O849</f>
        <v>0.150476043691554</v>
      </c>
      <c r="S849" s="12" t="n">
        <f aca="false">N849*Q849</f>
        <v>0.00171997174506215</v>
      </c>
      <c r="T849" s="24" t="n">
        <f aca="false">N849^2</f>
        <v>0.0226430397250626</v>
      </c>
    </row>
    <row r="850" customFormat="false" ht="15" hidden="false" customHeight="false" outlineLevel="0" collapsed="false">
      <c r="A850" s="5" t="s">
        <v>1102</v>
      </c>
      <c r="B850" s="5" t="s">
        <v>222</v>
      </c>
      <c r="C850" s="5" t="s">
        <v>59</v>
      </c>
      <c r="D850" s="5" t="s">
        <v>62</v>
      </c>
      <c r="E850" s="5" t="s">
        <v>73</v>
      </c>
      <c r="F850" s="26" t="n">
        <v>21.17</v>
      </c>
      <c r="G850" s="26" t="n">
        <v>19.61</v>
      </c>
      <c r="H850" s="30" t="n">
        <v>0.808</v>
      </c>
      <c r="I850" s="28" t="n">
        <f aca="false">H850*G850/3.6</f>
        <v>4.40135555555556</v>
      </c>
      <c r="J850" s="30" t="n">
        <v>3.63</v>
      </c>
      <c r="K850" s="30" t="n">
        <v>0.884</v>
      </c>
      <c r="L850" s="30" t="n">
        <v>0.964</v>
      </c>
      <c r="M850" s="30" t="n">
        <v>7.45</v>
      </c>
      <c r="N850" s="25" t="n">
        <v>2.8862643581066</v>
      </c>
      <c r="O850" s="17" t="n">
        <v>0</v>
      </c>
      <c r="P850" s="26" t="n">
        <v>0</v>
      </c>
      <c r="Q850" s="24" t="n">
        <f aca="false">IF(O850=1,1/(1+EXP(-(P850-Inputs!$B$12)/Inputs!$B$13)),0)</f>
        <v>0</v>
      </c>
      <c r="R850" s="24" t="n">
        <f aca="false">N850*O850</f>
        <v>0</v>
      </c>
      <c r="S850" s="12" t="n">
        <f aca="false">N850*Q850</f>
        <v>0</v>
      </c>
      <c r="T850" s="24" t="n">
        <f aca="false">N850^2</f>
        <v>8.3305219448765</v>
      </c>
    </row>
    <row r="851" customFormat="false" ht="15" hidden="false" customHeight="false" outlineLevel="0" collapsed="false">
      <c r="A851" s="5" t="s">
        <v>1103</v>
      </c>
      <c r="B851" s="5" t="s">
        <v>222</v>
      </c>
      <c r="C851" s="5" t="s">
        <v>59</v>
      </c>
      <c r="D851" s="5" t="s">
        <v>62</v>
      </c>
      <c r="E851" s="5" t="s">
        <v>73</v>
      </c>
      <c r="F851" s="26" t="n">
        <v>29.27</v>
      </c>
      <c r="G851" s="26" t="n">
        <v>28.15</v>
      </c>
      <c r="H851" s="30" t="n">
        <v>0.592</v>
      </c>
      <c r="I851" s="28" t="n">
        <f aca="false">H851*G851/3.6</f>
        <v>4.62911111111111</v>
      </c>
      <c r="J851" s="30" t="n">
        <v>3.22</v>
      </c>
      <c r="K851" s="30" t="n">
        <v>1.138</v>
      </c>
      <c r="L851" s="30" t="n">
        <v>1.891</v>
      </c>
      <c r="M851" s="30" t="n">
        <v>5.43</v>
      </c>
      <c r="N851" s="25" t="n">
        <v>0.158060613251457</v>
      </c>
      <c r="O851" s="17" t="n">
        <v>1</v>
      </c>
      <c r="P851" s="26" t="n">
        <v>9.94</v>
      </c>
      <c r="Q851" s="24" t="n">
        <f aca="false">IF(O851=1,1/(1+EXP(-(P851-Inputs!$B$12)/Inputs!$B$13)),0)</f>
        <v>0.00663610785817139</v>
      </c>
      <c r="R851" s="24" t="n">
        <f aca="false">N851*O851</f>
        <v>0.158060613251457</v>
      </c>
      <c r="S851" s="12" t="n">
        <f aca="false">N851*Q851</f>
        <v>0.00104890727766538</v>
      </c>
      <c r="T851" s="24" t="n">
        <f aca="false">N851^2</f>
        <v>0.0249831574614265</v>
      </c>
    </row>
    <row r="852" customFormat="false" ht="15" hidden="false" customHeight="false" outlineLevel="0" collapsed="false">
      <c r="A852" s="5" t="s">
        <v>1104</v>
      </c>
      <c r="B852" s="5" t="s">
        <v>222</v>
      </c>
      <c r="C852" s="5" t="s">
        <v>59</v>
      </c>
      <c r="D852" s="5" t="s">
        <v>62</v>
      </c>
      <c r="E852" s="5" t="s">
        <v>73</v>
      </c>
      <c r="F852" s="26" t="n">
        <v>27.35</v>
      </c>
      <c r="G852" s="26" t="n">
        <v>24.08</v>
      </c>
      <c r="H852" s="30" t="n">
        <v>0.814</v>
      </c>
      <c r="I852" s="28" t="n">
        <f aca="false">H852*G852/3.6</f>
        <v>5.44475555555556</v>
      </c>
      <c r="J852" s="30" t="n">
        <v>4.79</v>
      </c>
      <c r="K852" s="30" t="n">
        <v>2.046</v>
      </c>
      <c r="L852" s="30" t="n">
        <v>1.899</v>
      </c>
      <c r="M852" s="30" t="n">
        <v>4.92</v>
      </c>
      <c r="N852" s="25" t="n">
        <v>0.0889249814838916</v>
      </c>
      <c r="O852" s="17" t="n">
        <v>1</v>
      </c>
      <c r="P852" s="26" t="n">
        <v>24.08</v>
      </c>
      <c r="Q852" s="24" t="n">
        <f aca="false">IF(O852=1,1/(1+EXP(-(P852-Inputs!$B$12)/Inputs!$B$13)),0)</f>
        <v>0.0479448565364537</v>
      </c>
      <c r="R852" s="24" t="n">
        <f aca="false">N852*O852</f>
        <v>0.0889249814838916</v>
      </c>
      <c r="S852" s="12" t="n">
        <f aca="false">N852*Q852</f>
        <v>0.00426349547975198</v>
      </c>
      <c r="T852" s="24" t="n">
        <f aca="false">N852^2</f>
        <v>0.00790765233191046</v>
      </c>
    </row>
    <row r="853" customFormat="false" ht="15" hidden="false" customHeight="false" outlineLevel="0" collapsed="false">
      <c r="A853" s="5" t="s">
        <v>1105</v>
      </c>
      <c r="B853" s="5" t="s">
        <v>222</v>
      </c>
      <c r="C853" s="5" t="s">
        <v>59</v>
      </c>
      <c r="D853" s="5" t="s">
        <v>62</v>
      </c>
      <c r="E853" s="5" t="s">
        <v>73</v>
      </c>
      <c r="F853" s="26" t="n">
        <v>31.05</v>
      </c>
      <c r="G853" s="26" t="n">
        <v>33.43</v>
      </c>
      <c r="H853" s="30" t="n">
        <v>0.557</v>
      </c>
      <c r="I853" s="28" t="n">
        <f aca="false">H853*G853/3.6</f>
        <v>5.17236388888889</v>
      </c>
      <c r="J853" s="30" t="n">
        <v>2.9</v>
      </c>
      <c r="K853" s="30" t="n">
        <v>1.783</v>
      </c>
      <c r="L853" s="30" t="n">
        <v>1.285</v>
      </c>
      <c r="M853" s="30" t="n">
        <v>6.78</v>
      </c>
      <c r="N853" s="25" t="n">
        <v>0.22242032622924</v>
      </c>
      <c r="O853" s="17" t="n">
        <v>1</v>
      </c>
      <c r="P853" s="26" t="n">
        <v>6.7</v>
      </c>
      <c r="Q853" s="24" t="n">
        <f aca="false">IF(O853=1,1/(1+EXP(-(P853-Inputs!$B$12)/Inputs!$B$13)),0)</f>
        <v>0.0041876105817116</v>
      </c>
      <c r="R853" s="24" t="n">
        <f aca="false">N853*O853</f>
        <v>0.22242032622924</v>
      </c>
      <c r="S853" s="12" t="n">
        <f aca="false">N853*Q853</f>
        <v>0.000931409711705312</v>
      </c>
      <c r="T853" s="24" t="n">
        <f aca="false">N853^2</f>
        <v>0.0494708015199215</v>
      </c>
    </row>
    <row r="854" customFormat="false" ht="15" hidden="false" customHeight="false" outlineLevel="0" collapsed="false">
      <c r="A854" s="5" t="s">
        <v>1106</v>
      </c>
      <c r="B854" s="5" t="s">
        <v>222</v>
      </c>
      <c r="C854" s="5" t="s">
        <v>59</v>
      </c>
      <c r="D854" s="5" t="s">
        <v>62</v>
      </c>
      <c r="E854" s="5" t="s">
        <v>73</v>
      </c>
      <c r="F854" s="26" t="n">
        <v>28.53</v>
      </c>
      <c r="G854" s="26" t="n">
        <v>29.29</v>
      </c>
      <c r="H854" s="30" t="n">
        <v>0.93</v>
      </c>
      <c r="I854" s="28" t="n">
        <f aca="false">H854*G854/3.6</f>
        <v>7.56658333333333</v>
      </c>
      <c r="J854" s="30" t="n">
        <v>5.64</v>
      </c>
      <c r="K854" s="30" t="n">
        <v>0.86</v>
      </c>
      <c r="L854" s="30" t="n">
        <v>1.093</v>
      </c>
      <c r="M854" s="30" t="n">
        <v>4.24</v>
      </c>
      <c r="N854" s="25" t="n">
        <v>8.15969992837942</v>
      </c>
      <c r="O854" s="17" t="n">
        <v>0</v>
      </c>
      <c r="P854" s="26" t="n">
        <v>0</v>
      </c>
      <c r="Q854" s="24" t="n">
        <f aca="false">IF(O854=1,1/(1+EXP(-(P854-Inputs!$B$12)/Inputs!$B$13)),0)</f>
        <v>0</v>
      </c>
      <c r="R854" s="24" t="n">
        <f aca="false">N854*O854</f>
        <v>0</v>
      </c>
      <c r="S854" s="12" t="n">
        <f aca="false">N854*Q854</f>
        <v>0</v>
      </c>
      <c r="T854" s="24" t="n">
        <f aca="false">N854^2</f>
        <v>66.5807029211951</v>
      </c>
    </row>
    <row r="855" customFormat="false" ht="15" hidden="false" customHeight="false" outlineLevel="0" collapsed="false">
      <c r="A855" s="5" t="s">
        <v>1107</v>
      </c>
      <c r="B855" s="5" t="s">
        <v>222</v>
      </c>
      <c r="C855" s="5" t="s">
        <v>59</v>
      </c>
      <c r="D855" s="5" t="s">
        <v>62</v>
      </c>
      <c r="E855" s="5" t="s">
        <v>73</v>
      </c>
      <c r="F855" s="26" t="n">
        <v>20.48</v>
      </c>
      <c r="G855" s="26" t="n">
        <v>18.28</v>
      </c>
      <c r="H855" s="30" t="n">
        <v>0.535</v>
      </c>
      <c r="I855" s="28" t="n">
        <f aca="false">H855*G855/3.6</f>
        <v>2.71661111111111</v>
      </c>
      <c r="J855" s="30" t="n">
        <v>5.03</v>
      </c>
      <c r="K855" s="30" t="n">
        <v>1.321</v>
      </c>
      <c r="L855" s="30" t="n">
        <v>2.044</v>
      </c>
      <c r="M855" s="30" t="n">
        <v>6.77</v>
      </c>
      <c r="N855" s="25" t="n">
        <v>0.0555972825908975</v>
      </c>
      <c r="O855" s="17" t="n">
        <v>1</v>
      </c>
      <c r="P855" s="26" t="n">
        <v>18.28</v>
      </c>
      <c r="Q855" s="24" t="n">
        <f aca="false">IF(O855=1,1/(1+EXP(-(P855-Inputs!$B$12)/Inputs!$B$13)),0)</f>
        <v>0.0215173628824823</v>
      </c>
      <c r="R855" s="24" t="n">
        <f aca="false">N855*O855</f>
        <v>0.0555972825908975</v>
      </c>
      <c r="S855" s="12" t="n">
        <f aca="false">N855*Q855</f>
        <v>0.00119630690478826</v>
      </c>
      <c r="T855" s="24" t="n">
        <f aca="false">N855^2</f>
        <v>0.00309105783149212</v>
      </c>
    </row>
    <row r="856" customFormat="false" ht="15" hidden="false" customHeight="false" outlineLevel="0" collapsed="false">
      <c r="A856" s="5" t="s">
        <v>1108</v>
      </c>
      <c r="B856" s="5" t="s">
        <v>223</v>
      </c>
      <c r="C856" s="5" t="s">
        <v>59</v>
      </c>
      <c r="D856" s="5" t="s">
        <v>64</v>
      </c>
      <c r="E856" s="5" t="s">
        <v>68</v>
      </c>
      <c r="F856" s="26" t="n">
        <v>37.47</v>
      </c>
      <c r="G856" s="26" t="n">
        <v>43.51</v>
      </c>
      <c r="H856" s="30" t="n">
        <v>3.641</v>
      </c>
      <c r="I856" s="28" t="n">
        <f aca="false">H856*G856/3.6</f>
        <v>44.0055305555556</v>
      </c>
      <c r="J856" s="30" t="n">
        <v>4.7</v>
      </c>
      <c r="K856" s="30" t="n">
        <v>2.482</v>
      </c>
      <c r="L856" s="30" t="n">
        <v>3.219</v>
      </c>
      <c r="M856" s="30" t="n">
        <v>5.1</v>
      </c>
      <c r="N856" s="25" t="n">
        <v>0.00182082087728307</v>
      </c>
      <c r="O856" s="17" t="n">
        <v>0</v>
      </c>
      <c r="P856" s="26" t="n">
        <v>0</v>
      </c>
      <c r="Q856" s="24" t="n">
        <f aca="false">IF(O856=1,1/(1+EXP(-(P856-Inputs!$B$12)/Inputs!$B$13)),0)</f>
        <v>0</v>
      </c>
      <c r="R856" s="24" t="n">
        <f aca="false">N856*O856</f>
        <v>0</v>
      </c>
      <c r="S856" s="12" t="n">
        <f aca="false">N856*Q856</f>
        <v>0</v>
      </c>
      <c r="T856" s="24" t="n">
        <f aca="false">N856^2</f>
        <v>3.31538866714987E-006</v>
      </c>
    </row>
    <row r="857" customFormat="false" ht="15" hidden="false" customHeight="false" outlineLevel="0" collapsed="false">
      <c r="A857" s="5" t="s">
        <v>1109</v>
      </c>
      <c r="B857" s="5" t="s">
        <v>223</v>
      </c>
      <c r="C857" s="5" t="s">
        <v>59</v>
      </c>
      <c r="D857" s="5" t="s">
        <v>64</v>
      </c>
      <c r="E857" s="5" t="s">
        <v>68</v>
      </c>
      <c r="F857" s="26" t="n">
        <v>46.47</v>
      </c>
      <c r="G857" s="26" t="n">
        <v>46.71</v>
      </c>
      <c r="H857" s="30" t="n">
        <v>4.875</v>
      </c>
      <c r="I857" s="28" t="n">
        <f aca="false">H857*G857/3.6</f>
        <v>63.253125</v>
      </c>
      <c r="J857" s="30" t="n">
        <v>5.68</v>
      </c>
      <c r="K857" s="30" t="n">
        <v>1.602</v>
      </c>
      <c r="L857" s="30" t="n">
        <v>1.854</v>
      </c>
      <c r="M857" s="30" t="n">
        <v>4.25</v>
      </c>
      <c r="N857" s="25" t="n">
        <v>0.195891758756217</v>
      </c>
      <c r="O857" s="17" t="n">
        <v>0</v>
      </c>
      <c r="P857" s="26" t="n">
        <v>0</v>
      </c>
      <c r="Q857" s="24" t="n">
        <f aca="false">IF(O857=1,1/(1+EXP(-(P857-Inputs!$B$12)/Inputs!$B$13)),0)</f>
        <v>0</v>
      </c>
      <c r="R857" s="24" t="n">
        <f aca="false">N857*O857</f>
        <v>0</v>
      </c>
      <c r="S857" s="12" t="n">
        <f aca="false">N857*Q857</f>
        <v>0</v>
      </c>
      <c r="T857" s="24" t="n">
        <f aca="false">N857^2</f>
        <v>0.038373581148604</v>
      </c>
    </row>
    <row r="858" customFormat="false" ht="15" hidden="false" customHeight="false" outlineLevel="0" collapsed="false">
      <c r="A858" s="5" t="s">
        <v>1110</v>
      </c>
      <c r="B858" s="5" t="s">
        <v>223</v>
      </c>
      <c r="C858" s="5" t="s">
        <v>59</v>
      </c>
      <c r="D858" s="5" t="s">
        <v>64</v>
      </c>
      <c r="E858" s="5" t="s">
        <v>68</v>
      </c>
      <c r="F858" s="26" t="n">
        <v>52.09</v>
      </c>
      <c r="G858" s="26" t="n">
        <v>52.66</v>
      </c>
      <c r="H858" s="30" t="n">
        <v>4.666</v>
      </c>
      <c r="I858" s="28" t="n">
        <f aca="false">H858*G858/3.6</f>
        <v>68.2532111111111</v>
      </c>
      <c r="J858" s="30" t="n">
        <v>4.21</v>
      </c>
      <c r="K858" s="30" t="n">
        <v>1.631</v>
      </c>
      <c r="L858" s="30" t="n">
        <v>1.415</v>
      </c>
      <c r="M858" s="30" t="n">
        <v>5.27</v>
      </c>
      <c r="N858" s="25" t="n">
        <v>0.322252797627345</v>
      </c>
      <c r="O858" s="17" t="n">
        <v>0</v>
      </c>
      <c r="P858" s="26" t="n">
        <v>0</v>
      </c>
      <c r="Q858" s="24" t="n">
        <f aca="false">IF(O858=1,1/(1+EXP(-(P858-Inputs!$B$12)/Inputs!$B$13)),0)</f>
        <v>0</v>
      </c>
      <c r="R858" s="24" t="n">
        <f aca="false">N858*O858</f>
        <v>0</v>
      </c>
      <c r="S858" s="12" t="n">
        <f aca="false">N858*Q858</f>
        <v>0</v>
      </c>
      <c r="T858" s="24" t="n">
        <f aca="false">N858^2</f>
        <v>0.103846865578651</v>
      </c>
    </row>
    <row r="859" customFormat="false" ht="15" hidden="false" customHeight="false" outlineLevel="0" collapsed="false">
      <c r="A859" s="5" t="s">
        <v>1111</v>
      </c>
      <c r="B859" s="5" t="s">
        <v>223</v>
      </c>
      <c r="C859" s="5" t="s">
        <v>59</v>
      </c>
      <c r="D859" s="5" t="s">
        <v>64</v>
      </c>
      <c r="E859" s="5" t="s">
        <v>68</v>
      </c>
      <c r="F859" s="26" t="n">
        <v>51.89</v>
      </c>
      <c r="G859" s="26" t="n">
        <v>52.4</v>
      </c>
      <c r="H859" s="30" t="n">
        <v>3.076</v>
      </c>
      <c r="I859" s="28" t="n">
        <f aca="false">H859*G859/3.6</f>
        <v>44.7728888888889</v>
      </c>
      <c r="J859" s="30" t="n">
        <v>5.54</v>
      </c>
      <c r="K859" s="30" t="n">
        <v>1.499</v>
      </c>
      <c r="L859" s="30" t="n">
        <v>1.368</v>
      </c>
      <c r="M859" s="30" t="n">
        <v>6.19</v>
      </c>
      <c r="N859" s="25" t="n">
        <v>0.370381987695462</v>
      </c>
      <c r="O859" s="17" t="n">
        <v>0</v>
      </c>
      <c r="P859" s="26" t="n">
        <v>0</v>
      </c>
      <c r="Q859" s="24" t="n">
        <f aca="false">IF(O859=1,1/(1+EXP(-(P859-Inputs!$B$12)/Inputs!$B$13)),0)</f>
        <v>0</v>
      </c>
      <c r="R859" s="24" t="n">
        <f aca="false">N859*O859</f>
        <v>0</v>
      </c>
      <c r="S859" s="12" t="n">
        <f aca="false">N859*Q859</f>
        <v>0</v>
      </c>
      <c r="T859" s="24" t="n">
        <f aca="false">N859^2</f>
        <v>0.137182816809242</v>
      </c>
    </row>
    <row r="860" customFormat="false" ht="15" hidden="false" customHeight="false" outlineLevel="0" collapsed="false">
      <c r="A860" s="5" t="s">
        <v>1112</v>
      </c>
      <c r="B860" s="5" t="s">
        <v>223</v>
      </c>
      <c r="C860" s="5" t="s">
        <v>59</v>
      </c>
      <c r="D860" s="5" t="s">
        <v>64</v>
      </c>
      <c r="E860" s="5" t="s">
        <v>68</v>
      </c>
      <c r="F860" s="26" t="n">
        <v>39.9</v>
      </c>
      <c r="G860" s="26" t="n">
        <v>40.44</v>
      </c>
      <c r="H860" s="30" t="n">
        <v>3.63</v>
      </c>
      <c r="I860" s="28" t="n">
        <f aca="false">H860*G860/3.6</f>
        <v>40.777</v>
      </c>
      <c r="J860" s="30" t="n">
        <v>3.08</v>
      </c>
      <c r="K860" s="30" t="n">
        <v>1.325</v>
      </c>
      <c r="L860" s="30" t="n">
        <v>2.442</v>
      </c>
      <c r="M860" s="30" t="n">
        <v>4.73</v>
      </c>
      <c r="N860" s="25" t="n">
        <v>0.0402879225911129</v>
      </c>
      <c r="O860" s="17" t="n">
        <v>0</v>
      </c>
      <c r="P860" s="26" t="n">
        <v>0</v>
      </c>
      <c r="Q860" s="24" t="n">
        <f aca="false">IF(O860=1,1/(1+EXP(-(P860-Inputs!$B$12)/Inputs!$B$13)),0)</f>
        <v>0</v>
      </c>
      <c r="R860" s="24" t="n">
        <f aca="false">N860*O860</f>
        <v>0</v>
      </c>
      <c r="S860" s="12" t="n">
        <f aca="false">N860*Q860</f>
        <v>0</v>
      </c>
      <c r="T860" s="24" t="n">
        <f aca="false">N860^2</f>
        <v>0.0016231167067075</v>
      </c>
    </row>
    <row r="861" customFormat="false" ht="15" hidden="false" customHeight="false" outlineLevel="0" collapsed="false">
      <c r="A861" s="5" t="s">
        <v>1113</v>
      </c>
      <c r="B861" s="5" t="s">
        <v>223</v>
      </c>
      <c r="C861" s="5" t="s">
        <v>59</v>
      </c>
      <c r="D861" s="5" t="s">
        <v>64</v>
      </c>
      <c r="E861" s="5" t="s">
        <v>68</v>
      </c>
      <c r="F861" s="26" t="n">
        <v>51.5</v>
      </c>
      <c r="G861" s="26" t="n">
        <v>50.36</v>
      </c>
      <c r="H861" s="30" t="n">
        <v>4.233</v>
      </c>
      <c r="I861" s="28" t="n">
        <f aca="false">H861*G861/3.6</f>
        <v>59.2149666666667</v>
      </c>
      <c r="J861" s="30" t="n">
        <v>3.27</v>
      </c>
      <c r="K861" s="30" t="n">
        <v>0.774</v>
      </c>
      <c r="L861" s="30" t="n">
        <v>1.196</v>
      </c>
      <c r="M861" s="30" t="n">
        <v>4.59</v>
      </c>
      <c r="N861" s="25" t="n">
        <v>2.40248148896935</v>
      </c>
      <c r="O861" s="17" t="n">
        <v>0</v>
      </c>
      <c r="P861" s="26" t="n">
        <v>0</v>
      </c>
      <c r="Q861" s="24" t="n">
        <f aca="false">IF(O861=1,1/(1+EXP(-(P861-Inputs!$B$12)/Inputs!$B$13)),0)</f>
        <v>0</v>
      </c>
      <c r="R861" s="24" t="n">
        <f aca="false">N861*O861</f>
        <v>0</v>
      </c>
      <c r="S861" s="12" t="n">
        <f aca="false">N861*Q861</f>
        <v>0</v>
      </c>
      <c r="T861" s="24" t="n">
        <f aca="false">N861^2</f>
        <v>5.77191730484038</v>
      </c>
    </row>
    <row r="862" customFormat="false" ht="15" hidden="false" customHeight="false" outlineLevel="0" collapsed="false">
      <c r="A862" s="5" t="s">
        <v>1114</v>
      </c>
      <c r="B862" s="5" t="s">
        <v>223</v>
      </c>
      <c r="C862" s="5" t="s">
        <v>59</v>
      </c>
      <c r="D862" s="5" t="s">
        <v>64</v>
      </c>
      <c r="E862" s="5" t="s">
        <v>68</v>
      </c>
      <c r="F862" s="26" t="n">
        <v>35.14</v>
      </c>
      <c r="G862" s="26" t="n">
        <v>37.63</v>
      </c>
      <c r="H862" s="30" t="n">
        <v>3.501</v>
      </c>
      <c r="I862" s="28" t="n">
        <f aca="false">H862*G862/3.6</f>
        <v>36.595175</v>
      </c>
      <c r="J862" s="30" t="n">
        <v>3.56</v>
      </c>
      <c r="K862" s="30" t="n">
        <v>2.365</v>
      </c>
      <c r="L862" s="30" t="n">
        <v>1.547</v>
      </c>
      <c r="M862" s="30" t="n">
        <v>7.76</v>
      </c>
      <c r="N862" s="25" t="n">
        <v>0.0412267658265582</v>
      </c>
      <c r="O862" s="17" t="n">
        <v>0</v>
      </c>
      <c r="P862" s="26" t="n">
        <v>0</v>
      </c>
      <c r="Q862" s="24" t="n">
        <f aca="false">IF(O862=1,1/(1+EXP(-(P862-Inputs!$B$12)/Inputs!$B$13)),0)</f>
        <v>0</v>
      </c>
      <c r="R862" s="24" t="n">
        <f aca="false">N862*O862</f>
        <v>0</v>
      </c>
      <c r="S862" s="12" t="n">
        <f aca="false">N862*Q862</f>
        <v>0</v>
      </c>
      <c r="T862" s="24" t="n">
        <f aca="false">N862^2</f>
        <v>0.00169964622051787</v>
      </c>
    </row>
    <row r="863" customFormat="false" ht="15" hidden="false" customHeight="false" outlineLevel="0" collapsed="false">
      <c r="A863" s="5" t="s">
        <v>1115</v>
      </c>
      <c r="B863" s="5" t="s">
        <v>223</v>
      </c>
      <c r="C863" s="5" t="s">
        <v>59</v>
      </c>
      <c r="D863" s="5" t="s">
        <v>64</v>
      </c>
      <c r="E863" s="5" t="s">
        <v>68</v>
      </c>
      <c r="F863" s="26" t="n">
        <v>54.28</v>
      </c>
      <c r="G863" s="26" t="n">
        <v>56.48</v>
      </c>
      <c r="H863" s="30" t="n">
        <v>4.191</v>
      </c>
      <c r="I863" s="28" t="n">
        <f aca="false">H863*G863/3.6</f>
        <v>65.7521333333333</v>
      </c>
      <c r="J863" s="30" t="n">
        <v>3.41</v>
      </c>
      <c r="K863" s="30" t="n">
        <v>1.616</v>
      </c>
      <c r="L863" s="30" t="n">
        <v>1.646</v>
      </c>
      <c r="M863" s="30" t="n">
        <v>4.48</v>
      </c>
      <c r="N863" s="25" t="n">
        <v>0.192366390270182</v>
      </c>
      <c r="O863" s="17" t="n">
        <v>0</v>
      </c>
      <c r="P863" s="26" t="n">
        <v>0</v>
      </c>
      <c r="Q863" s="24" t="n">
        <f aca="false">IF(O863=1,1/(1+EXP(-(P863-Inputs!$B$12)/Inputs!$B$13)),0)</f>
        <v>0</v>
      </c>
      <c r="R863" s="24" t="n">
        <f aca="false">N863*O863</f>
        <v>0</v>
      </c>
      <c r="S863" s="12" t="n">
        <f aca="false">N863*Q863</f>
        <v>0</v>
      </c>
      <c r="T863" s="24" t="n">
        <f aca="false">N863^2</f>
        <v>0.03700482810558</v>
      </c>
    </row>
    <row r="864" customFormat="false" ht="15" hidden="false" customHeight="false" outlineLevel="0" collapsed="false">
      <c r="A864" s="5" t="s">
        <v>1116</v>
      </c>
      <c r="B864" s="5" t="s">
        <v>223</v>
      </c>
      <c r="C864" s="5" t="s">
        <v>59</v>
      </c>
      <c r="D864" s="5" t="s">
        <v>64</v>
      </c>
      <c r="E864" s="5" t="s">
        <v>68</v>
      </c>
      <c r="F864" s="26" t="n">
        <v>38.14</v>
      </c>
      <c r="G864" s="26" t="n">
        <v>39.47</v>
      </c>
      <c r="H864" s="30" t="n">
        <v>4.028</v>
      </c>
      <c r="I864" s="28" t="n">
        <f aca="false">H864*G864/3.6</f>
        <v>44.1625444444444</v>
      </c>
      <c r="J864" s="30" t="n">
        <v>4.28</v>
      </c>
      <c r="K864" s="30" t="n">
        <v>0.963</v>
      </c>
      <c r="L864" s="30" t="n">
        <v>2.779</v>
      </c>
      <c r="M864" s="30" t="n">
        <v>4.62</v>
      </c>
      <c r="N864" s="25" t="n">
        <v>0.0394815325282057</v>
      </c>
      <c r="O864" s="17" t="n">
        <v>0</v>
      </c>
      <c r="P864" s="26" t="n">
        <v>0</v>
      </c>
      <c r="Q864" s="24" t="n">
        <f aca="false">IF(O864=1,1/(1+EXP(-(P864-Inputs!$B$12)/Inputs!$B$13)),0)</f>
        <v>0</v>
      </c>
      <c r="R864" s="24" t="n">
        <f aca="false">N864*O864</f>
        <v>0</v>
      </c>
      <c r="S864" s="12" t="n">
        <f aca="false">N864*Q864</f>
        <v>0</v>
      </c>
      <c r="T864" s="24" t="n">
        <f aca="false">N864^2</f>
        <v>0.00155879141077577</v>
      </c>
    </row>
    <row r="865" customFormat="false" ht="15" hidden="false" customHeight="false" outlineLevel="0" collapsed="false">
      <c r="A865" s="5" t="s">
        <v>1117</v>
      </c>
      <c r="B865" s="5" t="s">
        <v>223</v>
      </c>
      <c r="C865" s="5" t="s">
        <v>59</v>
      </c>
      <c r="D865" s="5" t="s">
        <v>64</v>
      </c>
      <c r="E865" s="5" t="s">
        <v>68</v>
      </c>
      <c r="F865" s="26" t="n">
        <v>38.95</v>
      </c>
      <c r="G865" s="26" t="n">
        <v>36.24</v>
      </c>
      <c r="H865" s="30" t="n">
        <v>3.085</v>
      </c>
      <c r="I865" s="28" t="n">
        <f aca="false">H865*G865/3.6</f>
        <v>31.0556666666667</v>
      </c>
      <c r="J865" s="30" t="n">
        <v>5.19</v>
      </c>
      <c r="K865" s="30" t="n">
        <v>0.583</v>
      </c>
      <c r="L865" s="30" t="n">
        <v>2.139</v>
      </c>
      <c r="M865" s="30" t="n">
        <v>3.54</v>
      </c>
      <c r="N865" s="25" t="n">
        <v>1.41235292752753</v>
      </c>
      <c r="O865" s="17" t="n">
        <v>0</v>
      </c>
      <c r="P865" s="26" t="n">
        <v>0</v>
      </c>
      <c r="Q865" s="24" t="n">
        <f aca="false">IF(O865=1,1/(1+EXP(-(P865-Inputs!$B$12)/Inputs!$B$13)),0)</f>
        <v>0</v>
      </c>
      <c r="R865" s="24" t="n">
        <f aca="false">N865*O865</f>
        <v>0</v>
      </c>
      <c r="S865" s="12" t="n">
        <f aca="false">N865*Q865</f>
        <v>0</v>
      </c>
      <c r="T865" s="24" t="n">
        <f aca="false">N865^2</f>
        <v>1.99474079189558</v>
      </c>
    </row>
    <row r="866" customFormat="false" ht="15" hidden="false" customHeight="false" outlineLevel="0" collapsed="false">
      <c r="A866" s="5" t="s">
        <v>1118</v>
      </c>
      <c r="B866" s="5" t="s">
        <v>224</v>
      </c>
      <c r="C866" s="5" t="s">
        <v>59</v>
      </c>
      <c r="D866" s="5" t="s">
        <v>64</v>
      </c>
      <c r="E866" s="5" t="s">
        <v>70</v>
      </c>
      <c r="F866" s="26" t="n">
        <v>37.49</v>
      </c>
      <c r="G866" s="26" t="n">
        <v>37.65</v>
      </c>
      <c r="H866" s="30" t="n">
        <v>2.165</v>
      </c>
      <c r="I866" s="28" t="n">
        <f aca="false">H866*G866/3.6</f>
        <v>22.6422916666667</v>
      </c>
      <c r="J866" s="30" t="n">
        <v>5.47</v>
      </c>
      <c r="K866" s="30" t="n">
        <v>1.216</v>
      </c>
      <c r="L866" s="30" t="n">
        <v>1.328</v>
      </c>
      <c r="M866" s="30" t="n">
        <v>4.01</v>
      </c>
      <c r="N866" s="25" t="n">
        <v>0.961847314316022</v>
      </c>
      <c r="O866" s="17" t="n">
        <v>0</v>
      </c>
      <c r="P866" s="26" t="n">
        <v>0</v>
      </c>
      <c r="Q866" s="24" t="n">
        <f aca="false">IF(O866=1,1/(1+EXP(-(P866-Inputs!$B$12)/Inputs!$B$13)),0)</f>
        <v>0</v>
      </c>
      <c r="R866" s="24" t="n">
        <f aca="false">N866*O866</f>
        <v>0</v>
      </c>
      <c r="S866" s="12" t="n">
        <f aca="false">N866*Q866</f>
        <v>0</v>
      </c>
      <c r="T866" s="24" t="n">
        <f aca="false">N866^2</f>
        <v>0.925150256056945</v>
      </c>
    </row>
    <row r="867" customFormat="false" ht="15" hidden="false" customHeight="false" outlineLevel="0" collapsed="false">
      <c r="A867" s="5" t="s">
        <v>1119</v>
      </c>
      <c r="B867" s="5" t="s">
        <v>224</v>
      </c>
      <c r="C867" s="5" t="s">
        <v>59</v>
      </c>
      <c r="D867" s="5" t="s">
        <v>64</v>
      </c>
      <c r="E867" s="5" t="s">
        <v>70</v>
      </c>
      <c r="F867" s="26" t="n">
        <v>53.9</v>
      </c>
      <c r="G867" s="26" t="n">
        <v>52.09</v>
      </c>
      <c r="H867" s="30" t="n">
        <v>2.132</v>
      </c>
      <c r="I867" s="28" t="n">
        <f aca="false">H867*G867/3.6</f>
        <v>30.8488555555556</v>
      </c>
      <c r="J867" s="30" t="n">
        <v>5.91</v>
      </c>
      <c r="K867" s="30" t="n">
        <v>4.167</v>
      </c>
      <c r="L867" s="30" t="n">
        <v>1.79</v>
      </c>
      <c r="M867" s="30" t="n">
        <v>6.5</v>
      </c>
      <c r="N867" s="25" t="n">
        <v>0.0120248638682399</v>
      </c>
      <c r="O867" s="17" t="n">
        <v>0</v>
      </c>
      <c r="P867" s="26" t="n">
        <v>0</v>
      </c>
      <c r="Q867" s="24" t="n">
        <f aca="false">IF(O867=1,1/(1+EXP(-(P867-Inputs!$B$12)/Inputs!$B$13)),0)</f>
        <v>0</v>
      </c>
      <c r="R867" s="24" t="n">
        <f aca="false">N867*O867</f>
        <v>0</v>
      </c>
      <c r="S867" s="12" t="n">
        <f aca="false">N867*Q867</f>
        <v>0</v>
      </c>
      <c r="T867" s="24" t="n">
        <f aca="false">N867^2</f>
        <v>0.000144597351049701</v>
      </c>
    </row>
    <row r="868" customFormat="false" ht="15" hidden="false" customHeight="false" outlineLevel="0" collapsed="false">
      <c r="A868" s="5" t="s">
        <v>1120</v>
      </c>
      <c r="B868" s="5" t="s">
        <v>224</v>
      </c>
      <c r="C868" s="5" t="s">
        <v>59</v>
      </c>
      <c r="D868" s="5" t="s">
        <v>64</v>
      </c>
      <c r="E868" s="5" t="s">
        <v>70</v>
      </c>
      <c r="F868" s="26" t="n">
        <v>54.66</v>
      </c>
      <c r="G868" s="26" t="n">
        <v>53.39</v>
      </c>
      <c r="H868" s="30" t="n">
        <v>2.818</v>
      </c>
      <c r="I868" s="28" t="n">
        <f aca="false">H868*G868/3.6</f>
        <v>41.7925055555556</v>
      </c>
      <c r="J868" s="30" t="n">
        <v>5.62</v>
      </c>
      <c r="K868" s="30" t="n">
        <v>1.161</v>
      </c>
      <c r="L868" s="30" t="n">
        <v>1.347</v>
      </c>
      <c r="M868" s="30" t="n">
        <v>5.85</v>
      </c>
      <c r="N868" s="25" t="n">
        <v>1.03450343268257</v>
      </c>
      <c r="O868" s="17" t="n">
        <v>0</v>
      </c>
      <c r="P868" s="26" t="n">
        <v>0</v>
      </c>
      <c r="Q868" s="24" t="n">
        <f aca="false">IF(O868=1,1/(1+EXP(-(P868-Inputs!$B$12)/Inputs!$B$13)),0)</f>
        <v>0</v>
      </c>
      <c r="R868" s="24" t="n">
        <f aca="false">N868*O868</f>
        <v>0</v>
      </c>
      <c r="S868" s="12" t="n">
        <f aca="false">N868*Q868</f>
        <v>0</v>
      </c>
      <c r="T868" s="24" t="n">
        <f aca="false">N868^2</f>
        <v>1.07019735223201</v>
      </c>
    </row>
    <row r="869" customFormat="false" ht="15" hidden="false" customHeight="false" outlineLevel="0" collapsed="false">
      <c r="A869" s="5" t="s">
        <v>1121</v>
      </c>
      <c r="B869" s="5" t="s">
        <v>224</v>
      </c>
      <c r="C869" s="5" t="s">
        <v>59</v>
      </c>
      <c r="D869" s="5" t="s">
        <v>64</v>
      </c>
      <c r="E869" s="5" t="s">
        <v>70</v>
      </c>
      <c r="F869" s="26" t="n">
        <v>49.35</v>
      </c>
      <c r="G869" s="26" t="n">
        <v>44.66</v>
      </c>
      <c r="H869" s="30" t="n">
        <v>2.237</v>
      </c>
      <c r="I869" s="28" t="n">
        <f aca="false">H869*G869/3.6</f>
        <v>27.7512277777778</v>
      </c>
      <c r="J869" s="30" t="n">
        <v>4.59</v>
      </c>
      <c r="K869" s="30" t="n">
        <v>1.105</v>
      </c>
      <c r="L869" s="30" t="n">
        <v>1.147</v>
      </c>
      <c r="M869" s="30" t="n">
        <v>7.3</v>
      </c>
      <c r="N869" s="25" t="n">
        <v>0.660172835997569</v>
      </c>
      <c r="O869" s="17" t="n">
        <v>0</v>
      </c>
      <c r="P869" s="26" t="n">
        <v>0</v>
      </c>
      <c r="Q869" s="24" t="n">
        <f aca="false">IF(O869=1,1/(1+EXP(-(P869-Inputs!$B$12)/Inputs!$B$13)),0)</f>
        <v>0</v>
      </c>
      <c r="R869" s="24" t="n">
        <f aca="false">N869*O869</f>
        <v>0</v>
      </c>
      <c r="S869" s="12" t="n">
        <f aca="false">N869*Q869</f>
        <v>0</v>
      </c>
      <c r="T869" s="24" t="n">
        <f aca="false">N869^2</f>
        <v>0.435828173389073</v>
      </c>
    </row>
    <row r="870" customFormat="false" ht="15" hidden="false" customHeight="false" outlineLevel="0" collapsed="false">
      <c r="A870" s="5" t="s">
        <v>1122</v>
      </c>
      <c r="B870" s="5" t="s">
        <v>224</v>
      </c>
      <c r="C870" s="5" t="s">
        <v>59</v>
      </c>
      <c r="D870" s="5" t="s">
        <v>64</v>
      </c>
      <c r="E870" s="5" t="s">
        <v>70</v>
      </c>
      <c r="F870" s="26" t="n">
        <v>42.96</v>
      </c>
      <c r="G870" s="26" t="n">
        <v>39.69</v>
      </c>
      <c r="H870" s="30" t="n">
        <v>2.207</v>
      </c>
      <c r="I870" s="28" t="n">
        <f aca="false">H870*G870/3.6</f>
        <v>24.332175</v>
      </c>
      <c r="J870" s="30" t="n">
        <v>3.13</v>
      </c>
      <c r="K870" s="30" t="n">
        <v>0.94</v>
      </c>
      <c r="L870" s="30" t="n">
        <v>1.081</v>
      </c>
      <c r="M870" s="30" t="n">
        <v>6.63</v>
      </c>
      <c r="N870" s="25" t="n">
        <v>1.36382717582635</v>
      </c>
      <c r="O870" s="17" t="n">
        <v>0</v>
      </c>
      <c r="P870" s="26" t="n">
        <v>0</v>
      </c>
      <c r="Q870" s="24" t="n">
        <f aca="false">IF(O870=1,1/(1+EXP(-(P870-Inputs!$B$12)/Inputs!$B$13)),0)</f>
        <v>0</v>
      </c>
      <c r="R870" s="24" t="n">
        <f aca="false">N870*O870</f>
        <v>0</v>
      </c>
      <c r="S870" s="12" t="n">
        <f aca="false">N870*Q870</f>
        <v>0</v>
      </c>
      <c r="T870" s="24" t="n">
        <f aca="false">N870^2</f>
        <v>1.86002456552248</v>
      </c>
    </row>
    <row r="871" customFormat="false" ht="15" hidden="false" customHeight="false" outlineLevel="0" collapsed="false">
      <c r="A871" s="5" t="s">
        <v>1123</v>
      </c>
      <c r="B871" s="5" t="s">
        <v>224</v>
      </c>
      <c r="C871" s="5" t="s">
        <v>59</v>
      </c>
      <c r="D871" s="5" t="s">
        <v>64</v>
      </c>
      <c r="E871" s="5" t="s">
        <v>70</v>
      </c>
      <c r="F871" s="26" t="n">
        <v>35.76</v>
      </c>
      <c r="G871" s="26" t="n">
        <v>38.23</v>
      </c>
      <c r="H871" s="30" t="n">
        <v>2.223</v>
      </c>
      <c r="I871" s="28" t="n">
        <f aca="false">H871*G871/3.6</f>
        <v>23.607025</v>
      </c>
      <c r="J871" s="30" t="n">
        <v>4.31</v>
      </c>
      <c r="K871" s="30" t="n">
        <v>1.454</v>
      </c>
      <c r="L871" s="30" t="n">
        <v>1.759</v>
      </c>
      <c r="M871" s="30" t="n">
        <v>5.79</v>
      </c>
      <c r="N871" s="25" t="n">
        <v>0.1316101941084</v>
      </c>
      <c r="O871" s="17" t="n">
        <v>0</v>
      </c>
      <c r="P871" s="26" t="n">
        <v>0</v>
      </c>
      <c r="Q871" s="24" t="n">
        <f aca="false">IF(O871=1,1/(1+EXP(-(P871-Inputs!$B$12)/Inputs!$B$13)),0)</f>
        <v>0</v>
      </c>
      <c r="R871" s="24" t="n">
        <f aca="false">N871*O871</f>
        <v>0</v>
      </c>
      <c r="S871" s="12" t="n">
        <f aca="false">N871*Q871</f>
        <v>0</v>
      </c>
      <c r="T871" s="24" t="n">
        <f aca="false">N871^2</f>
        <v>0.0173212431932508</v>
      </c>
    </row>
    <row r="872" customFormat="false" ht="15" hidden="false" customHeight="false" outlineLevel="0" collapsed="false">
      <c r="A872" s="5" t="s">
        <v>1124</v>
      </c>
      <c r="B872" s="5" t="s">
        <v>224</v>
      </c>
      <c r="C872" s="5" t="s">
        <v>59</v>
      </c>
      <c r="D872" s="5" t="s">
        <v>64</v>
      </c>
      <c r="E872" s="5" t="s">
        <v>70</v>
      </c>
      <c r="F872" s="26" t="n">
        <v>36.71</v>
      </c>
      <c r="G872" s="26" t="n">
        <v>35.2</v>
      </c>
      <c r="H872" s="30" t="n">
        <v>2.098</v>
      </c>
      <c r="I872" s="28" t="n">
        <f aca="false">H872*G872/3.6</f>
        <v>20.5137777777778</v>
      </c>
      <c r="J872" s="30" t="n">
        <v>2.72</v>
      </c>
      <c r="K872" s="30" t="n">
        <v>0.361</v>
      </c>
      <c r="L872" s="30" t="n">
        <v>1.119</v>
      </c>
      <c r="M872" s="30" t="n">
        <v>6.26</v>
      </c>
      <c r="N872" s="25" t="n">
        <v>9.28148454728549</v>
      </c>
      <c r="O872" s="17" t="n">
        <v>0</v>
      </c>
      <c r="P872" s="26" t="n">
        <v>0</v>
      </c>
      <c r="Q872" s="24" t="n">
        <f aca="false">IF(O872=1,1/(1+EXP(-(P872-Inputs!$B$12)/Inputs!$B$13)),0)</f>
        <v>0</v>
      </c>
      <c r="R872" s="24" t="n">
        <f aca="false">N872*O872</f>
        <v>0</v>
      </c>
      <c r="S872" s="12" t="n">
        <f aca="false">N872*Q872</f>
        <v>0</v>
      </c>
      <c r="T872" s="24" t="n">
        <f aca="false">N872^2</f>
        <v>86.1459554014993</v>
      </c>
    </row>
    <row r="873" customFormat="false" ht="15" hidden="false" customHeight="false" outlineLevel="0" collapsed="false">
      <c r="A873" s="5" t="s">
        <v>1125</v>
      </c>
      <c r="B873" s="5" t="s">
        <v>224</v>
      </c>
      <c r="C873" s="5" t="s">
        <v>59</v>
      </c>
      <c r="D873" s="5" t="s">
        <v>64</v>
      </c>
      <c r="E873" s="5" t="s">
        <v>70</v>
      </c>
      <c r="F873" s="26" t="n">
        <v>37.84</v>
      </c>
      <c r="G873" s="26" t="n">
        <v>40.39</v>
      </c>
      <c r="H873" s="30" t="n">
        <v>2.048</v>
      </c>
      <c r="I873" s="28" t="n">
        <f aca="false">H873*G873/3.6</f>
        <v>22.9774222222222</v>
      </c>
      <c r="J873" s="30" t="n">
        <v>4.2</v>
      </c>
      <c r="K873" s="30" t="n">
        <v>0.792</v>
      </c>
      <c r="L873" s="30" t="n">
        <v>2.383</v>
      </c>
      <c r="M873" s="30" t="n">
        <v>7.38</v>
      </c>
      <c r="N873" s="25" t="n">
        <v>0.0497606401306363</v>
      </c>
      <c r="O873" s="17" t="n">
        <v>0</v>
      </c>
      <c r="P873" s="26" t="n">
        <v>0</v>
      </c>
      <c r="Q873" s="24" t="n">
        <f aca="false">IF(O873=1,1/(1+EXP(-(P873-Inputs!$B$12)/Inputs!$B$13)),0)</f>
        <v>0</v>
      </c>
      <c r="R873" s="24" t="n">
        <f aca="false">N873*O873</f>
        <v>0</v>
      </c>
      <c r="S873" s="12" t="n">
        <f aca="false">N873*Q873</f>
        <v>0</v>
      </c>
      <c r="T873" s="24" t="n">
        <f aca="false">N873^2</f>
        <v>0.00247612130621069</v>
      </c>
    </row>
    <row r="874" customFormat="false" ht="15" hidden="false" customHeight="false" outlineLevel="0" collapsed="false">
      <c r="A874" s="5" t="s">
        <v>1126</v>
      </c>
      <c r="B874" s="5" t="s">
        <v>224</v>
      </c>
      <c r="C874" s="5" t="s">
        <v>59</v>
      </c>
      <c r="D874" s="5" t="s">
        <v>64</v>
      </c>
      <c r="E874" s="5" t="s">
        <v>70</v>
      </c>
      <c r="F874" s="26" t="n">
        <v>48.37</v>
      </c>
      <c r="G874" s="26" t="n">
        <v>46.61</v>
      </c>
      <c r="H874" s="30" t="n">
        <v>2.199</v>
      </c>
      <c r="I874" s="28" t="n">
        <f aca="false">H874*G874/3.6</f>
        <v>28.4709416666667</v>
      </c>
      <c r="J874" s="30" t="n">
        <v>3.65</v>
      </c>
      <c r="K874" s="30" t="n">
        <v>1.655</v>
      </c>
      <c r="L874" s="30" t="n">
        <v>3.419</v>
      </c>
      <c r="M874" s="30" t="n">
        <v>5.11</v>
      </c>
      <c r="N874" s="25" t="n">
        <v>0.00264146730243424</v>
      </c>
      <c r="O874" s="17" t="n">
        <v>0</v>
      </c>
      <c r="P874" s="26" t="n">
        <v>0</v>
      </c>
      <c r="Q874" s="24" t="n">
        <f aca="false">IF(O874=1,1/(1+EXP(-(P874-Inputs!$B$12)/Inputs!$B$13)),0)</f>
        <v>0</v>
      </c>
      <c r="R874" s="24" t="n">
        <f aca="false">N874*O874</f>
        <v>0</v>
      </c>
      <c r="S874" s="12" t="n">
        <f aca="false">N874*Q874</f>
        <v>0</v>
      </c>
      <c r="T874" s="24" t="n">
        <f aca="false">N874^2</f>
        <v>6.97734950982923E-006</v>
      </c>
    </row>
    <row r="875" customFormat="false" ht="15" hidden="false" customHeight="false" outlineLevel="0" collapsed="false">
      <c r="A875" s="5" t="s">
        <v>1127</v>
      </c>
      <c r="B875" s="5" t="s">
        <v>224</v>
      </c>
      <c r="C875" s="5" t="s">
        <v>59</v>
      </c>
      <c r="D875" s="5" t="s">
        <v>64</v>
      </c>
      <c r="E875" s="5" t="s">
        <v>70</v>
      </c>
      <c r="F875" s="26" t="n">
        <v>50.98</v>
      </c>
      <c r="G875" s="26" t="n">
        <v>47.02</v>
      </c>
      <c r="H875" s="30" t="n">
        <v>2.124</v>
      </c>
      <c r="I875" s="28" t="n">
        <f aca="false">H875*G875/3.6</f>
        <v>27.7418</v>
      </c>
      <c r="J875" s="30" t="n">
        <v>4.76</v>
      </c>
      <c r="K875" s="30" t="n">
        <v>0.59</v>
      </c>
      <c r="L875" s="30" t="n">
        <v>1.185</v>
      </c>
      <c r="M875" s="30" t="n">
        <v>4.12</v>
      </c>
      <c r="N875" s="25" t="n">
        <v>5.00455906881249</v>
      </c>
      <c r="O875" s="17" t="n">
        <v>0</v>
      </c>
      <c r="P875" s="26" t="n">
        <v>0</v>
      </c>
      <c r="Q875" s="24" t="n">
        <f aca="false">IF(O875=1,1/(1+EXP(-(P875-Inputs!$B$12)/Inputs!$B$13)),0)</f>
        <v>0</v>
      </c>
      <c r="R875" s="24" t="n">
        <f aca="false">N875*O875</f>
        <v>0</v>
      </c>
      <c r="S875" s="12" t="n">
        <f aca="false">N875*Q875</f>
        <v>0</v>
      </c>
      <c r="T875" s="24" t="n">
        <f aca="false">N875^2</f>
        <v>25.0456114732333</v>
      </c>
    </row>
    <row r="876" customFormat="false" ht="15" hidden="false" customHeight="false" outlineLevel="0" collapsed="false">
      <c r="A876" s="5" t="s">
        <v>1128</v>
      </c>
      <c r="B876" s="5" t="s">
        <v>225</v>
      </c>
      <c r="C876" s="5" t="s">
        <v>59</v>
      </c>
      <c r="D876" s="5" t="s">
        <v>64</v>
      </c>
      <c r="E876" s="5" t="s">
        <v>71</v>
      </c>
      <c r="F876" s="26" t="n">
        <v>37.17</v>
      </c>
      <c r="G876" s="26" t="n">
        <v>38.96</v>
      </c>
      <c r="H876" s="30" t="n">
        <v>1.726</v>
      </c>
      <c r="I876" s="28" t="n">
        <f aca="false">H876*G876/3.6</f>
        <v>18.6791555555556</v>
      </c>
      <c r="J876" s="30" t="n">
        <v>2.68</v>
      </c>
      <c r="K876" s="30" t="n">
        <v>0.95</v>
      </c>
      <c r="L876" s="30" t="n">
        <v>1.267</v>
      </c>
      <c r="M876" s="30" t="n">
        <v>5.6</v>
      </c>
      <c r="N876" s="25" t="n">
        <v>1.34509895512389</v>
      </c>
      <c r="O876" s="17" t="n">
        <v>0</v>
      </c>
      <c r="P876" s="26" t="n">
        <v>0</v>
      </c>
      <c r="Q876" s="24" t="n">
        <f aca="false">IF(O876=1,1/(1+EXP(-(P876-Inputs!$B$12)/Inputs!$B$13)),0)</f>
        <v>0</v>
      </c>
      <c r="R876" s="24" t="n">
        <f aca="false">N876*O876</f>
        <v>0</v>
      </c>
      <c r="S876" s="12" t="n">
        <f aca="false">N876*Q876</f>
        <v>0</v>
      </c>
      <c r="T876" s="24" t="n">
        <f aca="false">N876^2</f>
        <v>1.80929119907539</v>
      </c>
    </row>
    <row r="877" customFormat="false" ht="15" hidden="false" customHeight="false" outlineLevel="0" collapsed="false">
      <c r="A877" s="5" t="s">
        <v>1129</v>
      </c>
      <c r="B877" s="5" t="s">
        <v>225</v>
      </c>
      <c r="C877" s="5" t="s">
        <v>59</v>
      </c>
      <c r="D877" s="5" t="s">
        <v>64</v>
      </c>
      <c r="E877" s="5" t="s">
        <v>71</v>
      </c>
      <c r="F877" s="26" t="n">
        <v>42.57</v>
      </c>
      <c r="G877" s="26" t="n">
        <v>42.74</v>
      </c>
      <c r="H877" s="30" t="n">
        <v>1.55</v>
      </c>
      <c r="I877" s="28" t="n">
        <f aca="false">H877*G877/3.6</f>
        <v>18.4019444444444</v>
      </c>
      <c r="J877" s="30" t="n">
        <v>5.91</v>
      </c>
      <c r="K877" s="30" t="n">
        <v>2.823</v>
      </c>
      <c r="L877" s="30" t="n">
        <v>1.523</v>
      </c>
      <c r="M877" s="30" t="n">
        <v>7.91</v>
      </c>
      <c r="N877" s="25" t="n">
        <v>0.0246330898043967</v>
      </c>
      <c r="O877" s="17" t="n">
        <v>0</v>
      </c>
      <c r="P877" s="26" t="n">
        <v>0</v>
      </c>
      <c r="Q877" s="24" t="n">
        <f aca="false">IF(O877=1,1/(1+EXP(-(P877-Inputs!$B$12)/Inputs!$B$13)),0)</f>
        <v>0</v>
      </c>
      <c r="R877" s="24" t="n">
        <f aca="false">N877*O877</f>
        <v>0</v>
      </c>
      <c r="S877" s="12" t="n">
        <f aca="false">N877*Q877</f>
        <v>0</v>
      </c>
      <c r="T877" s="24" t="n">
        <f aca="false">N877^2</f>
        <v>0.000606789113311471</v>
      </c>
    </row>
    <row r="878" customFormat="false" ht="15" hidden="false" customHeight="false" outlineLevel="0" collapsed="false">
      <c r="A878" s="5" t="s">
        <v>1130</v>
      </c>
      <c r="B878" s="5" t="s">
        <v>225</v>
      </c>
      <c r="C878" s="5" t="s">
        <v>59</v>
      </c>
      <c r="D878" s="5" t="s">
        <v>64</v>
      </c>
      <c r="E878" s="5" t="s">
        <v>71</v>
      </c>
      <c r="F878" s="26" t="n">
        <v>44.38</v>
      </c>
      <c r="G878" s="26" t="n">
        <v>46.92</v>
      </c>
      <c r="H878" s="30" t="n">
        <v>1.639</v>
      </c>
      <c r="I878" s="28" t="n">
        <f aca="false">H878*G878/3.6</f>
        <v>21.3616333333333</v>
      </c>
      <c r="J878" s="30" t="n">
        <v>5.9</v>
      </c>
      <c r="K878" s="30" t="n">
        <v>2.883</v>
      </c>
      <c r="L878" s="30" t="n">
        <v>1.309</v>
      </c>
      <c r="M878" s="30" t="n">
        <v>7.53</v>
      </c>
      <c r="N878" s="25" t="n">
        <v>0.0625993131654242</v>
      </c>
      <c r="O878" s="17" t="n">
        <v>0</v>
      </c>
      <c r="P878" s="26" t="n">
        <v>0</v>
      </c>
      <c r="Q878" s="24" t="n">
        <f aca="false">IF(O878=1,1/(1+EXP(-(P878-Inputs!$B$12)/Inputs!$B$13)),0)</f>
        <v>0</v>
      </c>
      <c r="R878" s="24" t="n">
        <f aca="false">N878*O878</f>
        <v>0</v>
      </c>
      <c r="S878" s="12" t="n">
        <f aca="false">N878*Q878</f>
        <v>0</v>
      </c>
      <c r="T878" s="24" t="n">
        <f aca="false">N878^2</f>
        <v>0.00391867400878285</v>
      </c>
    </row>
    <row r="879" customFormat="false" ht="15" hidden="false" customHeight="false" outlineLevel="0" collapsed="false">
      <c r="A879" s="5" t="s">
        <v>1131</v>
      </c>
      <c r="B879" s="5" t="s">
        <v>225</v>
      </c>
      <c r="C879" s="5" t="s">
        <v>59</v>
      </c>
      <c r="D879" s="5" t="s">
        <v>64</v>
      </c>
      <c r="E879" s="5" t="s">
        <v>71</v>
      </c>
      <c r="F879" s="26" t="n">
        <v>41.44</v>
      </c>
      <c r="G879" s="26" t="n">
        <v>43</v>
      </c>
      <c r="H879" s="30" t="n">
        <v>1.715</v>
      </c>
      <c r="I879" s="28" t="n">
        <f aca="false">H879*G879/3.6</f>
        <v>20.4847222222222</v>
      </c>
      <c r="J879" s="30" t="n">
        <v>2.92</v>
      </c>
      <c r="K879" s="30" t="n">
        <v>1.359</v>
      </c>
      <c r="L879" s="30" t="n">
        <v>2.028</v>
      </c>
      <c r="M879" s="30" t="n">
        <v>6.44</v>
      </c>
      <c r="N879" s="25" t="n">
        <v>0.0695282110953552</v>
      </c>
      <c r="O879" s="17" t="n">
        <v>0</v>
      </c>
      <c r="P879" s="26" t="n">
        <v>0</v>
      </c>
      <c r="Q879" s="24" t="n">
        <f aca="false">IF(O879=1,1/(1+EXP(-(P879-Inputs!$B$12)/Inputs!$B$13)),0)</f>
        <v>0</v>
      </c>
      <c r="R879" s="24" t="n">
        <f aca="false">N879*O879</f>
        <v>0</v>
      </c>
      <c r="S879" s="12" t="n">
        <f aca="false">N879*Q879</f>
        <v>0</v>
      </c>
      <c r="T879" s="24" t="n">
        <f aca="false">N879^2</f>
        <v>0.00483417213812027</v>
      </c>
    </row>
    <row r="880" customFormat="false" ht="15" hidden="false" customHeight="false" outlineLevel="0" collapsed="false">
      <c r="A880" s="5" t="s">
        <v>1132</v>
      </c>
      <c r="B880" s="5" t="s">
        <v>225</v>
      </c>
      <c r="C880" s="5" t="s">
        <v>59</v>
      </c>
      <c r="D880" s="5" t="s">
        <v>64</v>
      </c>
      <c r="E880" s="5" t="s">
        <v>71</v>
      </c>
      <c r="F880" s="26" t="n">
        <v>46.23</v>
      </c>
      <c r="G880" s="26" t="n">
        <v>42.76</v>
      </c>
      <c r="H880" s="30" t="n">
        <v>1.56</v>
      </c>
      <c r="I880" s="28" t="n">
        <f aca="false">H880*G880/3.6</f>
        <v>18.5293333333333</v>
      </c>
      <c r="J880" s="30" t="n">
        <v>2.59</v>
      </c>
      <c r="K880" s="30" t="n">
        <v>1.267</v>
      </c>
      <c r="L880" s="30" t="n">
        <v>1.275</v>
      </c>
      <c r="M880" s="30" t="n">
        <v>7.52</v>
      </c>
      <c r="N880" s="25" t="n">
        <v>0.336466884797817</v>
      </c>
      <c r="O880" s="17" t="n">
        <v>0</v>
      </c>
      <c r="P880" s="26" t="n">
        <v>0</v>
      </c>
      <c r="Q880" s="24" t="n">
        <f aca="false">IF(O880=1,1/(1+EXP(-(P880-Inputs!$B$12)/Inputs!$B$13)),0)</f>
        <v>0</v>
      </c>
      <c r="R880" s="24" t="n">
        <f aca="false">N880*O880</f>
        <v>0</v>
      </c>
      <c r="S880" s="12" t="n">
        <f aca="false">N880*Q880</f>
        <v>0</v>
      </c>
      <c r="T880" s="24" t="n">
        <f aca="false">N880^2</f>
        <v>0.113209964565547</v>
      </c>
    </row>
    <row r="881" customFormat="false" ht="15" hidden="false" customHeight="false" outlineLevel="0" collapsed="false">
      <c r="A881" s="5" t="s">
        <v>1133</v>
      </c>
      <c r="B881" s="5" t="s">
        <v>225</v>
      </c>
      <c r="C881" s="5" t="s">
        <v>59</v>
      </c>
      <c r="D881" s="5" t="s">
        <v>64</v>
      </c>
      <c r="E881" s="5" t="s">
        <v>71</v>
      </c>
      <c r="F881" s="26" t="n">
        <v>37.11</v>
      </c>
      <c r="G881" s="26" t="n">
        <v>38.37</v>
      </c>
      <c r="H881" s="30" t="n">
        <v>1.603</v>
      </c>
      <c r="I881" s="28" t="n">
        <f aca="false">H881*G881/3.6</f>
        <v>17.0853083333333</v>
      </c>
      <c r="J881" s="30" t="n">
        <v>4.2</v>
      </c>
      <c r="K881" s="30" t="n">
        <v>3.04</v>
      </c>
      <c r="L881" s="30" t="n">
        <v>3.029</v>
      </c>
      <c r="M881" s="30" t="n">
        <v>5.39</v>
      </c>
      <c r="N881" s="25" t="n">
        <v>0.00165664917910225</v>
      </c>
      <c r="O881" s="17" t="n">
        <v>1</v>
      </c>
      <c r="P881" s="26" t="n">
        <v>38.37</v>
      </c>
      <c r="Q881" s="24" t="n">
        <f aca="false">IF(O881=1,1/(1+EXP(-(P881-Inputs!$B$12)/Inputs!$B$13)),0)</f>
        <v>0.279459779328424</v>
      </c>
      <c r="R881" s="24" t="n">
        <f aca="false">N881*O881</f>
        <v>0.00165664917910225</v>
      </c>
      <c r="S881" s="12" t="n">
        <f aca="false">N881*Q881</f>
        <v>0.000462966814016529</v>
      </c>
      <c r="T881" s="24" t="n">
        <f aca="false">N881^2</f>
        <v>2.74448650262016E-006</v>
      </c>
    </row>
    <row r="882" customFormat="false" ht="15" hidden="false" customHeight="false" outlineLevel="0" collapsed="false">
      <c r="A882" s="5" t="s">
        <v>1134</v>
      </c>
      <c r="B882" s="5" t="s">
        <v>225</v>
      </c>
      <c r="C882" s="5" t="s">
        <v>59</v>
      </c>
      <c r="D882" s="5" t="s">
        <v>64</v>
      </c>
      <c r="E882" s="5" t="s">
        <v>71</v>
      </c>
      <c r="F882" s="26" t="n">
        <v>37.23</v>
      </c>
      <c r="G882" s="26" t="n">
        <v>33.9</v>
      </c>
      <c r="H882" s="30" t="n">
        <v>1.622</v>
      </c>
      <c r="I882" s="28" t="n">
        <f aca="false">H882*G882/3.6</f>
        <v>15.2738333333333</v>
      </c>
      <c r="J882" s="30" t="n">
        <v>4.88</v>
      </c>
      <c r="K882" s="30" t="n">
        <v>0.636</v>
      </c>
      <c r="L882" s="30" t="n">
        <v>1.58</v>
      </c>
      <c r="M882" s="30" t="n">
        <v>6.24</v>
      </c>
      <c r="N882" s="25" t="n">
        <v>0.916789289172342</v>
      </c>
      <c r="O882" s="17" t="n">
        <v>0</v>
      </c>
      <c r="P882" s="26" t="n">
        <v>0</v>
      </c>
      <c r="Q882" s="24" t="n">
        <f aca="false">IF(O882=1,1/(1+EXP(-(P882-Inputs!$B$12)/Inputs!$B$13)),0)</f>
        <v>0</v>
      </c>
      <c r="R882" s="24" t="n">
        <f aca="false">N882*O882</f>
        <v>0</v>
      </c>
      <c r="S882" s="12" t="n">
        <f aca="false">N882*Q882</f>
        <v>0</v>
      </c>
      <c r="T882" s="24" t="n">
        <f aca="false">N882^2</f>
        <v>0.840502600741128</v>
      </c>
    </row>
    <row r="883" customFormat="false" ht="15" hidden="false" customHeight="false" outlineLevel="0" collapsed="false">
      <c r="A883" s="5" t="s">
        <v>1135</v>
      </c>
      <c r="B883" s="5" t="s">
        <v>225</v>
      </c>
      <c r="C883" s="5" t="s">
        <v>59</v>
      </c>
      <c r="D883" s="5" t="s">
        <v>64</v>
      </c>
      <c r="E883" s="5" t="s">
        <v>71</v>
      </c>
      <c r="F883" s="26" t="n">
        <v>42.25</v>
      </c>
      <c r="G883" s="26" t="n">
        <v>41.22</v>
      </c>
      <c r="H883" s="30" t="n">
        <v>1.718</v>
      </c>
      <c r="I883" s="28" t="n">
        <f aca="false">H883*G883/3.6</f>
        <v>19.6711</v>
      </c>
      <c r="J883" s="30" t="n">
        <v>5.71</v>
      </c>
      <c r="K883" s="30" t="n">
        <v>4.134</v>
      </c>
      <c r="L883" s="30" t="n">
        <v>1.141</v>
      </c>
      <c r="M883" s="30" t="n">
        <v>6.64</v>
      </c>
      <c r="N883" s="25" t="n">
        <v>0.0760651463226875</v>
      </c>
      <c r="O883" s="17" t="n">
        <v>0</v>
      </c>
      <c r="P883" s="26" t="n">
        <v>0</v>
      </c>
      <c r="Q883" s="24" t="n">
        <f aca="false">IF(O883=1,1/(1+EXP(-(P883-Inputs!$B$12)/Inputs!$B$13)),0)</f>
        <v>0</v>
      </c>
      <c r="R883" s="24" t="n">
        <f aca="false">N883*O883</f>
        <v>0</v>
      </c>
      <c r="S883" s="12" t="n">
        <f aca="false">N883*Q883</f>
        <v>0</v>
      </c>
      <c r="T883" s="24" t="n">
        <f aca="false">N883^2</f>
        <v>0.00578590648509185</v>
      </c>
    </row>
    <row r="884" customFormat="false" ht="15" hidden="false" customHeight="false" outlineLevel="0" collapsed="false">
      <c r="A884" s="5" t="s">
        <v>1136</v>
      </c>
      <c r="B884" s="5" t="s">
        <v>225</v>
      </c>
      <c r="C884" s="5" t="s">
        <v>59</v>
      </c>
      <c r="D884" s="5" t="s">
        <v>64</v>
      </c>
      <c r="E884" s="5" t="s">
        <v>71</v>
      </c>
      <c r="F884" s="26" t="n">
        <v>47.38</v>
      </c>
      <c r="G884" s="26" t="n">
        <v>48.22</v>
      </c>
      <c r="H884" s="30" t="n">
        <v>1.511</v>
      </c>
      <c r="I884" s="28" t="n">
        <f aca="false">H884*G884/3.6</f>
        <v>20.2390055555556</v>
      </c>
      <c r="J884" s="30" t="n">
        <v>3.51</v>
      </c>
      <c r="K884" s="30" t="n">
        <v>1.345</v>
      </c>
      <c r="L884" s="30" t="n">
        <v>2.758</v>
      </c>
      <c r="M884" s="30" t="n">
        <v>4.6</v>
      </c>
      <c r="N884" s="25" t="n">
        <v>0.0272499528936901</v>
      </c>
      <c r="O884" s="17" t="n">
        <v>0</v>
      </c>
      <c r="P884" s="26" t="n">
        <v>0</v>
      </c>
      <c r="Q884" s="24" t="n">
        <f aca="false">IF(O884=1,1/(1+EXP(-(P884-Inputs!$B$12)/Inputs!$B$13)),0)</f>
        <v>0</v>
      </c>
      <c r="R884" s="24" t="n">
        <f aca="false">N884*O884</f>
        <v>0</v>
      </c>
      <c r="S884" s="12" t="n">
        <f aca="false">N884*Q884</f>
        <v>0</v>
      </c>
      <c r="T884" s="24" t="n">
        <f aca="false">N884^2</f>
        <v>0.000742559932708331</v>
      </c>
    </row>
    <row r="885" customFormat="false" ht="15" hidden="false" customHeight="false" outlineLevel="0" collapsed="false">
      <c r="A885" s="5" t="s">
        <v>1137</v>
      </c>
      <c r="B885" s="5" t="s">
        <v>225</v>
      </c>
      <c r="C885" s="5" t="s">
        <v>59</v>
      </c>
      <c r="D885" s="5" t="s">
        <v>64</v>
      </c>
      <c r="E885" s="5" t="s">
        <v>71</v>
      </c>
      <c r="F885" s="26" t="n">
        <v>39.36</v>
      </c>
      <c r="G885" s="26" t="n">
        <v>38.57</v>
      </c>
      <c r="H885" s="30" t="n">
        <v>1.699</v>
      </c>
      <c r="I885" s="28" t="n">
        <f aca="false">H885*G885/3.6</f>
        <v>18.2028972222222</v>
      </c>
      <c r="J885" s="30" t="n">
        <v>3.57</v>
      </c>
      <c r="K885" s="30" t="n">
        <v>0.981</v>
      </c>
      <c r="L885" s="30" t="n">
        <v>1.508</v>
      </c>
      <c r="M885" s="30" t="n">
        <v>5.77</v>
      </c>
      <c r="N885" s="25" t="n">
        <v>0.592837623137</v>
      </c>
      <c r="O885" s="17" t="n">
        <v>0</v>
      </c>
      <c r="P885" s="26" t="n">
        <v>0</v>
      </c>
      <c r="Q885" s="24" t="n">
        <f aca="false">IF(O885=1,1/(1+EXP(-(P885-Inputs!$B$12)/Inputs!$B$13)),0)</f>
        <v>0</v>
      </c>
      <c r="R885" s="24" t="n">
        <f aca="false">N885*O885</f>
        <v>0</v>
      </c>
      <c r="S885" s="12" t="n">
        <f aca="false">N885*Q885</f>
        <v>0</v>
      </c>
      <c r="T885" s="24" t="n">
        <f aca="false">N885^2</f>
        <v>0.351456447406727</v>
      </c>
    </row>
    <row r="886" customFormat="false" ht="15" hidden="false" customHeight="false" outlineLevel="0" collapsed="false">
      <c r="A886" s="5" t="s">
        <v>1138</v>
      </c>
      <c r="B886" s="5" t="s">
        <v>226</v>
      </c>
      <c r="C886" s="5" t="s">
        <v>59</v>
      </c>
      <c r="D886" s="5" t="s">
        <v>64</v>
      </c>
      <c r="E886" s="5" t="s">
        <v>72</v>
      </c>
      <c r="F886" s="26" t="n">
        <v>41.07</v>
      </c>
      <c r="G886" s="26" t="n">
        <v>41.45</v>
      </c>
      <c r="H886" s="30" t="n">
        <v>1.251</v>
      </c>
      <c r="I886" s="28" t="n">
        <f aca="false">H886*G886/3.6</f>
        <v>14.403875</v>
      </c>
      <c r="J886" s="30" t="n">
        <v>2.53</v>
      </c>
      <c r="K886" s="30" t="n">
        <v>0.67</v>
      </c>
      <c r="L886" s="30" t="n">
        <v>2.124</v>
      </c>
      <c r="M886" s="30" t="n">
        <v>3.73</v>
      </c>
      <c r="N886" s="25" t="n">
        <v>0.697074734940751</v>
      </c>
      <c r="O886" s="17" t="n">
        <v>0</v>
      </c>
      <c r="P886" s="26" t="n">
        <v>0</v>
      </c>
      <c r="Q886" s="24" t="n">
        <f aca="false">IF(O886=1,1/(1+EXP(-(P886-Inputs!$B$12)/Inputs!$B$13)),0)</f>
        <v>0</v>
      </c>
      <c r="R886" s="24" t="n">
        <f aca="false">N886*O886</f>
        <v>0</v>
      </c>
      <c r="S886" s="12" t="n">
        <f aca="false">N886*Q886</f>
        <v>0</v>
      </c>
      <c r="T886" s="24" t="n">
        <f aca="false">N886^2</f>
        <v>0.485913186092718</v>
      </c>
    </row>
    <row r="887" customFormat="false" ht="15" hidden="false" customHeight="false" outlineLevel="0" collapsed="false">
      <c r="A887" s="5" t="s">
        <v>1139</v>
      </c>
      <c r="B887" s="5" t="s">
        <v>226</v>
      </c>
      <c r="C887" s="5" t="s">
        <v>59</v>
      </c>
      <c r="D887" s="5" t="s">
        <v>64</v>
      </c>
      <c r="E887" s="5" t="s">
        <v>72</v>
      </c>
      <c r="F887" s="26" t="n">
        <v>39.49</v>
      </c>
      <c r="G887" s="26" t="n">
        <v>39.04</v>
      </c>
      <c r="H887" s="30" t="n">
        <v>1.034</v>
      </c>
      <c r="I887" s="28" t="n">
        <f aca="false">H887*G887/3.6</f>
        <v>11.2131555555556</v>
      </c>
      <c r="J887" s="30" t="n">
        <v>5.71</v>
      </c>
      <c r="K887" s="30" t="n">
        <v>3.38</v>
      </c>
      <c r="L887" s="30" t="n">
        <v>1.262</v>
      </c>
      <c r="M887" s="30" t="n">
        <v>6.9</v>
      </c>
      <c r="N887" s="25" t="n">
        <v>0.0710427582038775</v>
      </c>
      <c r="O887" s="17" t="n">
        <v>1</v>
      </c>
      <c r="P887" s="26" t="n">
        <v>9.74</v>
      </c>
      <c r="Q887" s="24" t="n">
        <f aca="false">IF(O887=1,1/(1+EXP(-(P887-Inputs!$B$12)/Inputs!$B$13)),0)</f>
        <v>0.00645039348689798</v>
      </c>
      <c r="R887" s="24" t="n">
        <f aca="false">N887*O887</f>
        <v>0.0710427582038775</v>
      </c>
      <c r="S887" s="12" t="n">
        <f aca="false">N887*Q887</f>
        <v>0.00045825374480956</v>
      </c>
      <c r="T887" s="24" t="n">
        <f aca="false">N887^2</f>
        <v>0.0050470734932146</v>
      </c>
    </row>
    <row r="888" customFormat="false" ht="15" hidden="false" customHeight="false" outlineLevel="0" collapsed="false">
      <c r="A888" s="5" t="s">
        <v>1140</v>
      </c>
      <c r="B888" s="5" t="s">
        <v>226</v>
      </c>
      <c r="C888" s="5" t="s">
        <v>59</v>
      </c>
      <c r="D888" s="5" t="s">
        <v>64</v>
      </c>
      <c r="E888" s="5" t="s">
        <v>72</v>
      </c>
      <c r="F888" s="26" t="n">
        <v>42.51</v>
      </c>
      <c r="G888" s="26" t="n">
        <v>42.28</v>
      </c>
      <c r="H888" s="30" t="n">
        <v>1.076</v>
      </c>
      <c r="I888" s="28" t="n">
        <f aca="false">H888*G888/3.6</f>
        <v>12.6370222222222</v>
      </c>
      <c r="J888" s="30" t="n">
        <v>5.13</v>
      </c>
      <c r="K888" s="30" t="n">
        <v>0.883</v>
      </c>
      <c r="L888" s="30" t="n">
        <v>1.681</v>
      </c>
      <c r="M888" s="30" t="n">
        <v>5.38</v>
      </c>
      <c r="N888" s="25" t="n">
        <v>0.455624819870352</v>
      </c>
      <c r="O888" s="17" t="n">
        <v>0</v>
      </c>
      <c r="P888" s="26" t="n">
        <v>0</v>
      </c>
      <c r="Q888" s="24" t="n">
        <f aca="false">IF(O888=1,1/(1+EXP(-(P888-Inputs!$B$12)/Inputs!$B$13)),0)</f>
        <v>0</v>
      </c>
      <c r="R888" s="24" t="n">
        <f aca="false">N888*O888</f>
        <v>0</v>
      </c>
      <c r="S888" s="12" t="n">
        <f aca="false">N888*Q888</f>
        <v>0</v>
      </c>
      <c r="T888" s="24" t="n">
        <f aca="false">N888^2</f>
        <v>0.207593976481891</v>
      </c>
    </row>
    <row r="889" customFormat="false" ht="15" hidden="false" customHeight="false" outlineLevel="0" collapsed="false">
      <c r="A889" s="5" t="s">
        <v>1141</v>
      </c>
      <c r="B889" s="5" t="s">
        <v>226</v>
      </c>
      <c r="C889" s="5" t="s">
        <v>59</v>
      </c>
      <c r="D889" s="5" t="s">
        <v>64</v>
      </c>
      <c r="E889" s="5" t="s">
        <v>72</v>
      </c>
      <c r="F889" s="26" t="n">
        <v>53.62</v>
      </c>
      <c r="G889" s="26" t="n">
        <v>53.94</v>
      </c>
      <c r="H889" s="30" t="n">
        <v>1.035</v>
      </c>
      <c r="I889" s="28" t="n">
        <f aca="false">H889*G889/3.6</f>
        <v>15.50775</v>
      </c>
      <c r="J889" s="30" t="n">
        <v>2.56</v>
      </c>
      <c r="K889" s="30" t="n">
        <v>1.435</v>
      </c>
      <c r="L889" s="30" t="n">
        <v>1.396</v>
      </c>
      <c r="M889" s="30" t="n">
        <v>7.28</v>
      </c>
      <c r="N889" s="25" t="n">
        <v>0.223794792881909</v>
      </c>
      <c r="O889" s="17" t="n">
        <v>0</v>
      </c>
      <c r="P889" s="26" t="n">
        <v>0</v>
      </c>
      <c r="Q889" s="24" t="n">
        <f aca="false">IF(O889=1,1/(1+EXP(-(P889-Inputs!$B$12)/Inputs!$B$13)),0)</f>
        <v>0</v>
      </c>
      <c r="R889" s="24" t="n">
        <f aca="false">N889*O889</f>
        <v>0</v>
      </c>
      <c r="S889" s="12" t="n">
        <f aca="false">N889*Q889</f>
        <v>0</v>
      </c>
      <c r="T889" s="24" t="n">
        <f aca="false">N889^2</f>
        <v>0.0500841093210565</v>
      </c>
    </row>
    <row r="890" customFormat="false" ht="15" hidden="false" customHeight="false" outlineLevel="0" collapsed="false">
      <c r="A890" s="5" t="s">
        <v>1142</v>
      </c>
      <c r="B890" s="5" t="s">
        <v>226</v>
      </c>
      <c r="C890" s="5" t="s">
        <v>59</v>
      </c>
      <c r="D890" s="5" t="s">
        <v>64</v>
      </c>
      <c r="E890" s="5" t="s">
        <v>72</v>
      </c>
      <c r="F890" s="26" t="n">
        <v>35.68</v>
      </c>
      <c r="G890" s="26" t="n">
        <v>30.8</v>
      </c>
      <c r="H890" s="30" t="n">
        <v>1.035</v>
      </c>
      <c r="I890" s="28" t="n">
        <f aca="false">H890*G890/3.6</f>
        <v>8.855</v>
      </c>
      <c r="J890" s="30" t="n">
        <v>4.57</v>
      </c>
      <c r="K890" s="30" t="n">
        <v>1.848</v>
      </c>
      <c r="L890" s="30" t="n">
        <v>1.708</v>
      </c>
      <c r="M890" s="30" t="n">
        <v>7.94</v>
      </c>
      <c r="N890" s="25" t="n">
        <v>0.0307461012061737</v>
      </c>
      <c r="O890" s="17" t="n">
        <v>0</v>
      </c>
      <c r="P890" s="26" t="n">
        <v>0</v>
      </c>
      <c r="Q890" s="24" t="n">
        <f aca="false">IF(O890=1,1/(1+EXP(-(P890-Inputs!$B$12)/Inputs!$B$13)),0)</f>
        <v>0</v>
      </c>
      <c r="R890" s="24" t="n">
        <f aca="false">N890*O890</f>
        <v>0</v>
      </c>
      <c r="S890" s="12" t="n">
        <f aca="false">N890*Q890</f>
        <v>0</v>
      </c>
      <c r="T890" s="24" t="n">
        <f aca="false">N890^2</f>
        <v>0.000945322739380276</v>
      </c>
    </row>
    <row r="891" customFormat="false" ht="15" hidden="false" customHeight="false" outlineLevel="0" collapsed="false">
      <c r="A891" s="5" t="s">
        <v>1143</v>
      </c>
      <c r="B891" s="5" t="s">
        <v>226</v>
      </c>
      <c r="C891" s="5" t="s">
        <v>59</v>
      </c>
      <c r="D891" s="5" t="s">
        <v>64</v>
      </c>
      <c r="E891" s="5" t="s">
        <v>72</v>
      </c>
      <c r="F891" s="26" t="n">
        <v>46.79</v>
      </c>
      <c r="G891" s="26" t="n">
        <v>47.46</v>
      </c>
      <c r="H891" s="30" t="n">
        <v>1.071</v>
      </c>
      <c r="I891" s="28" t="n">
        <f aca="false">H891*G891/3.6</f>
        <v>14.11935</v>
      </c>
      <c r="J891" s="30" t="n">
        <v>5.84</v>
      </c>
      <c r="K891" s="30" t="n">
        <v>1.614</v>
      </c>
      <c r="L891" s="30" t="n">
        <v>2.552</v>
      </c>
      <c r="M891" s="30" t="n">
        <v>6.87</v>
      </c>
      <c r="N891" s="25" t="n">
        <v>0.00980605976137652</v>
      </c>
      <c r="O891" s="17" t="n">
        <v>1</v>
      </c>
      <c r="P891" s="26" t="n">
        <v>34.74</v>
      </c>
      <c r="Q891" s="24" t="n">
        <f aca="false">IF(O891=1,1/(1+EXP(-(P891-Inputs!$B$12)/Inputs!$B$13)),0)</f>
        <v>0.187594895575195</v>
      </c>
      <c r="R891" s="24" t="n">
        <f aca="false">N891*O891</f>
        <v>0.00980605976137652</v>
      </c>
      <c r="S891" s="12" t="n">
        <f aca="false">N891*Q891</f>
        <v>0.00183956675693955</v>
      </c>
      <c r="T891" s="24" t="n">
        <f aca="false">N891^2</f>
        <v>9.61588080436878E-005</v>
      </c>
    </row>
    <row r="892" customFormat="false" ht="15" hidden="false" customHeight="false" outlineLevel="0" collapsed="false">
      <c r="A892" s="5" t="s">
        <v>1144</v>
      </c>
      <c r="B892" s="5" t="s">
        <v>226</v>
      </c>
      <c r="C892" s="5" t="s">
        <v>59</v>
      </c>
      <c r="D892" s="5" t="s">
        <v>64</v>
      </c>
      <c r="E892" s="5" t="s">
        <v>72</v>
      </c>
      <c r="F892" s="26" t="n">
        <v>39.93</v>
      </c>
      <c r="G892" s="26" t="n">
        <v>37.93</v>
      </c>
      <c r="H892" s="30" t="n">
        <v>1.268</v>
      </c>
      <c r="I892" s="28" t="n">
        <f aca="false">H892*G892/3.6</f>
        <v>13.3597888888889</v>
      </c>
      <c r="J892" s="30" t="n">
        <v>4.34</v>
      </c>
      <c r="K892" s="30" t="n">
        <v>1.592</v>
      </c>
      <c r="L892" s="30" t="n">
        <v>1.296</v>
      </c>
      <c r="M892" s="30" t="n">
        <v>6.31</v>
      </c>
      <c r="N892" s="25" t="n">
        <v>0.418535889139856</v>
      </c>
      <c r="O892" s="17" t="n">
        <v>0</v>
      </c>
      <c r="P892" s="26" t="n">
        <v>0</v>
      </c>
      <c r="Q892" s="24" t="n">
        <f aca="false">IF(O892=1,1/(1+EXP(-(P892-Inputs!$B$12)/Inputs!$B$13)),0)</f>
        <v>0</v>
      </c>
      <c r="R892" s="24" t="n">
        <f aca="false">N892*O892</f>
        <v>0</v>
      </c>
      <c r="S892" s="12" t="n">
        <f aca="false">N892*Q892</f>
        <v>0</v>
      </c>
      <c r="T892" s="24" t="n">
        <f aca="false">N892^2</f>
        <v>0.17517229049809</v>
      </c>
    </row>
    <row r="893" customFormat="false" ht="15" hidden="false" customHeight="false" outlineLevel="0" collapsed="false">
      <c r="A893" s="5" t="s">
        <v>1145</v>
      </c>
      <c r="B893" s="5" t="s">
        <v>226</v>
      </c>
      <c r="C893" s="5" t="s">
        <v>59</v>
      </c>
      <c r="D893" s="5" t="s">
        <v>64</v>
      </c>
      <c r="E893" s="5" t="s">
        <v>72</v>
      </c>
      <c r="F893" s="26" t="n">
        <v>53.22</v>
      </c>
      <c r="G893" s="26" t="n">
        <v>53.8</v>
      </c>
      <c r="H893" s="30" t="n">
        <v>1.026</v>
      </c>
      <c r="I893" s="28" t="n">
        <f aca="false">H893*G893/3.6</f>
        <v>15.333</v>
      </c>
      <c r="J893" s="30" t="n">
        <v>3.97</v>
      </c>
      <c r="K893" s="30" t="n">
        <v>1.581</v>
      </c>
      <c r="L893" s="30" t="n">
        <v>3.425</v>
      </c>
      <c r="M893" s="30" t="n">
        <v>3.84</v>
      </c>
      <c r="N893" s="25" t="n">
        <v>0.00741911684893318</v>
      </c>
      <c r="O893" s="17" t="n">
        <v>1</v>
      </c>
      <c r="P893" s="26" t="n">
        <v>23.31</v>
      </c>
      <c r="Q893" s="24" t="n">
        <f aca="false">IF(O893=1,1/(1+EXP(-(P893-Inputs!$B$12)/Inputs!$B$13)),0)</f>
        <v>0.0431662205888997</v>
      </c>
      <c r="R893" s="24" t="n">
        <f aca="false">N893*O893</f>
        <v>0.00741911684893318</v>
      </c>
      <c r="S893" s="12" t="n">
        <f aca="false">N893*Q893</f>
        <v>0.000320255234475872</v>
      </c>
      <c r="T893" s="24" t="n">
        <f aca="false">N893^2</f>
        <v>5.50432948181241E-005</v>
      </c>
    </row>
    <row r="894" customFormat="false" ht="15" hidden="false" customHeight="false" outlineLevel="0" collapsed="false">
      <c r="A894" s="5" t="s">
        <v>1146</v>
      </c>
      <c r="B894" s="5" t="s">
        <v>226</v>
      </c>
      <c r="C894" s="5" t="s">
        <v>59</v>
      </c>
      <c r="D894" s="5" t="s">
        <v>64</v>
      </c>
      <c r="E894" s="5" t="s">
        <v>72</v>
      </c>
      <c r="F894" s="26" t="n">
        <v>53.05</v>
      </c>
      <c r="G894" s="26" t="n">
        <v>52.75</v>
      </c>
      <c r="H894" s="30" t="n">
        <v>1.048</v>
      </c>
      <c r="I894" s="28" t="n">
        <f aca="false">H894*G894/3.6</f>
        <v>15.3561111111111</v>
      </c>
      <c r="J894" s="30" t="n">
        <v>4.83</v>
      </c>
      <c r="K894" s="30" t="n">
        <v>1.077</v>
      </c>
      <c r="L894" s="30" t="n">
        <v>2.759</v>
      </c>
      <c r="M894" s="30" t="n">
        <v>5.56</v>
      </c>
      <c r="N894" s="25" t="n">
        <v>0.0230346887903275</v>
      </c>
      <c r="O894" s="17" t="n">
        <v>0</v>
      </c>
      <c r="P894" s="26" t="n">
        <v>0</v>
      </c>
      <c r="Q894" s="24" t="n">
        <f aca="false">IF(O894=1,1/(1+EXP(-(P894-Inputs!$B$12)/Inputs!$B$13)),0)</f>
        <v>0</v>
      </c>
      <c r="R894" s="24" t="n">
        <f aca="false">N894*O894</f>
        <v>0</v>
      </c>
      <c r="S894" s="12" t="n">
        <f aca="false">N894*Q894</f>
        <v>0</v>
      </c>
      <c r="T894" s="24" t="n">
        <f aca="false">N894^2</f>
        <v>0.000530596887667238</v>
      </c>
    </row>
    <row r="895" customFormat="false" ht="15" hidden="false" customHeight="false" outlineLevel="0" collapsed="false">
      <c r="A895" s="5" t="s">
        <v>1147</v>
      </c>
      <c r="B895" s="5" t="s">
        <v>226</v>
      </c>
      <c r="C895" s="5" t="s">
        <v>59</v>
      </c>
      <c r="D895" s="5" t="s">
        <v>64</v>
      </c>
      <c r="E895" s="5" t="s">
        <v>72</v>
      </c>
      <c r="F895" s="26" t="n">
        <v>45.43</v>
      </c>
      <c r="G895" s="26" t="n">
        <v>47.3</v>
      </c>
      <c r="H895" s="30" t="n">
        <v>1.261</v>
      </c>
      <c r="I895" s="28" t="n">
        <f aca="false">H895*G895/3.6</f>
        <v>16.5681388888889</v>
      </c>
      <c r="J895" s="30" t="n">
        <v>5.7</v>
      </c>
      <c r="K895" s="30" t="n">
        <v>2.203</v>
      </c>
      <c r="L895" s="30" t="n">
        <v>0.992</v>
      </c>
      <c r="M895" s="30" t="n">
        <v>7.6</v>
      </c>
      <c r="N895" s="25" t="n">
        <v>0.299122085701174</v>
      </c>
      <c r="O895" s="17" t="n">
        <v>0</v>
      </c>
      <c r="P895" s="26" t="n">
        <v>0</v>
      </c>
      <c r="Q895" s="24" t="n">
        <f aca="false">IF(O895=1,1/(1+EXP(-(P895-Inputs!$B$12)/Inputs!$B$13)),0)</f>
        <v>0</v>
      </c>
      <c r="R895" s="24" t="n">
        <f aca="false">N895*O895</f>
        <v>0</v>
      </c>
      <c r="S895" s="12" t="n">
        <f aca="false">N895*Q895</f>
        <v>0</v>
      </c>
      <c r="T895" s="24" t="n">
        <f aca="false">N895^2</f>
        <v>0.0894740221542205</v>
      </c>
    </row>
    <row r="896" customFormat="false" ht="15" hidden="false" customHeight="false" outlineLevel="0" collapsed="false">
      <c r="A896" s="5" t="s">
        <v>1148</v>
      </c>
      <c r="B896" s="5" t="s">
        <v>227</v>
      </c>
      <c r="C896" s="5" t="s">
        <v>59</v>
      </c>
      <c r="D896" s="5" t="s">
        <v>64</v>
      </c>
      <c r="E896" s="5" t="s">
        <v>73</v>
      </c>
      <c r="F896" s="26" t="n">
        <v>50.13</v>
      </c>
      <c r="G896" s="26" t="n">
        <v>53.28</v>
      </c>
      <c r="H896" s="30" t="n">
        <v>0.527</v>
      </c>
      <c r="I896" s="28" t="n">
        <f aca="false">H896*G896/3.6</f>
        <v>7.7996</v>
      </c>
      <c r="J896" s="30" t="n">
        <v>4.78</v>
      </c>
      <c r="K896" s="30" t="n">
        <v>2.666</v>
      </c>
      <c r="L896" s="30" t="n">
        <v>2.098</v>
      </c>
      <c r="M896" s="30" t="n">
        <v>6.58</v>
      </c>
      <c r="N896" s="25" t="n">
        <v>0.0143928428125884</v>
      </c>
      <c r="O896" s="17" t="n">
        <v>1</v>
      </c>
      <c r="P896" s="26" t="n">
        <v>31.2</v>
      </c>
      <c r="Q896" s="24" t="n">
        <f aca="false">IF(O896=1,1/(1+EXP(-(P896-Inputs!$B$12)/Inputs!$B$13)),0)</f>
        <v>0.122235526939403</v>
      </c>
      <c r="R896" s="24" t="n">
        <f aca="false">N896*O896</f>
        <v>0.0143928428125884</v>
      </c>
      <c r="S896" s="12" t="n">
        <f aca="false">N896*Q896</f>
        <v>0.00175931672535275</v>
      </c>
      <c r="T896" s="24" t="n">
        <f aca="false">N896^2</f>
        <v>0.000207153924227878</v>
      </c>
    </row>
    <row r="897" customFormat="false" ht="15" hidden="false" customHeight="false" outlineLevel="0" collapsed="false">
      <c r="A897" s="5" t="s">
        <v>1149</v>
      </c>
      <c r="B897" s="5" t="s">
        <v>227</v>
      </c>
      <c r="C897" s="5" t="s">
        <v>59</v>
      </c>
      <c r="D897" s="5" t="s">
        <v>64</v>
      </c>
      <c r="E897" s="5" t="s">
        <v>73</v>
      </c>
      <c r="F897" s="26" t="n">
        <v>42.58</v>
      </c>
      <c r="G897" s="26" t="n">
        <v>41.33</v>
      </c>
      <c r="H897" s="30" t="n">
        <v>0.582</v>
      </c>
      <c r="I897" s="28" t="n">
        <f aca="false">H897*G897/3.6</f>
        <v>6.68168333333333</v>
      </c>
      <c r="J897" s="30" t="n">
        <v>6</v>
      </c>
      <c r="K897" s="30" t="n">
        <v>2.686</v>
      </c>
      <c r="L897" s="30" t="n">
        <v>1.362</v>
      </c>
      <c r="M897" s="30" t="n">
        <v>5.87</v>
      </c>
      <c r="N897" s="25" t="n">
        <v>0.104647148365059</v>
      </c>
      <c r="O897" s="17" t="n">
        <v>1</v>
      </c>
      <c r="P897" s="26" t="n">
        <v>28.42</v>
      </c>
      <c r="Q897" s="24" t="n">
        <f aca="false">IF(O897=1,1/(1+EXP(-(P897-Inputs!$B$12)/Inputs!$B$13)),0)</f>
        <v>0.0856008923719147</v>
      </c>
      <c r="R897" s="24" t="n">
        <f aca="false">N897*O897</f>
        <v>0.104647148365059</v>
      </c>
      <c r="S897" s="12" t="n">
        <f aca="false">N897*Q897</f>
        <v>0.00895788928422518</v>
      </c>
      <c r="T897" s="24" t="n">
        <f aca="false">N897^2</f>
        <v>0.0109510256609386</v>
      </c>
    </row>
    <row r="898" customFormat="false" ht="15" hidden="false" customHeight="false" outlineLevel="0" collapsed="false">
      <c r="A898" s="5" t="s">
        <v>1150</v>
      </c>
      <c r="B898" s="5" t="s">
        <v>227</v>
      </c>
      <c r="C898" s="5" t="s">
        <v>59</v>
      </c>
      <c r="D898" s="5" t="s">
        <v>64</v>
      </c>
      <c r="E898" s="5" t="s">
        <v>73</v>
      </c>
      <c r="F898" s="26" t="n">
        <v>40.02</v>
      </c>
      <c r="G898" s="26" t="n">
        <v>38.74</v>
      </c>
      <c r="H898" s="30" t="n">
        <v>0.607</v>
      </c>
      <c r="I898" s="28" t="n">
        <f aca="false">H898*G898/3.6</f>
        <v>6.53199444444445</v>
      </c>
      <c r="J898" s="30" t="n">
        <v>5.03</v>
      </c>
      <c r="K898" s="30" t="n">
        <v>0.852</v>
      </c>
      <c r="L898" s="30" t="n">
        <v>1.31</v>
      </c>
      <c r="M898" s="30" t="n">
        <v>3.97</v>
      </c>
      <c r="N898" s="25" t="n">
        <v>2.00798635237273</v>
      </c>
      <c r="O898" s="17" t="n">
        <v>0</v>
      </c>
      <c r="P898" s="26" t="n">
        <v>0</v>
      </c>
      <c r="Q898" s="24" t="n">
        <f aca="false">IF(O898=1,1/(1+EXP(-(P898-Inputs!$B$12)/Inputs!$B$13)),0)</f>
        <v>0</v>
      </c>
      <c r="R898" s="24" t="n">
        <f aca="false">N898*O898</f>
        <v>0</v>
      </c>
      <c r="S898" s="12" t="n">
        <f aca="false">N898*Q898</f>
        <v>0</v>
      </c>
      <c r="T898" s="24" t="n">
        <f aca="false">N898^2</f>
        <v>4.03200919131513</v>
      </c>
    </row>
    <row r="899" customFormat="false" ht="15" hidden="false" customHeight="false" outlineLevel="0" collapsed="false">
      <c r="A899" s="5" t="s">
        <v>1151</v>
      </c>
      <c r="B899" s="5" t="s">
        <v>227</v>
      </c>
      <c r="C899" s="5" t="s">
        <v>59</v>
      </c>
      <c r="D899" s="5" t="s">
        <v>64</v>
      </c>
      <c r="E899" s="5" t="s">
        <v>73</v>
      </c>
      <c r="F899" s="26" t="n">
        <v>53.02</v>
      </c>
      <c r="G899" s="26" t="n">
        <v>54.28</v>
      </c>
      <c r="H899" s="30" t="n">
        <v>0.895</v>
      </c>
      <c r="I899" s="28" t="n">
        <f aca="false">H899*G899/3.6</f>
        <v>13.4946111111111</v>
      </c>
      <c r="J899" s="30" t="n">
        <v>3.48</v>
      </c>
      <c r="K899" s="30" t="n">
        <v>0.93</v>
      </c>
      <c r="L899" s="30" t="n">
        <v>0.89</v>
      </c>
      <c r="M899" s="30" t="n">
        <v>4.6</v>
      </c>
      <c r="N899" s="25" t="n">
        <v>5.39708271933333</v>
      </c>
      <c r="O899" s="17" t="n">
        <v>0</v>
      </c>
      <c r="P899" s="26" t="n">
        <v>0</v>
      </c>
      <c r="Q899" s="24" t="n">
        <f aca="false">IF(O899=1,1/(1+EXP(-(P899-Inputs!$B$12)/Inputs!$B$13)),0)</f>
        <v>0</v>
      </c>
      <c r="R899" s="24" t="n">
        <f aca="false">N899*O899</f>
        <v>0</v>
      </c>
      <c r="S899" s="12" t="n">
        <f aca="false">N899*Q899</f>
        <v>0</v>
      </c>
      <c r="T899" s="24" t="n">
        <f aca="false">N899^2</f>
        <v>29.1285018793264</v>
      </c>
    </row>
    <row r="900" customFormat="false" ht="15" hidden="false" customHeight="false" outlineLevel="0" collapsed="false">
      <c r="A900" s="5" t="s">
        <v>1152</v>
      </c>
      <c r="B900" s="5" t="s">
        <v>227</v>
      </c>
      <c r="C900" s="5" t="s">
        <v>59</v>
      </c>
      <c r="D900" s="5" t="s">
        <v>64</v>
      </c>
      <c r="E900" s="5" t="s">
        <v>73</v>
      </c>
      <c r="F900" s="26" t="n">
        <v>45.65</v>
      </c>
      <c r="G900" s="26" t="n">
        <v>45.94</v>
      </c>
      <c r="H900" s="30" t="n">
        <v>0.557</v>
      </c>
      <c r="I900" s="28" t="n">
        <f aca="false">H900*G900/3.6</f>
        <v>7.10793888888889</v>
      </c>
      <c r="J900" s="30" t="n">
        <v>3.36</v>
      </c>
      <c r="K900" s="30" t="n">
        <v>0.696</v>
      </c>
      <c r="L900" s="30" t="n">
        <v>1.878</v>
      </c>
      <c r="M900" s="30" t="n">
        <v>5.16</v>
      </c>
      <c r="N900" s="25" t="n">
        <v>0.48094156971845</v>
      </c>
      <c r="O900" s="17" t="n">
        <v>0</v>
      </c>
      <c r="P900" s="26" t="n">
        <v>0</v>
      </c>
      <c r="Q900" s="24" t="n">
        <f aca="false">IF(O900=1,1/(1+EXP(-(P900-Inputs!$B$12)/Inputs!$B$13)),0)</f>
        <v>0</v>
      </c>
      <c r="R900" s="24" t="n">
        <f aca="false">N900*O900</f>
        <v>0</v>
      </c>
      <c r="S900" s="12" t="n">
        <f aca="false">N900*Q900</f>
        <v>0</v>
      </c>
      <c r="T900" s="24" t="n">
        <f aca="false">N900^2</f>
        <v>0.231304793483247</v>
      </c>
    </row>
    <row r="901" customFormat="false" ht="15" hidden="false" customHeight="false" outlineLevel="0" collapsed="false">
      <c r="A901" s="5" t="s">
        <v>1153</v>
      </c>
      <c r="B901" s="5" t="s">
        <v>227</v>
      </c>
      <c r="C901" s="5" t="s">
        <v>59</v>
      </c>
      <c r="D901" s="5" t="s">
        <v>64</v>
      </c>
      <c r="E901" s="5" t="s">
        <v>73</v>
      </c>
      <c r="F901" s="26" t="n">
        <v>47.74</v>
      </c>
      <c r="G901" s="26" t="n">
        <v>48.96</v>
      </c>
      <c r="H901" s="30" t="n">
        <v>0.556</v>
      </c>
      <c r="I901" s="28" t="n">
        <f aca="false">H901*G901/3.6</f>
        <v>7.5616</v>
      </c>
      <c r="J901" s="30" t="n">
        <v>5.41</v>
      </c>
      <c r="K901" s="30" t="n">
        <v>1.23</v>
      </c>
      <c r="L901" s="30" t="n">
        <v>1.985</v>
      </c>
      <c r="M901" s="30" t="n">
        <v>5.4</v>
      </c>
      <c r="N901" s="25" t="n">
        <v>0.113280046731339</v>
      </c>
      <c r="O901" s="17" t="n">
        <v>1</v>
      </c>
      <c r="P901" s="26" t="n">
        <v>25.19</v>
      </c>
      <c r="Q901" s="24" t="n">
        <f aca="false">IF(O901=1,1/(1+EXP(-(P901-Inputs!$B$12)/Inputs!$B$13)),0)</f>
        <v>0.0557243979286655</v>
      </c>
      <c r="R901" s="24" t="n">
        <f aca="false">N901*O901</f>
        <v>0.113280046731339</v>
      </c>
      <c r="S901" s="12" t="n">
        <f aca="false">N901*Q901</f>
        <v>0.00631246240143497</v>
      </c>
      <c r="T901" s="24" t="n">
        <f aca="false">N901^2</f>
        <v>0.0128323689874544</v>
      </c>
    </row>
    <row r="902" customFormat="false" ht="15" hidden="false" customHeight="false" outlineLevel="0" collapsed="false">
      <c r="A902" s="5" t="s">
        <v>1154</v>
      </c>
      <c r="B902" s="5" t="s">
        <v>227</v>
      </c>
      <c r="C902" s="5" t="s">
        <v>59</v>
      </c>
      <c r="D902" s="5" t="s">
        <v>64</v>
      </c>
      <c r="E902" s="5" t="s">
        <v>73</v>
      </c>
      <c r="F902" s="26" t="n">
        <v>44.01</v>
      </c>
      <c r="G902" s="26" t="n">
        <v>44.4</v>
      </c>
      <c r="H902" s="30" t="n">
        <v>0.533</v>
      </c>
      <c r="I902" s="28" t="n">
        <f aca="false">H902*G902/3.6</f>
        <v>6.57366666666667</v>
      </c>
      <c r="J902" s="30" t="n">
        <v>5.06</v>
      </c>
      <c r="K902" s="30" t="n">
        <v>1.047</v>
      </c>
      <c r="L902" s="30" t="n">
        <v>1.196</v>
      </c>
      <c r="M902" s="30" t="n">
        <v>6.56</v>
      </c>
      <c r="N902" s="25" t="n">
        <v>0.906285412305643</v>
      </c>
      <c r="O902" s="17" t="n">
        <v>0</v>
      </c>
      <c r="P902" s="26" t="n">
        <v>0</v>
      </c>
      <c r="Q902" s="24" t="n">
        <f aca="false">IF(O902=1,1/(1+EXP(-(P902-Inputs!$B$12)/Inputs!$B$13)),0)</f>
        <v>0</v>
      </c>
      <c r="R902" s="24" t="n">
        <f aca="false">N902*O902</f>
        <v>0</v>
      </c>
      <c r="S902" s="12" t="n">
        <f aca="false">N902*Q902</f>
        <v>0</v>
      </c>
      <c r="T902" s="24" t="n">
        <f aca="false">N902^2</f>
        <v>0.82135324855801</v>
      </c>
    </row>
    <row r="903" customFormat="false" ht="15" hidden="false" customHeight="false" outlineLevel="0" collapsed="false">
      <c r="A903" s="5" t="s">
        <v>1155</v>
      </c>
      <c r="B903" s="5" t="s">
        <v>227</v>
      </c>
      <c r="C903" s="5" t="s">
        <v>59</v>
      </c>
      <c r="D903" s="5" t="s">
        <v>64</v>
      </c>
      <c r="E903" s="5" t="s">
        <v>73</v>
      </c>
      <c r="F903" s="26" t="n">
        <v>50.87</v>
      </c>
      <c r="G903" s="26" t="n">
        <v>52.21</v>
      </c>
      <c r="H903" s="30" t="n">
        <v>0.552</v>
      </c>
      <c r="I903" s="28" t="n">
        <f aca="false">H903*G903/3.6</f>
        <v>8.00553333333333</v>
      </c>
      <c r="J903" s="30" t="n">
        <v>5.61</v>
      </c>
      <c r="K903" s="30" t="n">
        <v>1.283</v>
      </c>
      <c r="L903" s="30" t="n">
        <v>1.893</v>
      </c>
      <c r="M903" s="30" t="n">
        <v>4.47</v>
      </c>
      <c r="N903" s="25" t="n">
        <v>0.18310232887896</v>
      </c>
      <c r="O903" s="17" t="n">
        <v>1</v>
      </c>
      <c r="P903" s="26" t="n">
        <v>27.38</v>
      </c>
      <c r="Q903" s="24" t="n">
        <f aca="false">IF(O903=1,1/(1+EXP(-(P903-Inputs!$B$12)/Inputs!$B$13)),0)</f>
        <v>0.0746651060850472</v>
      </c>
      <c r="R903" s="24" t="n">
        <f aca="false">N903*O903</f>
        <v>0.18310232887896</v>
      </c>
      <c r="S903" s="12" t="n">
        <f aca="false">N903*Q903</f>
        <v>0.0136713548101668</v>
      </c>
      <c r="T903" s="24" t="n">
        <f aca="false">N903^2</f>
        <v>0.033526462840899</v>
      </c>
    </row>
    <row r="904" customFormat="false" ht="15" hidden="false" customHeight="false" outlineLevel="0" collapsed="false">
      <c r="A904" s="5" t="s">
        <v>1156</v>
      </c>
      <c r="B904" s="5" t="s">
        <v>227</v>
      </c>
      <c r="C904" s="5" t="s">
        <v>59</v>
      </c>
      <c r="D904" s="5" t="s">
        <v>64</v>
      </c>
      <c r="E904" s="5" t="s">
        <v>73</v>
      </c>
      <c r="F904" s="26" t="n">
        <v>43.87</v>
      </c>
      <c r="G904" s="26" t="n">
        <v>42.74</v>
      </c>
      <c r="H904" s="30" t="n">
        <v>0.512</v>
      </c>
      <c r="I904" s="28" t="n">
        <f aca="false">H904*G904/3.6</f>
        <v>6.07857777777778</v>
      </c>
      <c r="J904" s="30" t="n">
        <v>5.91</v>
      </c>
      <c r="K904" s="30" t="n">
        <v>1.111</v>
      </c>
      <c r="L904" s="30" t="n">
        <v>1.769</v>
      </c>
      <c r="M904" s="30" t="n">
        <v>6.1</v>
      </c>
      <c r="N904" s="25" t="n">
        <v>0.238578917345878</v>
      </c>
      <c r="O904" s="17" t="n">
        <v>1</v>
      </c>
      <c r="P904" s="26" t="n">
        <v>22.67</v>
      </c>
      <c r="Q904" s="24" t="n">
        <f aca="false">IF(O904=1,1/(1+EXP(-(P904-Inputs!$B$12)/Inputs!$B$13)),0)</f>
        <v>0.039543779550953</v>
      </c>
      <c r="R904" s="24" t="n">
        <f aca="false">N904*O904</f>
        <v>0.238578917345878</v>
      </c>
      <c r="S904" s="12" t="n">
        <f aca="false">N904*Q904</f>
        <v>0.00943431211303043</v>
      </c>
      <c r="T904" s="24" t="n">
        <f aca="false">N904^2</f>
        <v>0.0569198998019313</v>
      </c>
    </row>
    <row r="905" customFormat="false" ht="15" hidden="false" customHeight="false" outlineLevel="0" collapsed="false">
      <c r="A905" s="5" t="s">
        <v>1157</v>
      </c>
      <c r="B905" s="5" t="s">
        <v>227</v>
      </c>
      <c r="C905" s="5" t="s">
        <v>59</v>
      </c>
      <c r="D905" s="5" t="s">
        <v>64</v>
      </c>
      <c r="E905" s="5" t="s">
        <v>73</v>
      </c>
      <c r="F905" s="26" t="n">
        <v>41.17</v>
      </c>
      <c r="G905" s="26" t="n">
        <v>43.5</v>
      </c>
      <c r="H905" s="30" t="n">
        <v>0.702</v>
      </c>
      <c r="I905" s="28" t="n">
        <f aca="false">H905*G905/3.6</f>
        <v>8.4825</v>
      </c>
      <c r="J905" s="30" t="n">
        <v>4.86</v>
      </c>
      <c r="K905" s="30" t="n">
        <v>1.811</v>
      </c>
      <c r="L905" s="30" t="n">
        <v>1.622</v>
      </c>
      <c r="M905" s="30" t="n">
        <v>4.39</v>
      </c>
      <c r="N905" s="25" t="n">
        <v>0.198063866693716</v>
      </c>
      <c r="O905" s="17" t="n">
        <v>1</v>
      </c>
      <c r="P905" s="26" t="n">
        <v>31</v>
      </c>
      <c r="Q905" s="24" t="n">
        <f aca="false">IF(O905=1,1/(1+EXP(-(P905-Inputs!$B$12)/Inputs!$B$13)),0)</f>
        <v>0.119202922022118</v>
      </c>
      <c r="R905" s="24" t="n">
        <f aca="false">N905*O905</f>
        <v>0.198063866693716</v>
      </c>
      <c r="S905" s="12" t="n">
        <f aca="false">N905*Q905</f>
        <v>0.0236097916568901</v>
      </c>
      <c r="T905" s="24" t="n">
        <f aca="false">N905^2</f>
        <v>0.0392292952896661</v>
      </c>
    </row>
    <row r="906" customFormat="false" ht="15" hidden="false" customHeight="false" outlineLevel="0" collapsed="false">
      <c r="A906" s="5" t="s">
        <v>1158</v>
      </c>
      <c r="B906" s="5" t="s">
        <v>228</v>
      </c>
      <c r="C906" s="5" t="s">
        <v>59</v>
      </c>
      <c r="D906" s="5" t="s">
        <v>65</v>
      </c>
      <c r="E906" s="5" t="s">
        <v>68</v>
      </c>
      <c r="F906" s="26" t="n">
        <v>67.04</v>
      </c>
      <c r="G906" s="26" t="n">
        <v>65.73</v>
      </c>
      <c r="H906" s="30" t="n">
        <v>3.205</v>
      </c>
      <c r="I906" s="28" t="n">
        <f aca="false">H906*G906/3.6</f>
        <v>58.5179583333333</v>
      </c>
      <c r="J906" s="30" t="n">
        <v>2.96</v>
      </c>
      <c r="K906" s="30" t="n">
        <v>1.963</v>
      </c>
      <c r="L906" s="30" t="n">
        <v>2.082</v>
      </c>
      <c r="M906" s="30" t="n">
        <v>3.73</v>
      </c>
      <c r="N906" s="25" t="n">
        <v>0.0875789889433549</v>
      </c>
      <c r="O906" s="17" t="n">
        <v>0</v>
      </c>
      <c r="P906" s="26" t="n">
        <v>0</v>
      </c>
      <c r="Q906" s="24" t="n">
        <f aca="false">IF(O906=1,1/(1+EXP(-(P906-Inputs!$B$12)/Inputs!$B$13)),0)</f>
        <v>0</v>
      </c>
      <c r="R906" s="24" t="n">
        <f aca="false">N906*O906</f>
        <v>0</v>
      </c>
      <c r="S906" s="12" t="n">
        <f aca="false">N906*Q906</f>
        <v>0</v>
      </c>
      <c r="T906" s="24" t="n">
        <f aca="false">N906^2</f>
        <v>0.00767007930434028</v>
      </c>
    </row>
    <row r="907" customFormat="false" ht="15" hidden="false" customHeight="false" outlineLevel="0" collapsed="false">
      <c r="A907" s="5" t="s">
        <v>1159</v>
      </c>
      <c r="B907" s="5" t="s">
        <v>228</v>
      </c>
      <c r="C907" s="5" t="s">
        <v>59</v>
      </c>
      <c r="D907" s="5" t="s">
        <v>65</v>
      </c>
      <c r="E907" s="5" t="s">
        <v>68</v>
      </c>
      <c r="F907" s="26" t="n">
        <v>58.57</v>
      </c>
      <c r="G907" s="26" t="n">
        <v>60.22</v>
      </c>
      <c r="H907" s="30" t="n">
        <v>3.775</v>
      </c>
      <c r="I907" s="28" t="n">
        <f aca="false">H907*G907/3.6</f>
        <v>63.1473611111111</v>
      </c>
      <c r="J907" s="30" t="n">
        <v>3.98</v>
      </c>
      <c r="K907" s="30" t="n">
        <v>0.738</v>
      </c>
      <c r="L907" s="30" t="n">
        <v>1.9</v>
      </c>
      <c r="M907" s="30" t="n">
        <v>5.38</v>
      </c>
      <c r="N907" s="25" t="n">
        <v>0.38071397414833</v>
      </c>
      <c r="O907" s="17" t="n">
        <v>0</v>
      </c>
      <c r="P907" s="26" t="n">
        <v>0</v>
      </c>
      <c r="Q907" s="24" t="n">
        <f aca="false">IF(O907=1,1/(1+EXP(-(P907-Inputs!$B$12)/Inputs!$B$13)),0)</f>
        <v>0</v>
      </c>
      <c r="R907" s="24" t="n">
        <f aca="false">N907*O907</f>
        <v>0</v>
      </c>
      <c r="S907" s="12" t="n">
        <f aca="false">N907*Q907</f>
        <v>0</v>
      </c>
      <c r="T907" s="24" t="n">
        <f aca="false">N907^2</f>
        <v>0.144943130111815</v>
      </c>
    </row>
    <row r="908" customFormat="false" ht="15" hidden="false" customHeight="false" outlineLevel="0" collapsed="false">
      <c r="A908" s="5" t="s">
        <v>1160</v>
      </c>
      <c r="B908" s="5" t="s">
        <v>228</v>
      </c>
      <c r="C908" s="5" t="s">
        <v>59</v>
      </c>
      <c r="D908" s="5" t="s">
        <v>65</v>
      </c>
      <c r="E908" s="5" t="s">
        <v>68</v>
      </c>
      <c r="F908" s="26" t="n">
        <v>71.34</v>
      </c>
      <c r="G908" s="26" t="n">
        <v>73.3</v>
      </c>
      <c r="H908" s="30" t="n">
        <v>3.11</v>
      </c>
      <c r="I908" s="28" t="n">
        <f aca="false">H908*G908/3.6</f>
        <v>63.3230555555556</v>
      </c>
      <c r="J908" s="30" t="n">
        <v>5.06</v>
      </c>
      <c r="K908" s="30" t="n">
        <v>0.66</v>
      </c>
      <c r="L908" s="30" t="n">
        <v>1.476</v>
      </c>
      <c r="M908" s="30" t="n">
        <v>7.73</v>
      </c>
      <c r="N908" s="25" t="n">
        <v>0.681684388827798</v>
      </c>
      <c r="O908" s="17" t="n">
        <v>0</v>
      </c>
      <c r="P908" s="26" t="n">
        <v>0</v>
      </c>
      <c r="Q908" s="24" t="n">
        <f aca="false">IF(O908=1,1/(1+EXP(-(P908-Inputs!$B$12)/Inputs!$B$13)),0)</f>
        <v>0</v>
      </c>
      <c r="R908" s="24" t="n">
        <f aca="false">N908*O908</f>
        <v>0</v>
      </c>
      <c r="S908" s="12" t="n">
        <f aca="false">N908*Q908</f>
        <v>0</v>
      </c>
      <c r="T908" s="24" t="n">
        <f aca="false">N908^2</f>
        <v>0.464693605971529</v>
      </c>
    </row>
    <row r="909" customFormat="false" ht="15" hidden="false" customHeight="false" outlineLevel="0" collapsed="false">
      <c r="A909" s="5" t="s">
        <v>1161</v>
      </c>
      <c r="B909" s="5" t="s">
        <v>228</v>
      </c>
      <c r="C909" s="5" t="s">
        <v>59</v>
      </c>
      <c r="D909" s="5" t="s">
        <v>65</v>
      </c>
      <c r="E909" s="5" t="s">
        <v>68</v>
      </c>
      <c r="F909" s="26" t="n">
        <v>58.22</v>
      </c>
      <c r="G909" s="26" t="n">
        <v>57.25</v>
      </c>
      <c r="H909" s="30" t="n">
        <v>4.053</v>
      </c>
      <c r="I909" s="28" t="n">
        <f aca="false">H909*G909/3.6</f>
        <v>64.4539583333333</v>
      </c>
      <c r="J909" s="30" t="n">
        <v>4.04</v>
      </c>
      <c r="K909" s="30" t="n">
        <v>0.696</v>
      </c>
      <c r="L909" s="30" t="n">
        <v>0.93</v>
      </c>
      <c r="M909" s="30" t="n">
        <v>6.61</v>
      </c>
      <c r="N909" s="25" t="n">
        <v>3.97115736565353</v>
      </c>
      <c r="O909" s="17" t="n">
        <v>0</v>
      </c>
      <c r="P909" s="26" t="n">
        <v>0</v>
      </c>
      <c r="Q909" s="24" t="n">
        <f aca="false">IF(O909=1,1/(1+EXP(-(P909-Inputs!$B$12)/Inputs!$B$13)),0)</f>
        <v>0</v>
      </c>
      <c r="R909" s="24" t="n">
        <f aca="false">N909*O909</f>
        <v>0</v>
      </c>
      <c r="S909" s="12" t="n">
        <f aca="false">N909*Q909</f>
        <v>0</v>
      </c>
      <c r="T909" s="24" t="n">
        <f aca="false">N909^2</f>
        <v>15.7700908227843</v>
      </c>
    </row>
    <row r="910" customFormat="false" ht="15" hidden="false" customHeight="false" outlineLevel="0" collapsed="false">
      <c r="A910" s="5" t="s">
        <v>1162</v>
      </c>
      <c r="B910" s="5" t="s">
        <v>228</v>
      </c>
      <c r="C910" s="5" t="s">
        <v>59</v>
      </c>
      <c r="D910" s="5" t="s">
        <v>65</v>
      </c>
      <c r="E910" s="5" t="s">
        <v>68</v>
      </c>
      <c r="F910" s="26" t="n">
        <v>68.35</v>
      </c>
      <c r="G910" s="26" t="n">
        <v>70.4</v>
      </c>
      <c r="H910" s="30" t="n">
        <v>3.84</v>
      </c>
      <c r="I910" s="28" t="n">
        <f aca="false">H910*G910/3.6</f>
        <v>75.0933333333333</v>
      </c>
      <c r="J910" s="30" t="n">
        <v>3.82</v>
      </c>
      <c r="K910" s="30" t="n">
        <v>1.323</v>
      </c>
      <c r="L910" s="30" t="n">
        <v>1.617</v>
      </c>
      <c r="M910" s="30" t="n">
        <v>6.04</v>
      </c>
      <c r="N910" s="25" t="n">
        <v>0.200273030101249</v>
      </c>
      <c r="O910" s="17" t="n">
        <v>0</v>
      </c>
      <c r="P910" s="26" t="n">
        <v>0</v>
      </c>
      <c r="Q910" s="24" t="n">
        <f aca="false">IF(O910=1,1/(1+EXP(-(P910-Inputs!$B$12)/Inputs!$B$13)),0)</f>
        <v>0</v>
      </c>
      <c r="R910" s="24" t="n">
        <f aca="false">N910*O910</f>
        <v>0</v>
      </c>
      <c r="S910" s="12" t="n">
        <f aca="false">N910*Q910</f>
        <v>0</v>
      </c>
      <c r="T910" s="24" t="n">
        <f aca="false">N910^2</f>
        <v>0.0401092865859358</v>
      </c>
    </row>
    <row r="911" customFormat="false" ht="15" hidden="false" customHeight="false" outlineLevel="0" collapsed="false">
      <c r="A911" s="5" t="s">
        <v>1163</v>
      </c>
      <c r="B911" s="5" t="s">
        <v>228</v>
      </c>
      <c r="C911" s="5" t="s">
        <v>59</v>
      </c>
      <c r="D911" s="5" t="s">
        <v>65</v>
      </c>
      <c r="E911" s="5" t="s">
        <v>68</v>
      </c>
      <c r="F911" s="26" t="n">
        <v>63.63</v>
      </c>
      <c r="G911" s="26" t="n">
        <v>65.62</v>
      </c>
      <c r="H911" s="30" t="n">
        <v>3.536</v>
      </c>
      <c r="I911" s="28" t="n">
        <f aca="false">H911*G911/3.6</f>
        <v>64.4534222222222</v>
      </c>
      <c r="J911" s="30" t="n">
        <v>2.63</v>
      </c>
      <c r="K911" s="30" t="n">
        <v>1.095</v>
      </c>
      <c r="L911" s="30" t="n">
        <v>1.02</v>
      </c>
      <c r="M911" s="30" t="n">
        <v>6.11</v>
      </c>
      <c r="N911" s="25" t="n">
        <v>1.31610254500799</v>
      </c>
      <c r="O911" s="17" t="n">
        <v>0</v>
      </c>
      <c r="P911" s="26" t="n">
        <v>0</v>
      </c>
      <c r="Q911" s="24" t="n">
        <f aca="false">IF(O911=1,1/(1+EXP(-(P911-Inputs!$B$12)/Inputs!$B$13)),0)</f>
        <v>0</v>
      </c>
      <c r="R911" s="24" t="n">
        <f aca="false">N911*O911</f>
        <v>0</v>
      </c>
      <c r="S911" s="12" t="n">
        <f aca="false">N911*Q911</f>
        <v>0</v>
      </c>
      <c r="T911" s="24" t="n">
        <f aca="false">N911^2</f>
        <v>1.73212590897652</v>
      </c>
    </row>
    <row r="912" customFormat="false" ht="15" hidden="false" customHeight="false" outlineLevel="0" collapsed="false">
      <c r="A912" s="5" t="s">
        <v>1164</v>
      </c>
      <c r="B912" s="5" t="s">
        <v>228</v>
      </c>
      <c r="C912" s="5" t="s">
        <v>59</v>
      </c>
      <c r="D912" s="5" t="s">
        <v>65</v>
      </c>
      <c r="E912" s="5" t="s">
        <v>68</v>
      </c>
      <c r="F912" s="26" t="n">
        <v>66.03</v>
      </c>
      <c r="G912" s="26" t="n">
        <v>69.25</v>
      </c>
      <c r="H912" s="30" t="n">
        <v>4.209</v>
      </c>
      <c r="I912" s="28" t="n">
        <f aca="false">H912*G912/3.6</f>
        <v>80.9647916666667</v>
      </c>
      <c r="J912" s="30" t="n">
        <v>4.73</v>
      </c>
      <c r="K912" s="30" t="n">
        <v>1.262</v>
      </c>
      <c r="L912" s="30" t="n">
        <v>2.282</v>
      </c>
      <c r="M912" s="30" t="n">
        <v>4.14</v>
      </c>
      <c r="N912" s="25" t="n">
        <v>0.0905404550456143</v>
      </c>
      <c r="O912" s="17" t="n">
        <v>0</v>
      </c>
      <c r="P912" s="26" t="n">
        <v>0</v>
      </c>
      <c r="Q912" s="24" t="n">
        <f aca="false">IF(O912=1,1/(1+EXP(-(P912-Inputs!$B$12)/Inputs!$B$13)),0)</f>
        <v>0</v>
      </c>
      <c r="R912" s="24" t="n">
        <f aca="false">N912*O912</f>
        <v>0</v>
      </c>
      <c r="S912" s="12" t="n">
        <f aca="false">N912*Q912</f>
        <v>0</v>
      </c>
      <c r="T912" s="24" t="n">
        <f aca="false">N912^2</f>
        <v>0.0081975739998669</v>
      </c>
    </row>
    <row r="913" customFormat="false" ht="15" hidden="false" customHeight="false" outlineLevel="0" collapsed="false">
      <c r="A913" s="5" t="s">
        <v>1165</v>
      </c>
      <c r="B913" s="5" t="s">
        <v>228</v>
      </c>
      <c r="C913" s="5" t="s">
        <v>59</v>
      </c>
      <c r="D913" s="5" t="s">
        <v>65</v>
      </c>
      <c r="E913" s="5" t="s">
        <v>68</v>
      </c>
      <c r="F913" s="26" t="n">
        <v>70.78</v>
      </c>
      <c r="G913" s="26" t="n">
        <v>69.18</v>
      </c>
      <c r="H913" s="30" t="n">
        <v>5.048</v>
      </c>
      <c r="I913" s="28" t="n">
        <f aca="false">H913*G913/3.6</f>
        <v>97.0057333333334</v>
      </c>
      <c r="J913" s="30" t="n">
        <v>3.4</v>
      </c>
      <c r="K913" s="30" t="n">
        <v>0.876</v>
      </c>
      <c r="L913" s="30" t="n">
        <v>1.558</v>
      </c>
      <c r="M913" s="30" t="n">
        <v>3.75</v>
      </c>
      <c r="N913" s="25" t="n">
        <v>1.73894588783369</v>
      </c>
      <c r="O913" s="17" t="n">
        <v>0</v>
      </c>
      <c r="P913" s="26" t="n">
        <v>0</v>
      </c>
      <c r="Q913" s="24" t="n">
        <f aca="false">IF(O913=1,1/(1+EXP(-(P913-Inputs!$B$12)/Inputs!$B$13)),0)</f>
        <v>0</v>
      </c>
      <c r="R913" s="24" t="n">
        <f aca="false">N913*O913</f>
        <v>0</v>
      </c>
      <c r="S913" s="12" t="n">
        <f aca="false">N913*Q913</f>
        <v>0</v>
      </c>
      <c r="T913" s="24" t="n">
        <f aca="false">N913^2</f>
        <v>3.02393280081368</v>
      </c>
    </row>
    <row r="914" customFormat="false" ht="15" hidden="false" customHeight="false" outlineLevel="0" collapsed="false">
      <c r="A914" s="5" t="s">
        <v>1166</v>
      </c>
      <c r="B914" s="5" t="s">
        <v>228</v>
      </c>
      <c r="C914" s="5" t="s">
        <v>59</v>
      </c>
      <c r="D914" s="5" t="s">
        <v>65</v>
      </c>
      <c r="E914" s="5" t="s">
        <v>68</v>
      </c>
      <c r="F914" s="26" t="n">
        <v>67.17</v>
      </c>
      <c r="G914" s="26" t="n">
        <v>67.64</v>
      </c>
      <c r="H914" s="30" t="n">
        <v>4.347</v>
      </c>
      <c r="I914" s="28" t="n">
        <f aca="false">H914*G914/3.6</f>
        <v>81.6753</v>
      </c>
      <c r="J914" s="30" t="n">
        <v>3.8</v>
      </c>
      <c r="K914" s="30" t="n">
        <v>0.654</v>
      </c>
      <c r="L914" s="30" t="n">
        <v>1.197</v>
      </c>
      <c r="M914" s="30" t="n">
        <v>7.3</v>
      </c>
      <c r="N914" s="25" t="n">
        <v>1.87302995312841</v>
      </c>
      <c r="O914" s="17" t="n">
        <v>0</v>
      </c>
      <c r="P914" s="26" t="n">
        <v>0</v>
      </c>
      <c r="Q914" s="24" t="n">
        <f aca="false">IF(O914=1,1/(1+EXP(-(P914-Inputs!$B$12)/Inputs!$B$13)),0)</f>
        <v>0</v>
      </c>
      <c r="R914" s="24" t="n">
        <f aca="false">N914*O914</f>
        <v>0</v>
      </c>
      <c r="S914" s="12" t="n">
        <f aca="false">N914*Q914</f>
        <v>0</v>
      </c>
      <c r="T914" s="24" t="n">
        <f aca="false">N914^2</f>
        <v>3.50824120531623</v>
      </c>
    </row>
    <row r="915" customFormat="false" ht="15" hidden="false" customHeight="false" outlineLevel="0" collapsed="false">
      <c r="A915" s="5" t="s">
        <v>1167</v>
      </c>
      <c r="B915" s="5" t="s">
        <v>228</v>
      </c>
      <c r="C915" s="5" t="s">
        <v>59</v>
      </c>
      <c r="D915" s="5" t="s">
        <v>65</v>
      </c>
      <c r="E915" s="5" t="s">
        <v>68</v>
      </c>
      <c r="F915" s="26" t="n">
        <v>64.61</v>
      </c>
      <c r="G915" s="26" t="n">
        <v>64.87</v>
      </c>
      <c r="H915" s="30" t="n">
        <v>4.245</v>
      </c>
      <c r="I915" s="28" t="n">
        <f aca="false">H915*G915/3.6</f>
        <v>76.4925416666667</v>
      </c>
      <c r="J915" s="30" t="n">
        <v>5</v>
      </c>
      <c r="K915" s="30" t="n">
        <v>1.244</v>
      </c>
      <c r="L915" s="30" t="n">
        <v>1.457</v>
      </c>
      <c r="M915" s="30" t="n">
        <v>7.05</v>
      </c>
      <c r="N915" s="25" t="n">
        <v>0.289205608881417</v>
      </c>
      <c r="O915" s="17" t="n">
        <v>0</v>
      </c>
      <c r="P915" s="26" t="n">
        <v>0</v>
      </c>
      <c r="Q915" s="24" t="n">
        <f aca="false">IF(O915=1,1/(1+EXP(-(P915-Inputs!$B$12)/Inputs!$B$13)),0)</f>
        <v>0</v>
      </c>
      <c r="R915" s="24" t="n">
        <f aca="false">N915*O915</f>
        <v>0</v>
      </c>
      <c r="S915" s="12" t="n">
        <f aca="false">N915*Q915</f>
        <v>0</v>
      </c>
      <c r="T915" s="24" t="n">
        <f aca="false">N915^2</f>
        <v>0.0836398842084712</v>
      </c>
    </row>
    <row r="916" customFormat="false" ht="15" hidden="false" customHeight="false" outlineLevel="0" collapsed="false">
      <c r="A916" s="5" t="s">
        <v>1168</v>
      </c>
      <c r="B916" s="5" t="s">
        <v>229</v>
      </c>
      <c r="C916" s="5" t="s">
        <v>59</v>
      </c>
      <c r="D916" s="5" t="s">
        <v>65</v>
      </c>
      <c r="E916" s="5" t="s">
        <v>70</v>
      </c>
      <c r="F916" s="26" t="n">
        <v>71.64</v>
      </c>
      <c r="G916" s="26" t="n">
        <v>68.59</v>
      </c>
      <c r="H916" s="30" t="n">
        <v>2.227</v>
      </c>
      <c r="I916" s="28" t="n">
        <f aca="false">H916*G916/3.6</f>
        <v>42.4305361111111</v>
      </c>
      <c r="J916" s="30" t="n">
        <v>5.13</v>
      </c>
      <c r="K916" s="30" t="n">
        <v>1.464</v>
      </c>
      <c r="L916" s="30" t="n">
        <v>1.491</v>
      </c>
      <c r="M916" s="30" t="n">
        <v>7.31</v>
      </c>
      <c r="N916" s="25" t="n">
        <v>0.147790462447391</v>
      </c>
      <c r="O916" s="17" t="n">
        <v>0</v>
      </c>
      <c r="P916" s="26" t="n">
        <v>0</v>
      </c>
      <c r="Q916" s="24" t="n">
        <f aca="false">IF(O916=1,1/(1+EXP(-(P916-Inputs!$B$12)/Inputs!$B$13)),0)</f>
        <v>0</v>
      </c>
      <c r="R916" s="24" t="n">
        <f aca="false">N916*O916</f>
        <v>0</v>
      </c>
      <c r="S916" s="12" t="n">
        <f aca="false">N916*Q916</f>
        <v>0</v>
      </c>
      <c r="T916" s="24" t="n">
        <f aca="false">N916^2</f>
        <v>0.0218420207904137</v>
      </c>
    </row>
    <row r="917" customFormat="false" ht="15" hidden="false" customHeight="false" outlineLevel="0" collapsed="false">
      <c r="A917" s="5" t="s">
        <v>1169</v>
      </c>
      <c r="B917" s="5" t="s">
        <v>229</v>
      </c>
      <c r="C917" s="5" t="s">
        <v>59</v>
      </c>
      <c r="D917" s="5" t="s">
        <v>65</v>
      </c>
      <c r="E917" s="5" t="s">
        <v>70</v>
      </c>
      <c r="F917" s="26" t="n">
        <v>61.94</v>
      </c>
      <c r="G917" s="26" t="n">
        <v>59.91</v>
      </c>
      <c r="H917" s="30" t="n">
        <v>2.027</v>
      </c>
      <c r="I917" s="28" t="n">
        <f aca="false">H917*G917/3.6</f>
        <v>33.7326583333333</v>
      </c>
      <c r="J917" s="30" t="n">
        <v>4.98</v>
      </c>
      <c r="K917" s="30" t="n">
        <v>1.346</v>
      </c>
      <c r="L917" s="30" t="n">
        <v>0.971</v>
      </c>
      <c r="M917" s="30" t="n">
        <v>6.91</v>
      </c>
      <c r="N917" s="25" t="n">
        <v>1.00724318345693</v>
      </c>
      <c r="O917" s="17" t="n">
        <v>0</v>
      </c>
      <c r="P917" s="26" t="n">
        <v>0</v>
      </c>
      <c r="Q917" s="24" t="n">
        <f aca="false">IF(O917=1,1/(1+EXP(-(P917-Inputs!$B$12)/Inputs!$B$13)),0)</f>
        <v>0</v>
      </c>
      <c r="R917" s="24" t="n">
        <f aca="false">N917*O917</f>
        <v>0</v>
      </c>
      <c r="S917" s="12" t="n">
        <f aca="false">N917*Q917</f>
        <v>0</v>
      </c>
      <c r="T917" s="24" t="n">
        <f aca="false">N917^2</f>
        <v>1.01453883062044</v>
      </c>
    </row>
    <row r="918" customFormat="false" ht="15" hidden="false" customHeight="false" outlineLevel="0" collapsed="false">
      <c r="A918" s="5" t="s">
        <v>1170</v>
      </c>
      <c r="B918" s="5" t="s">
        <v>229</v>
      </c>
      <c r="C918" s="5" t="s">
        <v>59</v>
      </c>
      <c r="D918" s="5" t="s">
        <v>65</v>
      </c>
      <c r="E918" s="5" t="s">
        <v>70</v>
      </c>
      <c r="F918" s="26" t="n">
        <v>61.54</v>
      </c>
      <c r="G918" s="26" t="n">
        <v>61.34</v>
      </c>
      <c r="H918" s="30" t="n">
        <v>2.678</v>
      </c>
      <c r="I918" s="28" t="n">
        <f aca="false">H918*G918/3.6</f>
        <v>45.6301444444444</v>
      </c>
      <c r="J918" s="30" t="n">
        <v>4.29</v>
      </c>
      <c r="K918" s="30" t="n">
        <v>0.698</v>
      </c>
      <c r="L918" s="30" t="n">
        <v>1.422</v>
      </c>
      <c r="M918" s="30" t="n">
        <v>3.85</v>
      </c>
      <c r="N918" s="25" t="n">
        <v>3.96590699216048</v>
      </c>
      <c r="O918" s="17" t="n">
        <v>0</v>
      </c>
      <c r="P918" s="26" t="n">
        <v>0</v>
      </c>
      <c r="Q918" s="24" t="n">
        <f aca="false">IF(O918=1,1/(1+EXP(-(P918-Inputs!$B$12)/Inputs!$B$13)),0)</f>
        <v>0</v>
      </c>
      <c r="R918" s="24" t="n">
        <f aca="false">N918*O918</f>
        <v>0</v>
      </c>
      <c r="S918" s="12" t="n">
        <f aca="false">N918*Q918</f>
        <v>0</v>
      </c>
      <c r="T918" s="24" t="n">
        <f aca="false">N918^2</f>
        <v>15.7284182704674</v>
      </c>
    </row>
    <row r="919" customFormat="false" ht="15" hidden="false" customHeight="false" outlineLevel="0" collapsed="false">
      <c r="A919" s="5" t="s">
        <v>1171</v>
      </c>
      <c r="B919" s="5" t="s">
        <v>229</v>
      </c>
      <c r="C919" s="5" t="s">
        <v>59</v>
      </c>
      <c r="D919" s="5" t="s">
        <v>65</v>
      </c>
      <c r="E919" s="5" t="s">
        <v>70</v>
      </c>
      <c r="F919" s="26" t="n">
        <v>57.56</v>
      </c>
      <c r="G919" s="26" t="n">
        <v>59.82</v>
      </c>
      <c r="H919" s="30" t="n">
        <v>2.242</v>
      </c>
      <c r="I919" s="28" t="n">
        <f aca="false">H919*G919/3.6</f>
        <v>37.2545666666667</v>
      </c>
      <c r="J919" s="30" t="n">
        <v>4.93</v>
      </c>
      <c r="K919" s="30" t="n">
        <v>0.978</v>
      </c>
      <c r="L919" s="30" t="n">
        <v>1.101</v>
      </c>
      <c r="M919" s="30" t="n">
        <v>7.14</v>
      </c>
      <c r="N919" s="25" t="n">
        <v>1.10298200724426</v>
      </c>
      <c r="O919" s="17" t="n">
        <v>0</v>
      </c>
      <c r="P919" s="26" t="n">
        <v>0</v>
      </c>
      <c r="Q919" s="24" t="n">
        <f aca="false">IF(O919=1,1/(1+EXP(-(P919-Inputs!$B$12)/Inputs!$B$13)),0)</f>
        <v>0</v>
      </c>
      <c r="R919" s="24" t="n">
        <f aca="false">N919*O919</f>
        <v>0</v>
      </c>
      <c r="S919" s="12" t="n">
        <f aca="false">N919*Q919</f>
        <v>0</v>
      </c>
      <c r="T919" s="24" t="n">
        <f aca="false">N919^2</f>
        <v>1.21656930830457</v>
      </c>
    </row>
    <row r="920" customFormat="false" ht="15" hidden="false" customHeight="false" outlineLevel="0" collapsed="false">
      <c r="A920" s="5" t="s">
        <v>1172</v>
      </c>
      <c r="B920" s="5" t="s">
        <v>229</v>
      </c>
      <c r="C920" s="5" t="s">
        <v>59</v>
      </c>
      <c r="D920" s="5" t="s">
        <v>65</v>
      </c>
      <c r="E920" s="5" t="s">
        <v>70</v>
      </c>
      <c r="F920" s="26" t="n">
        <v>66.47</v>
      </c>
      <c r="G920" s="26" t="n">
        <v>67.1</v>
      </c>
      <c r="H920" s="30" t="n">
        <v>2.568</v>
      </c>
      <c r="I920" s="28" t="n">
        <f aca="false">H920*G920/3.6</f>
        <v>47.8646666666667</v>
      </c>
      <c r="J920" s="30" t="n">
        <v>3.19</v>
      </c>
      <c r="K920" s="30" t="n">
        <v>1.491</v>
      </c>
      <c r="L920" s="30" t="n">
        <v>1.767</v>
      </c>
      <c r="M920" s="30" t="n">
        <v>6.71</v>
      </c>
      <c r="N920" s="25" t="n">
        <v>0.120834049593641</v>
      </c>
      <c r="O920" s="17" t="n">
        <v>0</v>
      </c>
      <c r="P920" s="26" t="n">
        <v>0</v>
      </c>
      <c r="Q920" s="24" t="n">
        <f aca="false">IF(O920=1,1/(1+EXP(-(P920-Inputs!$B$12)/Inputs!$B$13)),0)</f>
        <v>0</v>
      </c>
      <c r="R920" s="24" t="n">
        <f aca="false">N920*O920</f>
        <v>0</v>
      </c>
      <c r="S920" s="12" t="n">
        <f aca="false">N920*Q920</f>
        <v>0</v>
      </c>
      <c r="T920" s="24" t="n">
        <f aca="false">N920^2</f>
        <v>0.0146008675411984</v>
      </c>
    </row>
    <row r="921" customFormat="false" ht="15" hidden="false" customHeight="false" outlineLevel="0" collapsed="false">
      <c r="A921" s="5" t="s">
        <v>1173</v>
      </c>
      <c r="B921" s="5" t="s">
        <v>229</v>
      </c>
      <c r="C921" s="5" t="s">
        <v>59</v>
      </c>
      <c r="D921" s="5" t="s">
        <v>65</v>
      </c>
      <c r="E921" s="5" t="s">
        <v>70</v>
      </c>
      <c r="F921" s="26" t="n">
        <v>64.76</v>
      </c>
      <c r="G921" s="26" t="n">
        <v>63.92</v>
      </c>
      <c r="H921" s="30" t="n">
        <v>2.081</v>
      </c>
      <c r="I921" s="28" t="n">
        <f aca="false">H921*G921/3.6</f>
        <v>36.9493111111111</v>
      </c>
      <c r="J921" s="30" t="n">
        <v>5.32</v>
      </c>
      <c r="K921" s="30" t="n">
        <v>1.129</v>
      </c>
      <c r="L921" s="30" t="n">
        <v>1.512</v>
      </c>
      <c r="M921" s="30" t="n">
        <v>5.15</v>
      </c>
      <c r="N921" s="25" t="n">
        <v>0.49335943477714</v>
      </c>
      <c r="O921" s="17" t="n">
        <v>0</v>
      </c>
      <c r="P921" s="26" t="n">
        <v>0</v>
      </c>
      <c r="Q921" s="24" t="n">
        <f aca="false">IF(O921=1,1/(1+EXP(-(P921-Inputs!$B$12)/Inputs!$B$13)),0)</f>
        <v>0</v>
      </c>
      <c r="R921" s="24" t="n">
        <f aca="false">N921*O921</f>
        <v>0</v>
      </c>
      <c r="S921" s="12" t="n">
        <f aca="false">N921*Q921</f>
        <v>0</v>
      </c>
      <c r="T921" s="24" t="n">
        <f aca="false">N921^2</f>
        <v>0.243403531883619</v>
      </c>
    </row>
    <row r="922" customFormat="false" ht="15" hidden="false" customHeight="false" outlineLevel="0" collapsed="false">
      <c r="A922" s="5" t="s">
        <v>1174</v>
      </c>
      <c r="B922" s="5" t="s">
        <v>229</v>
      </c>
      <c r="C922" s="5" t="s">
        <v>59</v>
      </c>
      <c r="D922" s="5" t="s">
        <v>65</v>
      </c>
      <c r="E922" s="5" t="s">
        <v>70</v>
      </c>
      <c r="F922" s="26" t="n">
        <v>65.45</v>
      </c>
      <c r="G922" s="26" t="n">
        <v>63.74</v>
      </c>
      <c r="H922" s="30" t="n">
        <v>2.278</v>
      </c>
      <c r="I922" s="28" t="n">
        <f aca="false">H922*G922/3.6</f>
        <v>40.3332555555556</v>
      </c>
      <c r="J922" s="30" t="n">
        <v>3.31</v>
      </c>
      <c r="K922" s="30" t="n">
        <v>1.174</v>
      </c>
      <c r="L922" s="30" t="n">
        <v>1.99</v>
      </c>
      <c r="M922" s="30" t="n">
        <v>6.95</v>
      </c>
      <c r="N922" s="25" t="n">
        <v>0.0730671626966042</v>
      </c>
      <c r="O922" s="17" t="n">
        <v>0</v>
      </c>
      <c r="P922" s="26" t="n">
        <v>0</v>
      </c>
      <c r="Q922" s="24" t="n">
        <f aca="false">IF(O922=1,1/(1+EXP(-(P922-Inputs!$B$12)/Inputs!$B$13)),0)</f>
        <v>0</v>
      </c>
      <c r="R922" s="24" t="n">
        <f aca="false">N922*O922</f>
        <v>0</v>
      </c>
      <c r="S922" s="12" t="n">
        <f aca="false">N922*Q922</f>
        <v>0</v>
      </c>
      <c r="T922" s="24" t="n">
        <f aca="false">N922^2</f>
        <v>0.00533881026453203</v>
      </c>
    </row>
    <row r="923" customFormat="false" ht="15" hidden="false" customHeight="false" outlineLevel="0" collapsed="false">
      <c r="A923" s="5" t="s">
        <v>1175</v>
      </c>
      <c r="B923" s="5" t="s">
        <v>229</v>
      </c>
      <c r="C923" s="5" t="s">
        <v>59</v>
      </c>
      <c r="D923" s="5" t="s">
        <v>65</v>
      </c>
      <c r="E923" s="5" t="s">
        <v>70</v>
      </c>
      <c r="F923" s="26" t="n">
        <v>72.49</v>
      </c>
      <c r="G923" s="26" t="n">
        <v>72.2</v>
      </c>
      <c r="H923" s="30" t="n">
        <v>2.255</v>
      </c>
      <c r="I923" s="28" t="n">
        <f aca="false">H923*G923/3.6</f>
        <v>45.2252777777778</v>
      </c>
      <c r="J923" s="30" t="n">
        <v>5.73</v>
      </c>
      <c r="K923" s="30" t="n">
        <v>3.389</v>
      </c>
      <c r="L923" s="30" t="n">
        <v>1.581</v>
      </c>
      <c r="M923" s="30" t="n">
        <v>6.42</v>
      </c>
      <c r="N923" s="25" t="n">
        <v>0.03068009514296</v>
      </c>
      <c r="O923" s="17" t="n">
        <v>0</v>
      </c>
      <c r="P923" s="26" t="n">
        <v>0</v>
      </c>
      <c r="Q923" s="24" t="n">
        <f aca="false">IF(O923=1,1/(1+EXP(-(P923-Inputs!$B$12)/Inputs!$B$13)),0)</f>
        <v>0</v>
      </c>
      <c r="R923" s="24" t="n">
        <f aca="false">N923*O923</f>
        <v>0</v>
      </c>
      <c r="S923" s="12" t="n">
        <f aca="false">N923*Q923</f>
        <v>0</v>
      </c>
      <c r="T923" s="24" t="n">
        <f aca="false">N923^2</f>
        <v>0.000941268237981077</v>
      </c>
    </row>
    <row r="924" customFormat="false" ht="15" hidden="false" customHeight="false" outlineLevel="0" collapsed="false">
      <c r="A924" s="5" t="s">
        <v>1176</v>
      </c>
      <c r="B924" s="5" t="s">
        <v>229</v>
      </c>
      <c r="C924" s="5" t="s">
        <v>59</v>
      </c>
      <c r="D924" s="5" t="s">
        <v>65</v>
      </c>
      <c r="E924" s="5" t="s">
        <v>70</v>
      </c>
      <c r="F924" s="26" t="n">
        <v>68.24</v>
      </c>
      <c r="G924" s="26" t="n">
        <v>69.15</v>
      </c>
      <c r="H924" s="30" t="n">
        <v>2.515</v>
      </c>
      <c r="I924" s="28" t="n">
        <f aca="false">H924*G924/3.6</f>
        <v>48.3089583333333</v>
      </c>
      <c r="J924" s="30" t="n">
        <v>2.79</v>
      </c>
      <c r="K924" s="30" t="n">
        <v>1.8</v>
      </c>
      <c r="L924" s="30" t="n">
        <v>0.787</v>
      </c>
      <c r="M924" s="30" t="n">
        <v>7.68</v>
      </c>
      <c r="N924" s="25" t="n">
        <v>0.650384994043938</v>
      </c>
      <c r="O924" s="17" t="n">
        <v>0</v>
      </c>
      <c r="P924" s="26" t="n">
        <v>0</v>
      </c>
      <c r="Q924" s="24" t="n">
        <f aca="false">IF(O924=1,1/(1+EXP(-(P924-Inputs!$B$12)/Inputs!$B$13)),0)</f>
        <v>0</v>
      </c>
      <c r="R924" s="24" t="n">
        <f aca="false">N924*O924</f>
        <v>0</v>
      </c>
      <c r="S924" s="12" t="n">
        <f aca="false">N924*Q924</f>
        <v>0</v>
      </c>
      <c r="T924" s="24" t="n">
        <f aca="false">N924^2</f>
        <v>0.423000640477533</v>
      </c>
    </row>
    <row r="925" customFormat="false" ht="15" hidden="false" customHeight="false" outlineLevel="0" collapsed="false">
      <c r="A925" s="5" t="s">
        <v>1177</v>
      </c>
      <c r="B925" s="5" t="s">
        <v>229</v>
      </c>
      <c r="C925" s="5" t="s">
        <v>59</v>
      </c>
      <c r="D925" s="5" t="s">
        <v>65</v>
      </c>
      <c r="E925" s="5" t="s">
        <v>70</v>
      </c>
      <c r="F925" s="26" t="n">
        <v>64.36</v>
      </c>
      <c r="G925" s="26" t="n">
        <v>66.97</v>
      </c>
      <c r="H925" s="30" t="n">
        <v>2.005</v>
      </c>
      <c r="I925" s="28" t="n">
        <f aca="false">H925*G925/3.6</f>
        <v>37.2985694444444</v>
      </c>
      <c r="J925" s="30" t="n">
        <v>5.12</v>
      </c>
      <c r="K925" s="30" t="n">
        <v>2.418</v>
      </c>
      <c r="L925" s="30" t="n">
        <v>1.652</v>
      </c>
      <c r="M925" s="30" t="n">
        <v>4.65</v>
      </c>
      <c r="N925" s="25" t="n">
        <v>0.143971747857093</v>
      </c>
      <c r="O925" s="17" t="n">
        <v>0</v>
      </c>
      <c r="P925" s="26" t="n">
        <v>0</v>
      </c>
      <c r="Q925" s="24" t="n">
        <f aca="false">IF(O925=1,1/(1+EXP(-(P925-Inputs!$B$12)/Inputs!$B$13)),0)</f>
        <v>0</v>
      </c>
      <c r="R925" s="24" t="n">
        <f aca="false">N925*O925</f>
        <v>0</v>
      </c>
      <c r="S925" s="12" t="n">
        <f aca="false">N925*Q925</f>
        <v>0</v>
      </c>
      <c r="T925" s="24" t="n">
        <f aca="false">N925^2</f>
        <v>0.0207278641810263</v>
      </c>
    </row>
    <row r="926" customFormat="false" ht="15" hidden="false" customHeight="false" outlineLevel="0" collapsed="false">
      <c r="A926" s="5" t="s">
        <v>1178</v>
      </c>
      <c r="B926" s="5" t="s">
        <v>230</v>
      </c>
      <c r="C926" s="5" t="s">
        <v>59</v>
      </c>
      <c r="D926" s="5" t="s">
        <v>65</v>
      </c>
      <c r="E926" s="5" t="s">
        <v>71</v>
      </c>
      <c r="F926" s="26" t="n">
        <v>67.23</v>
      </c>
      <c r="G926" s="26" t="n">
        <v>69.67</v>
      </c>
      <c r="H926" s="30" t="n">
        <v>1.717</v>
      </c>
      <c r="I926" s="28" t="n">
        <f aca="false">H926*G926/3.6</f>
        <v>33.2287194444445</v>
      </c>
      <c r="J926" s="30" t="n">
        <v>4.52</v>
      </c>
      <c r="K926" s="30" t="n">
        <v>1.032</v>
      </c>
      <c r="L926" s="30" t="n">
        <v>2.2</v>
      </c>
      <c r="M926" s="30" t="n">
        <v>6.37</v>
      </c>
      <c r="N926" s="25" t="n">
        <v>0.0757650069408185</v>
      </c>
      <c r="O926" s="17" t="n">
        <v>0</v>
      </c>
      <c r="P926" s="26" t="n">
        <v>0</v>
      </c>
      <c r="Q926" s="24" t="n">
        <f aca="false">IF(O926=1,1/(1+EXP(-(P926-Inputs!$B$12)/Inputs!$B$13)),0)</f>
        <v>0</v>
      </c>
      <c r="R926" s="24" t="n">
        <f aca="false">N926*O926</f>
        <v>0</v>
      </c>
      <c r="S926" s="12" t="n">
        <f aca="false">N926*Q926</f>
        <v>0</v>
      </c>
      <c r="T926" s="24" t="n">
        <f aca="false">N926^2</f>
        <v>0.00574033627674227</v>
      </c>
    </row>
    <row r="927" customFormat="false" ht="15" hidden="false" customHeight="false" outlineLevel="0" collapsed="false">
      <c r="A927" s="5" t="s">
        <v>1179</v>
      </c>
      <c r="B927" s="5" t="s">
        <v>230</v>
      </c>
      <c r="C927" s="5" t="s">
        <v>59</v>
      </c>
      <c r="D927" s="5" t="s">
        <v>65</v>
      </c>
      <c r="E927" s="5" t="s">
        <v>71</v>
      </c>
      <c r="F927" s="26" t="n">
        <v>63.38</v>
      </c>
      <c r="G927" s="26" t="n">
        <v>63.58</v>
      </c>
      <c r="H927" s="30" t="n">
        <v>1.683</v>
      </c>
      <c r="I927" s="28" t="n">
        <f aca="false">H927*G927/3.6</f>
        <v>29.72365</v>
      </c>
      <c r="J927" s="30" t="n">
        <v>3.44</v>
      </c>
      <c r="K927" s="30" t="n">
        <v>1.149</v>
      </c>
      <c r="L927" s="30" t="n">
        <v>0.92</v>
      </c>
      <c r="M927" s="30" t="n">
        <v>6.9</v>
      </c>
      <c r="N927" s="25" t="n">
        <v>1.3559385072589</v>
      </c>
      <c r="O927" s="17" t="n">
        <v>0</v>
      </c>
      <c r="P927" s="26" t="n">
        <v>0</v>
      </c>
      <c r="Q927" s="24" t="n">
        <f aca="false">IF(O927=1,1/(1+EXP(-(P927-Inputs!$B$12)/Inputs!$B$13)),0)</f>
        <v>0</v>
      </c>
      <c r="R927" s="24" t="n">
        <f aca="false">N927*O927</f>
        <v>0</v>
      </c>
      <c r="S927" s="12" t="n">
        <f aca="false">N927*Q927</f>
        <v>0</v>
      </c>
      <c r="T927" s="24" t="n">
        <f aca="false">N927^2</f>
        <v>1.8385692354675</v>
      </c>
    </row>
    <row r="928" customFormat="false" ht="15" hidden="false" customHeight="false" outlineLevel="0" collapsed="false">
      <c r="A928" s="5" t="s">
        <v>1180</v>
      </c>
      <c r="B928" s="5" t="s">
        <v>230</v>
      </c>
      <c r="C928" s="5" t="s">
        <v>59</v>
      </c>
      <c r="D928" s="5" t="s">
        <v>65</v>
      </c>
      <c r="E928" s="5" t="s">
        <v>71</v>
      </c>
      <c r="F928" s="26" t="n">
        <v>66.88</v>
      </c>
      <c r="G928" s="26" t="n">
        <v>65.22</v>
      </c>
      <c r="H928" s="30" t="n">
        <v>1.557</v>
      </c>
      <c r="I928" s="28" t="n">
        <f aca="false">H928*G928/3.6</f>
        <v>28.20765</v>
      </c>
      <c r="J928" s="30" t="n">
        <v>5.22</v>
      </c>
      <c r="K928" s="30" t="n">
        <v>0.658</v>
      </c>
      <c r="L928" s="30" t="n">
        <v>1.848</v>
      </c>
      <c r="M928" s="30" t="n">
        <v>5.21</v>
      </c>
      <c r="N928" s="25" t="n">
        <v>0.567275459877882</v>
      </c>
      <c r="O928" s="17" t="n">
        <v>0</v>
      </c>
      <c r="P928" s="26" t="n">
        <v>0</v>
      </c>
      <c r="Q928" s="24" t="n">
        <f aca="false">IF(O928=1,1/(1+EXP(-(P928-Inputs!$B$12)/Inputs!$B$13)),0)</f>
        <v>0</v>
      </c>
      <c r="R928" s="24" t="n">
        <f aca="false">N928*O928</f>
        <v>0</v>
      </c>
      <c r="S928" s="12" t="n">
        <f aca="false">N928*Q928</f>
        <v>0</v>
      </c>
      <c r="T928" s="24" t="n">
        <f aca="false">N928^2</f>
        <v>0.321801447379662</v>
      </c>
    </row>
    <row r="929" customFormat="false" ht="15" hidden="false" customHeight="false" outlineLevel="0" collapsed="false">
      <c r="A929" s="5" t="s">
        <v>1181</v>
      </c>
      <c r="B929" s="5" t="s">
        <v>230</v>
      </c>
      <c r="C929" s="5" t="s">
        <v>59</v>
      </c>
      <c r="D929" s="5" t="s">
        <v>65</v>
      </c>
      <c r="E929" s="5" t="s">
        <v>71</v>
      </c>
      <c r="F929" s="26" t="n">
        <v>70.55</v>
      </c>
      <c r="G929" s="26" t="n">
        <v>69.59</v>
      </c>
      <c r="H929" s="30" t="n">
        <v>1.543</v>
      </c>
      <c r="I929" s="28" t="n">
        <f aca="false">H929*G929/3.6</f>
        <v>29.8270472222222</v>
      </c>
      <c r="J929" s="30" t="n">
        <v>3.97</v>
      </c>
      <c r="K929" s="30" t="n">
        <v>1.029</v>
      </c>
      <c r="L929" s="30" t="n">
        <v>1.406</v>
      </c>
      <c r="M929" s="30" t="n">
        <v>6.93</v>
      </c>
      <c r="N929" s="25" t="n">
        <v>0.461933030303204</v>
      </c>
      <c r="O929" s="17" t="n">
        <v>0</v>
      </c>
      <c r="P929" s="26" t="n">
        <v>0</v>
      </c>
      <c r="Q929" s="24" t="n">
        <f aca="false">IF(O929=1,1/(1+EXP(-(P929-Inputs!$B$12)/Inputs!$B$13)),0)</f>
        <v>0</v>
      </c>
      <c r="R929" s="24" t="n">
        <f aca="false">N929*O929</f>
        <v>0</v>
      </c>
      <c r="S929" s="12" t="n">
        <f aca="false">N929*Q929</f>
        <v>0</v>
      </c>
      <c r="T929" s="24" t="n">
        <f aca="false">N929^2</f>
        <v>0.213382124485101</v>
      </c>
    </row>
    <row r="930" customFormat="false" ht="15" hidden="false" customHeight="false" outlineLevel="0" collapsed="false">
      <c r="A930" s="5" t="s">
        <v>1182</v>
      </c>
      <c r="B930" s="5" t="s">
        <v>230</v>
      </c>
      <c r="C930" s="5" t="s">
        <v>59</v>
      </c>
      <c r="D930" s="5" t="s">
        <v>65</v>
      </c>
      <c r="E930" s="5" t="s">
        <v>71</v>
      </c>
      <c r="F930" s="26" t="n">
        <v>69.64</v>
      </c>
      <c r="G930" s="26" t="n">
        <v>71.24</v>
      </c>
      <c r="H930" s="30" t="n">
        <v>1.549</v>
      </c>
      <c r="I930" s="28" t="n">
        <f aca="false">H930*G930/3.6</f>
        <v>30.6529888888889</v>
      </c>
      <c r="J930" s="30" t="n">
        <v>5.23</v>
      </c>
      <c r="K930" s="30" t="n">
        <v>1.247</v>
      </c>
      <c r="L930" s="30" t="n">
        <v>1.255</v>
      </c>
      <c r="M930" s="30" t="n">
        <v>4.54</v>
      </c>
      <c r="N930" s="25" t="n">
        <v>0.886479488734242</v>
      </c>
      <c r="O930" s="17" t="n">
        <v>0</v>
      </c>
      <c r="P930" s="26" t="n">
        <v>0</v>
      </c>
      <c r="Q930" s="24" t="n">
        <f aca="false">IF(O930=1,1/(1+EXP(-(P930-Inputs!$B$12)/Inputs!$B$13)),0)</f>
        <v>0</v>
      </c>
      <c r="R930" s="24" t="n">
        <f aca="false">N930*O930</f>
        <v>0</v>
      </c>
      <c r="S930" s="12" t="n">
        <f aca="false">N930*Q930</f>
        <v>0</v>
      </c>
      <c r="T930" s="24" t="n">
        <f aca="false">N930^2</f>
        <v>0.785845883946523</v>
      </c>
    </row>
    <row r="931" customFormat="false" ht="15" hidden="false" customHeight="false" outlineLevel="0" collapsed="false">
      <c r="A931" s="5" t="s">
        <v>1183</v>
      </c>
      <c r="B931" s="5" t="s">
        <v>230</v>
      </c>
      <c r="C931" s="5" t="s">
        <v>59</v>
      </c>
      <c r="D931" s="5" t="s">
        <v>65</v>
      </c>
      <c r="E931" s="5" t="s">
        <v>71</v>
      </c>
      <c r="F931" s="26" t="n">
        <v>59.36</v>
      </c>
      <c r="G931" s="26" t="n">
        <v>60.12</v>
      </c>
      <c r="H931" s="30" t="n">
        <v>1.727</v>
      </c>
      <c r="I931" s="28" t="n">
        <f aca="false">H931*G931/3.6</f>
        <v>28.8409</v>
      </c>
      <c r="J931" s="30" t="n">
        <v>3.19</v>
      </c>
      <c r="K931" s="30" t="n">
        <v>1.805</v>
      </c>
      <c r="L931" s="30" t="n">
        <v>1.741</v>
      </c>
      <c r="M931" s="30" t="n">
        <v>6.84</v>
      </c>
      <c r="N931" s="25" t="n">
        <v>0.0781612356759164</v>
      </c>
      <c r="O931" s="17" t="n">
        <v>0</v>
      </c>
      <c r="P931" s="26" t="n">
        <v>0</v>
      </c>
      <c r="Q931" s="24" t="n">
        <f aca="false">IF(O931=1,1/(1+EXP(-(P931-Inputs!$B$12)/Inputs!$B$13)),0)</f>
        <v>0</v>
      </c>
      <c r="R931" s="24" t="n">
        <f aca="false">N931*O931</f>
        <v>0</v>
      </c>
      <c r="S931" s="12" t="n">
        <f aca="false">N931*Q931</f>
        <v>0</v>
      </c>
      <c r="T931" s="24" t="n">
        <f aca="false">N931^2</f>
        <v>0.00610917876238615</v>
      </c>
    </row>
    <row r="932" customFormat="false" ht="15" hidden="false" customHeight="false" outlineLevel="0" collapsed="false">
      <c r="A932" s="5" t="s">
        <v>1184</v>
      </c>
      <c r="B932" s="5" t="s">
        <v>230</v>
      </c>
      <c r="C932" s="5" t="s">
        <v>59</v>
      </c>
      <c r="D932" s="5" t="s">
        <v>65</v>
      </c>
      <c r="E932" s="5" t="s">
        <v>71</v>
      </c>
      <c r="F932" s="26" t="n">
        <v>72.87</v>
      </c>
      <c r="G932" s="26" t="n">
        <v>72.85</v>
      </c>
      <c r="H932" s="30" t="n">
        <v>1.707</v>
      </c>
      <c r="I932" s="28" t="n">
        <f aca="false">H932*G932/3.6</f>
        <v>34.5430416666667</v>
      </c>
      <c r="J932" s="30" t="n">
        <v>5.38</v>
      </c>
      <c r="K932" s="30" t="n">
        <v>1.533</v>
      </c>
      <c r="L932" s="30" t="n">
        <v>1.196</v>
      </c>
      <c r="M932" s="30" t="n">
        <v>6.85</v>
      </c>
      <c r="N932" s="25" t="n">
        <v>0.365975772507099</v>
      </c>
      <c r="O932" s="17" t="n">
        <v>0</v>
      </c>
      <c r="P932" s="26" t="n">
        <v>0</v>
      </c>
      <c r="Q932" s="24" t="n">
        <f aca="false">IF(O932=1,1/(1+EXP(-(P932-Inputs!$B$12)/Inputs!$B$13)),0)</f>
        <v>0</v>
      </c>
      <c r="R932" s="24" t="n">
        <f aca="false">N932*O932</f>
        <v>0</v>
      </c>
      <c r="S932" s="12" t="n">
        <f aca="false">N932*Q932</f>
        <v>0</v>
      </c>
      <c r="T932" s="24" t="n">
        <f aca="false">N932^2</f>
        <v>0.133938266062168</v>
      </c>
    </row>
    <row r="933" customFormat="false" ht="15" hidden="false" customHeight="false" outlineLevel="0" collapsed="false">
      <c r="A933" s="5" t="s">
        <v>1185</v>
      </c>
      <c r="B933" s="5" t="s">
        <v>230</v>
      </c>
      <c r="C933" s="5" t="s">
        <v>59</v>
      </c>
      <c r="D933" s="5" t="s">
        <v>65</v>
      </c>
      <c r="E933" s="5" t="s">
        <v>71</v>
      </c>
      <c r="F933" s="26" t="n">
        <v>66.15</v>
      </c>
      <c r="G933" s="26" t="n">
        <v>64.29</v>
      </c>
      <c r="H933" s="30" t="n">
        <v>1.762</v>
      </c>
      <c r="I933" s="28" t="n">
        <f aca="false">H933*G933/3.6</f>
        <v>31.4663833333333</v>
      </c>
      <c r="J933" s="30" t="n">
        <v>4.22</v>
      </c>
      <c r="K933" s="30" t="n">
        <v>2.21</v>
      </c>
      <c r="L933" s="30" t="n">
        <v>1.159</v>
      </c>
      <c r="M933" s="30" t="n">
        <v>3.76</v>
      </c>
      <c r="N933" s="25" t="n">
        <v>0.564060972317293</v>
      </c>
      <c r="O933" s="17" t="n">
        <v>0</v>
      </c>
      <c r="P933" s="26" t="n">
        <v>0</v>
      </c>
      <c r="Q933" s="24" t="n">
        <f aca="false">IF(O933=1,1/(1+EXP(-(P933-Inputs!$B$12)/Inputs!$B$13)),0)</f>
        <v>0</v>
      </c>
      <c r="R933" s="24" t="n">
        <f aca="false">N933*O933</f>
        <v>0</v>
      </c>
      <c r="S933" s="12" t="n">
        <f aca="false">N933*Q933</f>
        <v>0</v>
      </c>
      <c r="T933" s="24" t="n">
        <f aca="false">N933^2</f>
        <v>0.31816478049153</v>
      </c>
    </row>
    <row r="934" customFormat="false" ht="15" hidden="false" customHeight="false" outlineLevel="0" collapsed="false">
      <c r="A934" s="5" t="s">
        <v>1186</v>
      </c>
      <c r="B934" s="5" t="s">
        <v>230</v>
      </c>
      <c r="C934" s="5" t="s">
        <v>59</v>
      </c>
      <c r="D934" s="5" t="s">
        <v>65</v>
      </c>
      <c r="E934" s="5" t="s">
        <v>71</v>
      </c>
      <c r="F934" s="26" t="n">
        <v>69.05</v>
      </c>
      <c r="G934" s="26" t="n">
        <v>67.29</v>
      </c>
      <c r="H934" s="30" t="n">
        <v>1.638</v>
      </c>
      <c r="I934" s="28" t="n">
        <f aca="false">H934*G934/3.6</f>
        <v>30.61695</v>
      </c>
      <c r="J934" s="30" t="n">
        <v>4.84</v>
      </c>
      <c r="K934" s="30" t="n">
        <v>1.427</v>
      </c>
      <c r="L934" s="30" t="n">
        <v>1.98</v>
      </c>
      <c r="M934" s="30" t="n">
        <v>7.64</v>
      </c>
      <c r="N934" s="25" t="n">
        <v>0.0350897477421172</v>
      </c>
      <c r="O934" s="17" t="n">
        <v>0</v>
      </c>
      <c r="P934" s="26" t="n">
        <v>0</v>
      </c>
      <c r="Q934" s="24" t="n">
        <f aca="false">IF(O934=1,1/(1+EXP(-(P934-Inputs!$B$12)/Inputs!$B$13)),0)</f>
        <v>0</v>
      </c>
      <c r="R934" s="24" t="n">
        <f aca="false">N934*O934</f>
        <v>0</v>
      </c>
      <c r="S934" s="12" t="n">
        <f aca="false">N934*Q934</f>
        <v>0</v>
      </c>
      <c r="T934" s="24" t="n">
        <f aca="false">N934^2</f>
        <v>0.00123129039660542</v>
      </c>
    </row>
    <row r="935" customFormat="false" ht="15" hidden="false" customHeight="false" outlineLevel="0" collapsed="false">
      <c r="A935" s="5" t="s">
        <v>1187</v>
      </c>
      <c r="B935" s="5" t="s">
        <v>230</v>
      </c>
      <c r="C935" s="5" t="s">
        <v>59</v>
      </c>
      <c r="D935" s="5" t="s">
        <v>65</v>
      </c>
      <c r="E935" s="5" t="s">
        <v>71</v>
      </c>
      <c r="F935" s="26" t="n">
        <v>65.59</v>
      </c>
      <c r="G935" s="26" t="n">
        <v>65.03</v>
      </c>
      <c r="H935" s="30" t="n">
        <v>1.594</v>
      </c>
      <c r="I935" s="28" t="n">
        <f aca="false">H935*G935/3.6</f>
        <v>28.7938388888889</v>
      </c>
      <c r="J935" s="30" t="n">
        <v>2.74</v>
      </c>
      <c r="K935" s="30" t="n">
        <v>1.909</v>
      </c>
      <c r="L935" s="30" t="n">
        <v>1.302</v>
      </c>
      <c r="M935" s="30" t="n">
        <v>5.64</v>
      </c>
      <c r="N935" s="25" t="n">
        <v>0.245860054845251</v>
      </c>
      <c r="O935" s="17" t="n">
        <v>0</v>
      </c>
      <c r="P935" s="26" t="n">
        <v>0</v>
      </c>
      <c r="Q935" s="24" t="n">
        <f aca="false">IF(O935=1,1/(1+EXP(-(P935-Inputs!$B$12)/Inputs!$B$13)),0)</f>
        <v>0</v>
      </c>
      <c r="R935" s="24" t="n">
        <f aca="false">N935*O935</f>
        <v>0</v>
      </c>
      <c r="S935" s="12" t="n">
        <f aca="false">N935*Q935</f>
        <v>0</v>
      </c>
      <c r="T935" s="24" t="n">
        <f aca="false">N935^2</f>
        <v>0.0604471665685098</v>
      </c>
    </row>
    <row r="936" customFormat="false" ht="15" hidden="false" customHeight="false" outlineLevel="0" collapsed="false">
      <c r="A936" s="5" t="s">
        <v>1188</v>
      </c>
      <c r="B936" s="5" t="s">
        <v>231</v>
      </c>
      <c r="C936" s="5" t="s">
        <v>59</v>
      </c>
      <c r="D936" s="5" t="s">
        <v>65</v>
      </c>
      <c r="E936" s="5" t="s">
        <v>72</v>
      </c>
      <c r="F936" s="26" t="n">
        <v>70.87</v>
      </c>
      <c r="G936" s="26" t="n">
        <v>72</v>
      </c>
      <c r="H936" s="30" t="n">
        <v>1.233</v>
      </c>
      <c r="I936" s="28" t="n">
        <f aca="false">H936*G936/3.6</f>
        <v>24.66</v>
      </c>
      <c r="J936" s="30" t="n">
        <v>2.55</v>
      </c>
      <c r="K936" s="30" t="n">
        <v>1.058</v>
      </c>
      <c r="L936" s="30" t="n">
        <v>1.91</v>
      </c>
      <c r="M936" s="30" t="n">
        <v>4.61</v>
      </c>
      <c r="N936" s="25" t="n">
        <v>0.251548147790481</v>
      </c>
      <c r="O936" s="17" t="n">
        <v>0</v>
      </c>
      <c r="P936" s="26" t="n">
        <v>0</v>
      </c>
      <c r="Q936" s="24" t="n">
        <f aca="false">IF(O936=1,1/(1+EXP(-(P936-Inputs!$B$12)/Inputs!$B$13)),0)</f>
        <v>0</v>
      </c>
      <c r="R936" s="24" t="n">
        <f aca="false">N936*O936</f>
        <v>0</v>
      </c>
      <c r="S936" s="12" t="n">
        <f aca="false">N936*Q936</f>
        <v>0</v>
      </c>
      <c r="T936" s="24" t="n">
        <f aca="false">N936^2</f>
        <v>0.0632764706568217</v>
      </c>
    </row>
    <row r="937" customFormat="false" ht="15" hidden="false" customHeight="false" outlineLevel="0" collapsed="false">
      <c r="A937" s="5" t="s">
        <v>1189</v>
      </c>
      <c r="B937" s="5" t="s">
        <v>231</v>
      </c>
      <c r="C937" s="5" t="s">
        <v>59</v>
      </c>
      <c r="D937" s="5" t="s">
        <v>65</v>
      </c>
      <c r="E937" s="5" t="s">
        <v>72</v>
      </c>
      <c r="F937" s="26" t="n">
        <v>65.31</v>
      </c>
      <c r="G937" s="26" t="n">
        <v>64.26</v>
      </c>
      <c r="H937" s="30" t="n">
        <v>1.039</v>
      </c>
      <c r="I937" s="28" t="n">
        <f aca="false">H937*G937/3.6</f>
        <v>18.54615</v>
      </c>
      <c r="J937" s="30" t="n">
        <v>5.63</v>
      </c>
      <c r="K937" s="30" t="n">
        <v>1.558</v>
      </c>
      <c r="L937" s="30" t="n">
        <v>2.355</v>
      </c>
      <c r="M937" s="30" t="n">
        <v>4.96</v>
      </c>
      <c r="N937" s="25" t="n">
        <v>0.035503898451073</v>
      </c>
      <c r="O937" s="17" t="n">
        <v>1</v>
      </c>
      <c r="P937" s="26" t="n">
        <v>15.56</v>
      </c>
      <c r="Q937" s="24" t="n">
        <f aca="false">IF(O937=1,1/(1+EXP(-(P937-Inputs!$B$12)/Inputs!$B$13)),0)</f>
        <v>0.0146910861341662</v>
      </c>
      <c r="R937" s="24" t="n">
        <f aca="false">N937*O937</f>
        <v>0.035503898451073</v>
      </c>
      <c r="S937" s="12" t="n">
        <f aca="false">N937*Q937</f>
        <v>0.000521590830243403</v>
      </c>
      <c r="T937" s="24" t="n">
        <f aca="false">N937^2</f>
        <v>0.0012605268052241</v>
      </c>
    </row>
    <row r="938" customFormat="false" ht="15" hidden="false" customHeight="false" outlineLevel="0" collapsed="false">
      <c r="A938" s="5" t="s">
        <v>1190</v>
      </c>
      <c r="B938" s="5" t="s">
        <v>231</v>
      </c>
      <c r="C938" s="5" t="s">
        <v>59</v>
      </c>
      <c r="D938" s="5" t="s">
        <v>65</v>
      </c>
      <c r="E938" s="5" t="s">
        <v>72</v>
      </c>
      <c r="F938" s="26" t="n">
        <v>67</v>
      </c>
      <c r="G938" s="26" t="n">
        <v>67.37</v>
      </c>
      <c r="H938" s="30" t="n">
        <v>1.205</v>
      </c>
      <c r="I938" s="28" t="n">
        <f aca="false">H938*G938/3.6</f>
        <v>22.5502361111111</v>
      </c>
      <c r="J938" s="30" t="n">
        <v>3.58</v>
      </c>
      <c r="K938" s="30" t="n">
        <v>1.409</v>
      </c>
      <c r="L938" s="30" t="n">
        <v>2.858</v>
      </c>
      <c r="M938" s="30" t="n">
        <v>4.34</v>
      </c>
      <c r="N938" s="25" t="n">
        <v>0.0183184477613393</v>
      </c>
      <c r="O938" s="17" t="n">
        <v>0</v>
      </c>
      <c r="P938" s="26" t="n">
        <v>0</v>
      </c>
      <c r="Q938" s="24" t="n">
        <f aca="false">IF(O938=1,1/(1+EXP(-(P938-Inputs!$B$12)/Inputs!$B$13)),0)</f>
        <v>0</v>
      </c>
      <c r="R938" s="24" t="n">
        <f aca="false">N938*O938</f>
        <v>0</v>
      </c>
      <c r="S938" s="12" t="n">
        <f aca="false">N938*Q938</f>
        <v>0</v>
      </c>
      <c r="T938" s="24" t="n">
        <f aca="false">N938^2</f>
        <v>0.000335565528384918</v>
      </c>
    </row>
    <row r="939" customFormat="false" ht="15" hidden="false" customHeight="false" outlineLevel="0" collapsed="false">
      <c r="A939" s="5" t="s">
        <v>1191</v>
      </c>
      <c r="B939" s="5" t="s">
        <v>231</v>
      </c>
      <c r="C939" s="5" t="s">
        <v>59</v>
      </c>
      <c r="D939" s="5" t="s">
        <v>65</v>
      </c>
      <c r="E939" s="5" t="s">
        <v>72</v>
      </c>
      <c r="F939" s="26" t="n">
        <v>68.15</v>
      </c>
      <c r="G939" s="26" t="n">
        <v>69.61</v>
      </c>
      <c r="H939" s="30" t="n">
        <v>1.198</v>
      </c>
      <c r="I939" s="28" t="n">
        <f aca="false">H939*G939/3.6</f>
        <v>23.1646611111111</v>
      </c>
      <c r="J939" s="30" t="n">
        <v>2.73</v>
      </c>
      <c r="K939" s="30" t="n">
        <v>0.611</v>
      </c>
      <c r="L939" s="30" t="n">
        <v>1.346</v>
      </c>
      <c r="M939" s="30" t="n">
        <v>4.18</v>
      </c>
      <c r="N939" s="25" t="n">
        <v>3.19134021385442</v>
      </c>
      <c r="O939" s="17" t="n">
        <v>0</v>
      </c>
      <c r="P939" s="26" t="n">
        <v>0</v>
      </c>
      <c r="Q939" s="24" t="n">
        <f aca="false">IF(O939=1,1/(1+EXP(-(P939-Inputs!$B$12)/Inputs!$B$13)),0)</f>
        <v>0</v>
      </c>
      <c r="R939" s="24" t="n">
        <f aca="false">N939*O939</f>
        <v>0</v>
      </c>
      <c r="S939" s="12" t="n">
        <f aca="false">N939*Q939</f>
        <v>0</v>
      </c>
      <c r="T939" s="24" t="n">
        <f aca="false">N939^2</f>
        <v>10.1846523605643</v>
      </c>
    </row>
    <row r="940" customFormat="false" ht="15" hidden="false" customHeight="false" outlineLevel="0" collapsed="false">
      <c r="A940" s="5" t="s">
        <v>1192</v>
      </c>
      <c r="B940" s="5" t="s">
        <v>231</v>
      </c>
      <c r="C940" s="5" t="s">
        <v>59</v>
      </c>
      <c r="D940" s="5" t="s">
        <v>65</v>
      </c>
      <c r="E940" s="5" t="s">
        <v>72</v>
      </c>
      <c r="F940" s="26" t="n">
        <v>69.31</v>
      </c>
      <c r="G940" s="26" t="n">
        <v>72.34</v>
      </c>
      <c r="H940" s="30" t="n">
        <v>1.142</v>
      </c>
      <c r="I940" s="28" t="n">
        <f aca="false">H940*G940/3.6</f>
        <v>22.9478555555556</v>
      </c>
      <c r="J940" s="30" t="n">
        <v>3.74</v>
      </c>
      <c r="K940" s="30" t="n">
        <v>1.59</v>
      </c>
      <c r="L940" s="30" t="n">
        <v>0.824</v>
      </c>
      <c r="M940" s="30" t="n">
        <v>7.73</v>
      </c>
      <c r="N940" s="25" t="n">
        <v>0.606757636726988</v>
      </c>
      <c r="O940" s="17" t="n">
        <v>0</v>
      </c>
      <c r="P940" s="26" t="n">
        <v>0</v>
      </c>
      <c r="Q940" s="24" t="n">
        <f aca="false">IF(O940=1,1/(1+EXP(-(P940-Inputs!$B$12)/Inputs!$B$13)),0)</f>
        <v>0</v>
      </c>
      <c r="R940" s="24" t="n">
        <f aca="false">N940*O940</f>
        <v>0</v>
      </c>
      <c r="S940" s="12" t="n">
        <f aca="false">N940*Q940</f>
        <v>0</v>
      </c>
      <c r="T940" s="24" t="n">
        <f aca="false">N940^2</f>
        <v>0.368154829726519</v>
      </c>
    </row>
    <row r="941" customFormat="false" ht="15" hidden="false" customHeight="false" outlineLevel="0" collapsed="false">
      <c r="A941" s="5" t="s">
        <v>1193</v>
      </c>
      <c r="B941" s="5" t="s">
        <v>231</v>
      </c>
      <c r="C941" s="5" t="s">
        <v>59</v>
      </c>
      <c r="D941" s="5" t="s">
        <v>65</v>
      </c>
      <c r="E941" s="5" t="s">
        <v>72</v>
      </c>
      <c r="F941" s="26" t="n">
        <v>59.36</v>
      </c>
      <c r="G941" s="26" t="n">
        <v>59.82</v>
      </c>
      <c r="H941" s="30" t="n">
        <v>1.011</v>
      </c>
      <c r="I941" s="28" t="n">
        <f aca="false">H941*G941/3.6</f>
        <v>16.79945</v>
      </c>
      <c r="J941" s="30" t="n">
        <v>3.47</v>
      </c>
      <c r="K941" s="30" t="n">
        <v>0.664</v>
      </c>
      <c r="L941" s="30" t="n">
        <v>1.548</v>
      </c>
      <c r="M941" s="30" t="n">
        <v>7.74</v>
      </c>
      <c r="N941" s="25" t="n">
        <v>0.569815479329875</v>
      </c>
      <c r="O941" s="17" t="n">
        <v>0</v>
      </c>
      <c r="P941" s="26" t="n">
        <v>0</v>
      </c>
      <c r="Q941" s="24" t="n">
        <f aca="false">IF(O941=1,1/(1+EXP(-(P941-Inputs!$B$12)/Inputs!$B$13)),0)</f>
        <v>0</v>
      </c>
      <c r="R941" s="24" t="n">
        <f aca="false">N941*O941</f>
        <v>0</v>
      </c>
      <c r="S941" s="12" t="n">
        <f aca="false">N941*Q941</f>
        <v>0</v>
      </c>
      <c r="T941" s="24" t="n">
        <f aca="false">N941^2</f>
        <v>0.324689680483935</v>
      </c>
    </row>
    <row r="942" customFormat="false" ht="15" hidden="false" customHeight="false" outlineLevel="0" collapsed="false">
      <c r="A942" s="5" t="s">
        <v>1194</v>
      </c>
      <c r="B942" s="5" t="s">
        <v>231</v>
      </c>
      <c r="C942" s="5" t="s">
        <v>59</v>
      </c>
      <c r="D942" s="5" t="s">
        <v>65</v>
      </c>
      <c r="E942" s="5" t="s">
        <v>72</v>
      </c>
      <c r="F942" s="26" t="n">
        <v>69.31</v>
      </c>
      <c r="G942" s="26" t="n">
        <v>71.46</v>
      </c>
      <c r="H942" s="30" t="n">
        <v>1.297</v>
      </c>
      <c r="I942" s="28" t="n">
        <f aca="false">H942*G942/3.6</f>
        <v>25.74545</v>
      </c>
      <c r="J942" s="30" t="n">
        <v>5.02</v>
      </c>
      <c r="K942" s="30" t="n">
        <v>3.975</v>
      </c>
      <c r="L942" s="30" t="n">
        <v>1.225</v>
      </c>
      <c r="M942" s="30" t="n">
        <v>7.94</v>
      </c>
      <c r="N942" s="25" t="n">
        <v>0.0389616063351016</v>
      </c>
      <c r="O942" s="17" t="n">
        <v>0</v>
      </c>
      <c r="P942" s="26" t="n">
        <v>0</v>
      </c>
      <c r="Q942" s="24" t="n">
        <f aca="false">IF(O942=1,1/(1+EXP(-(P942-Inputs!$B$12)/Inputs!$B$13)),0)</f>
        <v>0</v>
      </c>
      <c r="R942" s="24" t="n">
        <f aca="false">N942*O942</f>
        <v>0</v>
      </c>
      <c r="S942" s="12" t="n">
        <f aca="false">N942*Q942</f>
        <v>0</v>
      </c>
      <c r="T942" s="24" t="n">
        <f aca="false">N942^2</f>
        <v>0.00151800676821143</v>
      </c>
    </row>
    <row r="943" customFormat="false" ht="15" hidden="false" customHeight="false" outlineLevel="0" collapsed="false">
      <c r="A943" s="5" t="s">
        <v>1195</v>
      </c>
      <c r="B943" s="5" t="s">
        <v>231</v>
      </c>
      <c r="C943" s="5" t="s">
        <v>59</v>
      </c>
      <c r="D943" s="5" t="s">
        <v>65</v>
      </c>
      <c r="E943" s="5" t="s">
        <v>72</v>
      </c>
      <c r="F943" s="26" t="n">
        <v>73.36</v>
      </c>
      <c r="G943" s="26" t="n">
        <v>76.58</v>
      </c>
      <c r="H943" s="30" t="n">
        <v>1.05</v>
      </c>
      <c r="I943" s="28" t="n">
        <f aca="false">H943*G943/3.6</f>
        <v>22.3358333333333</v>
      </c>
      <c r="J943" s="30" t="n">
        <v>5.74</v>
      </c>
      <c r="K943" s="30" t="n">
        <v>0.981</v>
      </c>
      <c r="L943" s="30" t="n">
        <v>1.643</v>
      </c>
      <c r="M943" s="30" t="n">
        <v>6</v>
      </c>
      <c r="N943" s="25" t="n">
        <v>0.352750581568649</v>
      </c>
      <c r="O943" s="17" t="n">
        <v>0</v>
      </c>
      <c r="P943" s="26" t="n">
        <v>0</v>
      </c>
      <c r="Q943" s="24" t="n">
        <f aca="false">IF(O943=1,1/(1+EXP(-(P943-Inputs!$B$12)/Inputs!$B$13)),0)</f>
        <v>0</v>
      </c>
      <c r="R943" s="24" t="n">
        <f aca="false">N943*O943</f>
        <v>0</v>
      </c>
      <c r="S943" s="12" t="n">
        <f aca="false">N943*Q943</f>
        <v>0</v>
      </c>
      <c r="T943" s="24" t="n">
        <f aca="false">N943^2</f>
        <v>0.12443297279702</v>
      </c>
    </row>
    <row r="944" customFormat="false" ht="15" hidden="false" customHeight="false" outlineLevel="0" collapsed="false">
      <c r="A944" s="5" t="s">
        <v>1196</v>
      </c>
      <c r="B944" s="5" t="s">
        <v>231</v>
      </c>
      <c r="C944" s="5" t="s">
        <v>59</v>
      </c>
      <c r="D944" s="5" t="s">
        <v>65</v>
      </c>
      <c r="E944" s="5" t="s">
        <v>72</v>
      </c>
      <c r="F944" s="26" t="n">
        <v>55.61</v>
      </c>
      <c r="G944" s="26" t="n">
        <v>55.58</v>
      </c>
      <c r="H944" s="30" t="n">
        <v>1.239</v>
      </c>
      <c r="I944" s="28" t="n">
        <f aca="false">H944*G944/3.6</f>
        <v>19.1287833333333</v>
      </c>
      <c r="J944" s="30" t="n">
        <v>2.86</v>
      </c>
      <c r="K944" s="30" t="n">
        <v>0.767</v>
      </c>
      <c r="L944" s="30" t="n">
        <v>1.301</v>
      </c>
      <c r="M944" s="30" t="n">
        <v>5.18</v>
      </c>
      <c r="N944" s="25" t="n">
        <v>2.26515930633138</v>
      </c>
      <c r="O944" s="17" t="n">
        <v>0</v>
      </c>
      <c r="P944" s="26" t="n">
        <v>0</v>
      </c>
      <c r="Q944" s="24" t="n">
        <f aca="false">IF(O944=1,1/(1+EXP(-(P944-Inputs!$B$12)/Inputs!$B$13)),0)</f>
        <v>0</v>
      </c>
      <c r="R944" s="24" t="n">
        <f aca="false">N944*O944</f>
        <v>0</v>
      </c>
      <c r="S944" s="12" t="n">
        <f aca="false">N944*Q944</f>
        <v>0</v>
      </c>
      <c r="T944" s="24" t="n">
        <f aca="false">N944^2</f>
        <v>5.13094668305964</v>
      </c>
    </row>
    <row r="945" customFormat="false" ht="15" hidden="false" customHeight="false" outlineLevel="0" collapsed="false">
      <c r="A945" s="5" t="s">
        <v>1197</v>
      </c>
      <c r="B945" s="5" t="s">
        <v>231</v>
      </c>
      <c r="C945" s="5" t="s">
        <v>59</v>
      </c>
      <c r="D945" s="5" t="s">
        <v>65</v>
      </c>
      <c r="E945" s="5" t="s">
        <v>72</v>
      </c>
      <c r="F945" s="26" t="n">
        <v>73.15</v>
      </c>
      <c r="G945" s="26" t="n">
        <v>72.79</v>
      </c>
      <c r="H945" s="30" t="n">
        <v>1.136</v>
      </c>
      <c r="I945" s="28" t="n">
        <f aca="false">H945*G945/3.6</f>
        <v>22.9692888888889</v>
      </c>
      <c r="J945" s="30" t="n">
        <v>3.88</v>
      </c>
      <c r="K945" s="30" t="n">
        <v>0.547</v>
      </c>
      <c r="L945" s="30" t="n">
        <v>3.026</v>
      </c>
      <c r="M945" s="30" t="n">
        <v>4.54</v>
      </c>
      <c r="N945" s="25" t="n">
        <v>0.0659023331513707</v>
      </c>
      <c r="O945" s="17" t="n">
        <v>0</v>
      </c>
      <c r="P945" s="26" t="n">
        <v>0</v>
      </c>
      <c r="Q945" s="24" t="n">
        <f aca="false">IF(O945=1,1/(1+EXP(-(P945-Inputs!$B$12)/Inputs!$B$13)),0)</f>
        <v>0</v>
      </c>
      <c r="R945" s="24" t="n">
        <f aca="false">N945*O945</f>
        <v>0</v>
      </c>
      <c r="S945" s="12" t="n">
        <f aca="false">N945*Q945</f>
        <v>0</v>
      </c>
      <c r="T945" s="24" t="n">
        <f aca="false">N945^2</f>
        <v>0.00434311751479425</v>
      </c>
    </row>
    <row r="946" customFormat="false" ht="15" hidden="false" customHeight="false" outlineLevel="0" collapsed="false">
      <c r="A946" s="5" t="s">
        <v>1198</v>
      </c>
      <c r="B946" s="5" t="s">
        <v>232</v>
      </c>
      <c r="C946" s="5" t="s">
        <v>59</v>
      </c>
      <c r="D946" s="5" t="s">
        <v>65</v>
      </c>
      <c r="E946" s="5" t="s">
        <v>73</v>
      </c>
      <c r="F946" s="26" t="n">
        <v>60.1</v>
      </c>
      <c r="G946" s="26" t="n">
        <v>57.69</v>
      </c>
      <c r="H946" s="30" t="n">
        <v>0.817</v>
      </c>
      <c r="I946" s="28" t="n">
        <f aca="false">H946*G946/3.6</f>
        <v>13.092425</v>
      </c>
      <c r="J946" s="30" t="n">
        <v>3.24</v>
      </c>
      <c r="K946" s="30" t="n">
        <v>0.732</v>
      </c>
      <c r="L946" s="30" t="n">
        <v>0.683</v>
      </c>
      <c r="M946" s="30" t="n">
        <v>7.57</v>
      </c>
      <c r="N946" s="25" t="n">
        <v>6.68696975438193</v>
      </c>
      <c r="O946" s="17" t="n">
        <v>0</v>
      </c>
      <c r="P946" s="26" t="n">
        <v>0</v>
      </c>
      <c r="Q946" s="24" t="n">
        <f aca="false">IF(O946=1,1/(1+EXP(-(P946-Inputs!$B$12)/Inputs!$B$13)),0)</f>
        <v>0</v>
      </c>
      <c r="R946" s="24" t="n">
        <f aca="false">N946*O946</f>
        <v>0</v>
      </c>
      <c r="S946" s="12" t="n">
        <f aca="false">N946*Q946</f>
        <v>0</v>
      </c>
      <c r="T946" s="24" t="n">
        <f aca="false">N946^2</f>
        <v>44.7155644960187</v>
      </c>
    </row>
    <row r="947" customFormat="false" ht="15" hidden="false" customHeight="false" outlineLevel="0" collapsed="false">
      <c r="A947" s="5" t="s">
        <v>1199</v>
      </c>
      <c r="B947" s="5" t="s">
        <v>232</v>
      </c>
      <c r="C947" s="5" t="s">
        <v>59</v>
      </c>
      <c r="D947" s="5" t="s">
        <v>65</v>
      </c>
      <c r="E947" s="5" t="s">
        <v>73</v>
      </c>
      <c r="F947" s="26" t="n">
        <v>66.84</v>
      </c>
      <c r="G947" s="26" t="n">
        <v>67.49</v>
      </c>
      <c r="H947" s="30" t="n">
        <v>0.592</v>
      </c>
      <c r="I947" s="28" t="n">
        <f aca="false">H947*G947/3.6</f>
        <v>11.0983555555556</v>
      </c>
      <c r="J947" s="30" t="n">
        <v>2.59</v>
      </c>
      <c r="K947" s="30" t="n">
        <v>2.246</v>
      </c>
      <c r="L947" s="30" t="n">
        <v>1.772</v>
      </c>
      <c r="M947" s="30" t="n">
        <v>7.89</v>
      </c>
      <c r="N947" s="25" t="n">
        <v>0.0185767760028747</v>
      </c>
      <c r="O947" s="17" t="n">
        <v>0</v>
      </c>
      <c r="P947" s="26" t="n">
        <v>0</v>
      </c>
      <c r="Q947" s="24" t="n">
        <f aca="false">IF(O947=1,1/(1+EXP(-(P947-Inputs!$B$12)/Inputs!$B$13)),0)</f>
        <v>0</v>
      </c>
      <c r="R947" s="24" t="n">
        <f aca="false">N947*O947</f>
        <v>0</v>
      </c>
      <c r="S947" s="12" t="n">
        <f aca="false">N947*Q947</f>
        <v>0</v>
      </c>
      <c r="T947" s="24" t="n">
        <f aca="false">N947^2</f>
        <v>0.00034509660666098</v>
      </c>
    </row>
    <row r="948" customFormat="false" ht="15" hidden="false" customHeight="false" outlineLevel="0" collapsed="false">
      <c r="A948" s="5" t="s">
        <v>1200</v>
      </c>
      <c r="B948" s="5" t="s">
        <v>232</v>
      </c>
      <c r="C948" s="5" t="s">
        <v>59</v>
      </c>
      <c r="D948" s="5" t="s">
        <v>65</v>
      </c>
      <c r="E948" s="5" t="s">
        <v>73</v>
      </c>
      <c r="F948" s="26" t="n">
        <v>71.46</v>
      </c>
      <c r="G948" s="26" t="n">
        <v>70.59</v>
      </c>
      <c r="H948" s="30" t="n">
        <v>0.619</v>
      </c>
      <c r="I948" s="28" t="n">
        <f aca="false">H948*G948/3.6</f>
        <v>12.1375583333333</v>
      </c>
      <c r="J948" s="30" t="n">
        <v>5.45</v>
      </c>
      <c r="K948" s="30" t="n">
        <v>1.027</v>
      </c>
      <c r="L948" s="30" t="n">
        <v>2.127</v>
      </c>
      <c r="M948" s="30" t="n">
        <v>4.3</v>
      </c>
      <c r="N948" s="25" t="n">
        <v>0.161201804273511</v>
      </c>
      <c r="O948" s="17" t="n">
        <v>0</v>
      </c>
      <c r="P948" s="26" t="n">
        <v>0</v>
      </c>
      <c r="Q948" s="24" t="n">
        <f aca="false">IF(O948=1,1/(1+EXP(-(P948-Inputs!$B$12)/Inputs!$B$13)),0)</f>
        <v>0</v>
      </c>
      <c r="R948" s="24" t="n">
        <f aca="false">N948*O948</f>
        <v>0</v>
      </c>
      <c r="S948" s="12" t="n">
        <f aca="false">N948*Q948</f>
        <v>0</v>
      </c>
      <c r="T948" s="24" t="n">
        <f aca="false">N948^2</f>
        <v>0.0259860217010354</v>
      </c>
    </row>
    <row r="949" customFormat="false" ht="15" hidden="false" customHeight="false" outlineLevel="0" collapsed="false">
      <c r="A949" s="5" t="s">
        <v>1201</v>
      </c>
      <c r="B949" s="5" t="s">
        <v>232</v>
      </c>
      <c r="C949" s="5" t="s">
        <v>59</v>
      </c>
      <c r="D949" s="5" t="s">
        <v>65</v>
      </c>
      <c r="E949" s="5" t="s">
        <v>73</v>
      </c>
      <c r="F949" s="26" t="n">
        <v>55.41</v>
      </c>
      <c r="G949" s="26" t="n">
        <v>55.57</v>
      </c>
      <c r="H949" s="30" t="n">
        <v>0.856</v>
      </c>
      <c r="I949" s="28" t="n">
        <f aca="false">H949*G949/3.6</f>
        <v>13.2133111111111</v>
      </c>
      <c r="J949" s="30" t="n">
        <v>4.33</v>
      </c>
      <c r="K949" s="30" t="n">
        <v>4.495</v>
      </c>
      <c r="L949" s="30" t="n">
        <v>1.025</v>
      </c>
      <c r="M949" s="30" t="n">
        <v>6.38</v>
      </c>
      <c r="N949" s="25" t="n">
        <v>0.194990894493204</v>
      </c>
      <c r="O949" s="17" t="n">
        <v>0</v>
      </c>
      <c r="P949" s="26" t="n">
        <v>0</v>
      </c>
      <c r="Q949" s="24" t="n">
        <f aca="false">IF(O949=1,1/(1+EXP(-(P949-Inputs!$B$12)/Inputs!$B$13)),0)</f>
        <v>0</v>
      </c>
      <c r="R949" s="24" t="n">
        <f aca="false">N949*O949</f>
        <v>0</v>
      </c>
      <c r="S949" s="12" t="n">
        <f aca="false">N949*Q949</f>
        <v>0</v>
      </c>
      <c r="T949" s="24" t="n">
        <f aca="false">N949^2</f>
        <v>0.0380214489352597</v>
      </c>
    </row>
    <row r="950" customFormat="false" ht="15" hidden="false" customHeight="false" outlineLevel="0" collapsed="false">
      <c r="A950" s="5" t="s">
        <v>1202</v>
      </c>
      <c r="B950" s="5" t="s">
        <v>232</v>
      </c>
      <c r="C950" s="5" t="s">
        <v>59</v>
      </c>
      <c r="D950" s="5" t="s">
        <v>65</v>
      </c>
      <c r="E950" s="5" t="s">
        <v>73</v>
      </c>
      <c r="F950" s="26" t="n">
        <v>63.96</v>
      </c>
      <c r="G950" s="26" t="n">
        <v>61.12</v>
      </c>
      <c r="H950" s="30" t="n">
        <v>0.641</v>
      </c>
      <c r="I950" s="28" t="n">
        <f aca="false">H950*G950/3.6</f>
        <v>10.8827555555556</v>
      </c>
      <c r="J950" s="30" t="n">
        <v>2.55</v>
      </c>
      <c r="K950" s="30" t="n">
        <v>0.522</v>
      </c>
      <c r="L950" s="30" t="n">
        <v>1.112</v>
      </c>
      <c r="M950" s="30" t="n">
        <v>4.54</v>
      </c>
      <c r="N950" s="25" t="n">
        <v>6.46443061415835</v>
      </c>
      <c r="O950" s="17" t="n">
        <v>0</v>
      </c>
      <c r="P950" s="26" t="n">
        <v>0</v>
      </c>
      <c r="Q950" s="24" t="n">
        <f aca="false">IF(O950=1,1/(1+EXP(-(P950-Inputs!$B$12)/Inputs!$B$13)),0)</f>
        <v>0</v>
      </c>
      <c r="R950" s="24" t="n">
        <f aca="false">N950*O950</f>
        <v>0</v>
      </c>
      <c r="S950" s="12" t="n">
        <f aca="false">N950*Q950</f>
        <v>0</v>
      </c>
      <c r="T950" s="24" t="n">
        <f aca="false">N950^2</f>
        <v>41.7888631652677</v>
      </c>
    </row>
    <row r="951" customFormat="false" ht="15" hidden="false" customHeight="false" outlineLevel="0" collapsed="false">
      <c r="A951" s="5" t="s">
        <v>1203</v>
      </c>
      <c r="B951" s="5" t="s">
        <v>232</v>
      </c>
      <c r="C951" s="5" t="s">
        <v>59</v>
      </c>
      <c r="D951" s="5" t="s">
        <v>65</v>
      </c>
      <c r="E951" s="5" t="s">
        <v>73</v>
      </c>
      <c r="F951" s="26" t="n">
        <v>69.22</v>
      </c>
      <c r="G951" s="26" t="n">
        <v>71.33</v>
      </c>
      <c r="H951" s="30" t="n">
        <v>0.559</v>
      </c>
      <c r="I951" s="28" t="n">
        <f aca="false">H951*G951/3.6</f>
        <v>11.0759638888889</v>
      </c>
      <c r="J951" s="30" t="n">
        <v>4.25</v>
      </c>
      <c r="K951" s="30" t="n">
        <v>1.226</v>
      </c>
      <c r="L951" s="30" t="n">
        <v>1.115</v>
      </c>
      <c r="M951" s="30" t="n">
        <v>5.68</v>
      </c>
      <c r="N951" s="25" t="n">
        <v>0.930151124200666</v>
      </c>
      <c r="O951" s="17" t="n">
        <v>0</v>
      </c>
      <c r="P951" s="26" t="n">
        <v>0</v>
      </c>
      <c r="Q951" s="24" t="n">
        <f aca="false">IF(O951=1,1/(1+EXP(-(P951-Inputs!$B$12)/Inputs!$B$13)),0)</f>
        <v>0</v>
      </c>
      <c r="R951" s="24" t="n">
        <f aca="false">N951*O951</f>
        <v>0</v>
      </c>
      <c r="S951" s="12" t="n">
        <f aca="false">N951*Q951</f>
        <v>0</v>
      </c>
      <c r="T951" s="24" t="n">
        <f aca="false">N951^2</f>
        <v>0.865181113851762</v>
      </c>
    </row>
    <row r="952" customFormat="false" ht="15" hidden="false" customHeight="false" outlineLevel="0" collapsed="false">
      <c r="A952" s="5" t="s">
        <v>1204</v>
      </c>
      <c r="B952" s="5" t="s">
        <v>232</v>
      </c>
      <c r="C952" s="5" t="s">
        <v>59</v>
      </c>
      <c r="D952" s="5" t="s">
        <v>65</v>
      </c>
      <c r="E952" s="5" t="s">
        <v>73</v>
      </c>
      <c r="F952" s="26" t="n">
        <v>65.76</v>
      </c>
      <c r="G952" s="26" t="n">
        <v>66.41</v>
      </c>
      <c r="H952" s="30" t="n">
        <v>0.714</v>
      </c>
      <c r="I952" s="28" t="n">
        <f aca="false">H952*G952/3.6</f>
        <v>13.1713166666667</v>
      </c>
      <c r="J952" s="30" t="n">
        <v>4.09</v>
      </c>
      <c r="K952" s="30" t="n">
        <v>1.26</v>
      </c>
      <c r="L952" s="30" t="n">
        <v>1.473</v>
      </c>
      <c r="M952" s="30" t="n">
        <v>5.32</v>
      </c>
      <c r="N952" s="25" t="n">
        <v>0.429444362254393</v>
      </c>
      <c r="O952" s="17" t="n">
        <v>0</v>
      </c>
      <c r="P952" s="26" t="n">
        <v>0</v>
      </c>
      <c r="Q952" s="24" t="n">
        <f aca="false">IF(O952=1,1/(1+EXP(-(P952-Inputs!$B$12)/Inputs!$B$13)),0)</f>
        <v>0</v>
      </c>
      <c r="R952" s="24" t="n">
        <f aca="false">N952*O952</f>
        <v>0</v>
      </c>
      <c r="S952" s="12" t="n">
        <f aca="false">N952*Q952</f>
        <v>0</v>
      </c>
      <c r="T952" s="24" t="n">
        <f aca="false">N952^2</f>
        <v>0.184422460272082</v>
      </c>
    </row>
    <row r="953" customFormat="false" ht="15" hidden="false" customHeight="false" outlineLevel="0" collapsed="false">
      <c r="A953" s="5" t="s">
        <v>1205</v>
      </c>
      <c r="B953" s="5" t="s">
        <v>232</v>
      </c>
      <c r="C953" s="5" t="s">
        <v>59</v>
      </c>
      <c r="D953" s="5" t="s">
        <v>65</v>
      </c>
      <c r="E953" s="5" t="s">
        <v>73</v>
      </c>
      <c r="F953" s="26" t="n">
        <v>59.89</v>
      </c>
      <c r="G953" s="26" t="n">
        <v>60.05</v>
      </c>
      <c r="H953" s="30" t="n">
        <v>0.792</v>
      </c>
      <c r="I953" s="28" t="n">
        <f aca="false">H953*G953/3.6</f>
        <v>13.211</v>
      </c>
      <c r="J953" s="30" t="n">
        <v>3.36</v>
      </c>
      <c r="K953" s="30" t="n">
        <v>2.153</v>
      </c>
      <c r="L953" s="30" t="n">
        <v>1.117</v>
      </c>
      <c r="M953" s="30" t="n">
        <v>4.91</v>
      </c>
      <c r="N953" s="25" t="n">
        <v>0.526527328255227</v>
      </c>
      <c r="O953" s="17" t="n">
        <v>0</v>
      </c>
      <c r="P953" s="26" t="n">
        <v>0</v>
      </c>
      <c r="Q953" s="24" t="n">
        <f aca="false">IF(O953=1,1/(1+EXP(-(P953-Inputs!$B$12)/Inputs!$B$13)),0)</f>
        <v>0</v>
      </c>
      <c r="R953" s="24" t="n">
        <f aca="false">N953*O953</f>
        <v>0</v>
      </c>
      <c r="S953" s="12" t="n">
        <f aca="false">N953*Q953</f>
        <v>0</v>
      </c>
      <c r="T953" s="24" t="n">
        <f aca="false">N953^2</f>
        <v>0.277231027399588</v>
      </c>
    </row>
    <row r="954" customFormat="false" ht="15" hidden="false" customHeight="false" outlineLevel="0" collapsed="false">
      <c r="A954" s="5" t="s">
        <v>1206</v>
      </c>
      <c r="B954" s="5" t="s">
        <v>232</v>
      </c>
      <c r="C954" s="5" t="s">
        <v>59</v>
      </c>
      <c r="D954" s="5" t="s">
        <v>65</v>
      </c>
      <c r="E954" s="5" t="s">
        <v>73</v>
      </c>
      <c r="F954" s="26" t="n">
        <v>69.78</v>
      </c>
      <c r="G954" s="26" t="n">
        <v>69.86</v>
      </c>
      <c r="H954" s="30" t="n">
        <v>0.671</v>
      </c>
      <c r="I954" s="28" t="n">
        <f aca="false">H954*G954/3.6</f>
        <v>13.0211277777778</v>
      </c>
      <c r="J954" s="30" t="n">
        <v>5.99</v>
      </c>
      <c r="K954" s="30" t="n">
        <v>1.246</v>
      </c>
      <c r="L954" s="30" t="n">
        <v>2.081</v>
      </c>
      <c r="M954" s="30" t="n">
        <v>6.82</v>
      </c>
      <c r="N954" s="25" t="n">
        <v>0.0547092992722951</v>
      </c>
      <c r="O954" s="17" t="n">
        <v>1</v>
      </c>
      <c r="P954" s="26" t="n">
        <v>19.41</v>
      </c>
      <c r="Q954" s="24" t="n">
        <f aca="false">IF(O954=1,1/(1+EXP(-(P954-Inputs!$B$12)/Inputs!$B$13)),0)</f>
        <v>0.0251919940820696</v>
      </c>
      <c r="R954" s="24" t="n">
        <f aca="false">N954*O954</f>
        <v>0.0547092992722951</v>
      </c>
      <c r="S954" s="12" t="n">
        <f aca="false">N954*Q954</f>
        <v>0.00137823634350183</v>
      </c>
      <c r="T954" s="24" t="n">
        <f aca="false">N954^2</f>
        <v>0.00299310742686555</v>
      </c>
    </row>
    <row r="955" customFormat="false" ht="15" hidden="false" customHeight="false" outlineLevel="0" collapsed="false">
      <c r="A955" s="5" t="s">
        <v>1207</v>
      </c>
      <c r="B955" s="5" t="s">
        <v>232</v>
      </c>
      <c r="C955" s="5" t="s">
        <v>59</v>
      </c>
      <c r="D955" s="5" t="s">
        <v>65</v>
      </c>
      <c r="E955" s="5" t="s">
        <v>73</v>
      </c>
      <c r="F955" s="26" t="n">
        <v>57.21</v>
      </c>
      <c r="G955" s="26" t="n">
        <v>55.93</v>
      </c>
      <c r="H955" s="30" t="n">
        <v>0.533</v>
      </c>
      <c r="I955" s="28" t="n">
        <f aca="false">H955*G955/3.6</f>
        <v>8.28074722222222</v>
      </c>
      <c r="J955" s="30" t="n">
        <v>5.96</v>
      </c>
      <c r="K955" s="30" t="n">
        <v>0.703</v>
      </c>
      <c r="L955" s="30" t="n">
        <v>2.252</v>
      </c>
      <c r="M955" s="30" t="n">
        <v>6.37</v>
      </c>
      <c r="N955" s="25" t="n">
        <v>0.130798487236059</v>
      </c>
      <c r="O955" s="17" t="n">
        <v>1</v>
      </c>
      <c r="P955" s="26" t="n">
        <v>5.01</v>
      </c>
      <c r="Q955" s="24" t="n">
        <f aca="false">IF(O955=1,1/(1+EXP(-(P955-Inputs!$B$12)/Inputs!$B$13)),0)</f>
        <v>0.00329234592733455</v>
      </c>
      <c r="R955" s="24" t="n">
        <f aca="false">N955*O955</f>
        <v>0.130798487236059</v>
      </c>
      <c r="S955" s="12" t="n">
        <f aca="false">N955*Q955</f>
        <v>0.000430633866753158</v>
      </c>
      <c r="T955" s="24" t="n">
        <f aca="false">N955^2</f>
        <v>0.0171082442632414</v>
      </c>
    </row>
    <row r="956" customFormat="false" ht="15" hidden="false" customHeight="false" outlineLevel="0" collapsed="false">
      <c r="A956" s="5" t="s">
        <v>1208</v>
      </c>
      <c r="B956" s="5" t="s">
        <v>233</v>
      </c>
      <c r="C956" s="5" t="s">
        <v>59</v>
      </c>
      <c r="D956" s="5" t="s">
        <v>66</v>
      </c>
      <c r="E956" s="5" t="s">
        <v>68</v>
      </c>
      <c r="F956" s="26" t="n">
        <v>77.73</v>
      </c>
      <c r="G956" s="26" t="n">
        <v>76.57</v>
      </c>
      <c r="H956" s="30" t="n">
        <v>3.358</v>
      </c>
      <c r="I956" s="28" t="n">
        <f aca="false">H956*G956/3.6</f>
        <v>71.4227944444444</v>
      </c>
      <c r="J956" s="30" t="n">
        <v>2.51</v>
      </c>
      <c r="K956" s="30" t="n">
        <v>1.001</v>
      </c>
      <c r="L956" s="30" t="n">
        <v>1.766</v>
      </c>
      <c r="M956" s="30" t="n">
        <v>4.34</v>
      </c>
      <c r="N956" s="25" t="n">
        <v>0.422331876118098</v>
      </c>
      <c r="O956" s="17" t="n">
        <v>0</v>
      </c>
      <c r="P956" s="26" t="n">
        <v>0</v>
      </c>
      <c r="Q956" s="24" t="n">
        <f aca="false">IF(O956=1,1/(1+EXP(-(P956-Inputs!$B$12)/Inputs!$B$13)),0)</f>
        <v>0</v>
      </c>
      <c r="R956" s="24" t="n">
        <f aca="false">N956*O956</f>
        <v>0</v>
      </c>
      <c r="S956" s="12" t="n">
        <f aca="false">N956*Q956</f>
        <v>0</v>
      </c>
      <c r="T956" s="24" t="n">
        <f aca="false">N956^2</f>
        <v>0.178364213585433</v>
      </c>
    </row>
    <row r="957" customFormat="false" ht="15" hidden="false" customHeight="false" outlineLevel="0" collapsed="false">
      <c r="A957" s="5" t="s">
        <v>1209</v>
      </c>
      <c r="B957" s="5" t="s">
        <v>233</v>
      </c>
      <c r="C957" s="5" t="s">
        <v>59</v>
      </c>
      <c r="D957" s="5" t="s">
        <v>66</v>
      </c>
      <c r="E957" s="5" t="s">
        <v>68</v>
      </c>
      <c r="F957" s="26" t="n">
        <v>90.58</v>
      </c>
      <c r="G957" s="26" t="n">
        <v>88.71</v>
      </c>
      <c r="H957" s="30" t="n">
        <v>4.187</v>
      </c>
      <c r="I957" s="28" t="n">
        <f aca="false">H957*G957/3.6</f>
        <v>103.174658333333</v>
      </c>
      <c r="J957" s="30" t="n">
        <v>5.96</v>
      </c>
      <c r="K957" s="30" t="n">
        <v>0.993</v>
      </c>
      <c r="L957" s="30" t="n">
        <v>1.175</v>
      </c>
      <c r="M957" s="30" t="n">
        <v>7.12</v>
      </c>
      <c r="N957" s="25" t="n">
        <v>0.851100402626428</v>
      </c>
      <c r="O957" s="17" t="n">
        <v>0</v>
      </c>
      <c r="P957" s="26" t="n">
        <v>0</v>
      </c>
      <c r="Q957" s="24" t="n">
        <f aca="false">IF(O957=1,1/(1+EXP(-(P957-Inputs!$B$12)/Inputs!$B$13)),0)</f>
        <v>0</v>
      </c>
      <c r="R957" s="24" t="n">
        <f aca="false">N957*O957</f>
        <v>0</v>
      </c>
      <c r="S957" s="12" t="n">
        <f aca="false">N957*Q957</f>
        <v>0</v>
      </c>
      <c r="T957" s="24" t="n">
        <f aca="false">N957^2</f>
        <v>0.724371895350868</v>
      </c>
    </row>
    <row r="958" customFormat="false" ht="15" hidden="false" customHeight="false" outlineLevel="0" collapsed="false">
      <c r="A958" s="5" t="s">
        <v>1210</v>
      </c>
      <c r="B958" s="5" t="s">
        <v>233</v>
      </c>
      <c r="C958" s="5" t="s">
        <v>59</v>
      </c>
      <c r="D958" s="5" t="s">
        <v>66</v>
      </c>
      <c r="E958" s="5" t="s">
        <v>68</v>
      </c>
      <c r="F958" s="26" t="n">
        <v>92.42</v>
      </c>
      <c r="G958" s="26" t="n">
        <v>91.15</v>
      </c>
      <c r="H958" s="30" t="n">
        <v>5.563</v>
      </c>
      <c r="I958" s="28" t="n">
        <f aca="false">H958*G958/3.6</f>
        <v>140.852069444444</v>
      </c>
      <c r="J958" s="30" t="n">
        <v>5.31</v>
      </c>
      <c r="K958" s="30" t="n">
        <v>2.362</v>
      </c>
      <c r="L958" s="30" t="n">
        <v>0.726</v>
      </c>
      <c r="M958" s="30" t="n">
        <v>4.71</v>
      </c>
      <c r="N958" s="25" t="n">
        <v>1.43242637213825</v>
      </c>
      <c r="O958" s="17" t="n">
        <v>0</v>
      </c>
      <c r="P958" s="26" t="n">
        <v>0</v>
      </c>
      <c r="Q958" s="24" t="n">
        <f aca="false">IF(O958=1,1/(1+EXP(-(P958-Inputs!$B$12)/Inputs!$B$13)),0)</f>
        <v>0</v>
      </c>
      <c r="R958" s="24" t="n">
        <f aca="false">N958*O958</f>
        <v>0</v>
      </c>
      <c r="S958" s="12" t="n">
        <f aca="false">N958*Q958</f>
        <v>0</v>
      </c>
      <c r="T958" s="24" t="n">
        <f aca="false">N958^2</f>
        <v>2.05184531159716</v>
      </c>
    </row>
    <row r="959" customFormat="false" ht="15" hidden="false" customHeight="false" outlineLevel="0" collapsed="false">
      <c r="A959" s="5" t="s">
        <v>1211</v>
      </c>
      <c r="B959" s="5" t="s">
        <v>233</v>
      </c>
      <c r="C959" s="5" t="s">
        <v>59</v>
      </c>
      <c r="D959" s="5" t="s">
        <v>66</v>
      </c>
      <c r="E959" s="5" t="s">
        <v>68</v>
      </c>
      <c r="F959" s="26" t="n">
        <v>90.94</v>
      </c>
      <c r="G959" s="26" t="n">
        <v>93.55</v>
      </c>
      <c r="H959" s="30" t="n">
        <v>4.303</v>
      </c>
      <c r="I959" s="28" t="n">
        <f aca="false">H959*G959/3.6</f>
        <v>111.818236111111</v>
      </c>
      <c r="J959" s="30" t="n">
        <v>3.76</v>
      </c>
      <c r="K959" s="30" t="n">
        <v>0.941</v>
      </c>
      <c r="L959" s="30" t="n">
        <v>0.929</v>
      </c>
      <c r="M959" s="30" t="n">
        <v>5.99</v>
      </c>
      <c r="N959" s="25" t="n">
        <v>2.2467570835165</v>
      </c>
      <c r="O959" s="17" t="n">
        <v>0</v>
      </c>
      <c r="P959" s="26" t="n">
        <v>0</v>
      </c>
      <c r="Q959" s="24" t="n">
        <f aca="false">IF(O959=1,1/(1+EXP(-(P959-Inputs!$B$12)/Inputs!$B$13)),0)</f>
        <v>0</v>
      </c>
      <c r="R959" s="24" t="n">
        <f aca="false">N959*O959</f>
        <v>0</v>
      </c>
      <c r="S959" s="12" t="n">
        <f aca="false">N959*Q959</f>
        <v>0</v>
      </c>
      <c r="T959" s="24" t="n">
        <f aca="false">N959^2</f>
        <v>5.04791739233157</v>
      </c>
    </row>
    <row r="960" customFormat="false" ht="15" hidden="false" customHeight="false" outlineLevel="0" collapsed="false">
      <c r="A960" s="5" t="s">
        <v>1212</v>
      </c>
      <c r="B960" s="5" t="s">
        <v>233</v>
      </c>
      <c r="C960" s="5" t="s">
        <v>59</v>
      </c>
      <c r="D960" s="5" t="s">
        <v>66</v>
      </c>
      <c r="E960" s="5" t="s">
        <v>68</v>
      </c>
      <c r="F960" s="26" t="n">
        <v>87.24</v>
      </c>
      <c r="G960" s="26" t="n">
        <v>88.54</v>
      </c>
      <c r="H960" s="30" t="n">
        <v>5.362</v>
      </c>
      <c r="I960" s="28" t="n">
        <f aca="false">H960*G960/3.6</f>
        <v>131.875411111111</v>
      </c>
      <c r="J960" s="30" t="n">
        <v>4.81</v>
      </c>
      <c r="K960" s="30" t="n">
        <v>3.086</v>
      </c>
      <c r="L960" s="30" t="n">
        <v>1.043</v>
      </c>
      <c r="M960" s="30" t="n">
        <v>5.48</v>
      </c>
      <c r="N960" s="25" t="n">
        <v>0.403550610737633</v>
      </c>
      <c r="O960" s="17" t="n">
        <v>0</v>
      </c>
      <c r="P960" s="26" t="n">
        <v>0</v>
      </c>
      <c r="Q960" s="24" t="n">
        <f aca="false">IF(O960=1,1/(1+EXP(-(P960-Inputs!$B$12)/Inputs!$B$13)),0)</f>
        <v>0</v>
      </c>
      <c r="R960" s="24" t="n">
        <f aca="false">N960*O960</f>
        <v>0</v>
      </c>
      <c r="S960" s="12" t="n">
        <f aca="false">N960*Q960</f>
        <v>0</v>
      </c>
      <c r="T960" s="24" t="n">
        <f aca="false">N960^2</f>
        <v>0.162853095426716</v>
      </c>
    </row>
    <row r="961" customFormat="false" ht="15" hidden="false" customHeight="false" outlineLevel="0" collapsed="false">
      <c r="A961" s="5" t="s">
        <v>1213</v>
      </c>
      <c r="B961" s="5" t="s">
        <v>233</v>
      </c>
      <c r="C961" s="5" t="s">
        <v>59</v>
      </c>
      <c r="D961" s="5" t="s">
        <v>66</v>
      </c>
      <c r="E961" s="5" t="s">
        <v>68</v>
      </c>
      <c r="F961" s="26" t="n">
        <v>75.1</v>
      </c>
      <c r="G961" s="26" t="n">
        <v>76.03</v>
      </c>
      <c r="H961" s="30" t="n">
        <v>3.382</v>
      </c>
      <c r="I961" s="28" t="n">
        <f aca="false">H961*G961/3.6</f>
        <v>71.4259611111111</v>
      </c>
      <c r="J961" s="30" t="n">
        <v>3.44</v>
      </c>
      <c r="K961" s="30" t="n">
        <v>1.744</v>
      </c>
      <c r="L961" s="30" t="n">
        <v>1.219</v>
      </c>
      <c r="M961" s="30" t="n">
        <v>7.77</v>
      </c>
      <c r="N961" s="25" t="n">
        <v>0.192347162402015</v>
      </c>
      <c r="O961" s="17" t="n">
        <v>0</v>
      </c>
      <c r="P961" s="26" t="n">
        <v>0</v>
      </c>
      <c r="Q961" s="24" t="n">
        <f aca="false">IF(O961=1,1/(1+EXP(-(P961-Inputs!$B$12)/Inputs!$B$13)),0)</f>
        <v>0</v>
      </c>
      <c r="R961" s="24" t="n">
        <f aca="false">N961*O961</f>
        <v>0</v>
      </c>
      <c r="S961" s="12" t="n">
        <f aca="false">N961*Q961</f>
        <v>0</v>
      </c>
      <c r="T961" s="24" t="n">
        <f aca="false">N961^2</f>
        <v>0.0369974308841069</v>
      </c>
    </row>
    <row r="962" customFormat="false" ht="15" hidden="false" customHeight="false" outlineLevel="0" collapsed="false">
      <c r="A962" s="5" t="s">
        <v>1214</v>
      </c>
      <c r="B962" s="5" t="s">
        <v>233</v>
      </c>
      <c r="C962" s="5" t="s">
        <v>59</v>
      </c>
      <c r="D962" s="5" t="s">
        <v>66</v>
      </c>
      <c r="E962" s="5" t="s">
        <v>68</v>
      </c>
      <c r="F962" s="26" t="n">
        <v>88.93</v>
      </c>
      <c r="G962" s="26" t="n">
        <v>87.19</v>
      </c>
      <c r="H962" s="30" t="n">
        <v>4.203</v>
      </c>
      <c r="I962" s="28" t="n">
        <f aca="false">H962*G962/3.6</f>
        <v>101.794325</v>
      </c>
      <c r="J962" s="30" t="n">
        <v>3.03</v>
      </c>
      <c r="K962" s="30" t="n">
        <v>2.086</v>
      </c>
      <c r="L962" s="30" t="n">
        <v>1.382</v>
      </c>
      <c r="M962" s="30" t="n">
        <v>5.65</v>
      </c>
      <c r="N962" s="25" t="n">
        <v>0.176818880071957</v>
      </c>
      <c r="O962" s="17" t="n">
        <v>0</v>
      </c>
      <c r="P962" s="26" t="n">
        <v>0</v>
      </c>
      <c r="Q962" s="24" t="n">
        <f aca="false">IF(O962=1,1/(1+EXP(-(P962-Inputs!$B$12)/Inputs!$B$13)),0)</f>
        <v>0</v>
      </c>
      <c r="R962" s="24" t="n">
        <f aca="false">N962*O962</f>
        <v>0</v>
      </c>
      <c r="S962" s="12" t="n">
        <f aca="false">N962*Q962</f>
        <v>0</v>
      </c>
      <c r="T962" s="24" t="n">
        <f aca="false">N962^2</f>
        <v>0.0312649163499013</v>
      </c>
    </row>
    <row r="963" customFormat="false" ht="15" hidden="false" customHeight="false" outlineLevel="0" collapsed="false">
      <c r="A963" s="5" t="s">
        <v>1215</v>
      </c>
      <c r="B963" s="5" t="s">
        <v>233</v>
      </c>
      <c r="C963" s="5" t="s">
        <v>59</v>
      </c>
      <c r="D963" s="5" t="s">
        <v>66</v>
      </c>
      <c r="E963" s="5" t="s">
        <v>68</v>
      </c>
      <c r="F963" s="26" t="n">
        <v>87.49</v>
      </c>
      <c r="G963" s="26" t="n">
        <v>89.04</v>
      </c>
      <c r="H963" s="30" t="n">
        <v>3.377</v>
      </c>
      <c r="I963" s="28" t="n">
        <f aca="false">H963*G963/3.6</f>
        <v>83.5244666666667</v>
      </c>
      <c r="J963" s="30" t="n">
        <v>3.43</v>
      </c>
      <c r="K963" s="30" t="n">
        <v>0.897</v>
      </c>
      <c r="L963" s="30" t="n">
        <v>1.609</v>
      </c>
      <c r="M963" s="30" t="n">
        <v>7.67</v>
      </c>
      <c r="N963" s="25" t="n">
        <v>0.231919416089298</v>
      </c>
      <c r="O963" s="17" t="n">
        <v>0</v>
      </c>
      <c r="P963" s="26" t="n">
        <v>0</v>
      </c>
      <c r="Q963" s="24" t="n">
        <f aca="false">IF(O963=1,1/(1+EXP(-(P963-Inputs!$B$12)/Inputs!$B$13)),0)</f>
        <v>0</v>
      </c>
      <c r="R963" s="24" t="n">
        <f aca="false">N963*O963</f>
        <v>0</v>
      </c>
      <c r="S963" s="12" t="n">
        <f aca="false">N963*Q963</f>
        <v>0</v>
      </c>
      <c r="T963" s="24" t="n">
        <f aca="false">N963^2</f>
        <v>0.0537866155592007</v>
      </c>
    </row>
    <row r="964" customFormat="false" ht="15" hidden="false" customHeight="false" outlineLevel="0" collapsed="false">
      <c r="A964" s="5" t="s">
        <v>1216</v>
      </c>
      <c r="B964" s="5" t="s">
        <v>233</v>
      </c>
      <c r="C964" s="5" t="s">
        <v>59</v>
      </c>
      <c r="D964" s="5" t="s">
        <v>66</v>
      </c>
      <c r="E964" s="5" t="s">
        <v>68</v>
      </c>
      <c r="F964" s="26" t="n">
        <v>80.13</v>
      </c>
      <c r="G964" s="26" t="n">
        <v>77.98</v>
      </c>
      <c r="H964" s="30" t="n">
        <v>3.42</v>
      </c>
      <c r="I964" s="28" t="n">
        <f aca="false">H964*G964/3.6</f>
        <v>74.081</v>
      </c>
      <c r="J964" s="30" t="n">
        <v>5.65</v>
      </c>
      <c r="K964" s="30" t="n">
        <v>1.024</v>
      </c>
      <c r="L964" s="30" t="n">
        <v>3.292</v>
      </c>
      <c r="M964" s="30" t="n">
        <v>7.19</v>
      </c>
      <c r="N964" s="25" t="n">
        <v>0.00363698989985434</v>
      </c>
      <c r="O964" s="17" t="n">
        <v>0</v>
      </c>
      <c r="P964" s="26" t="n">
        <v>0</v>
      </c>
      <c r="Q964" s="24" t="n">
        <f aca="false">IF(O964=1,1/(1+EXP(-(P964-Inputs!$B$12)/Inputs!$B$13)),0)</f>
        <v>0</v>
      </c>
      <c r="R964" s="24" t="n">
        <f aca="false">N964*O964</f>
        <v>0</v>
      </c>
      <c r="S964" s="12" t="n">
        <f aca="false">N964*Q964</f>
        <v>0</v>
      </c>
      <c r="T964" s="24" t="n">
        <f aca="false">N964^2</f>
        <v>1.32276955316425E-005</v>
      </c>
    </row>
    <row r="965" customFormat="false" ht="15" hidden="false" customHeight="false" outlineLevel="0" collapsed="false">
      <c r="A965" s="5" t="s">
        <v>1217</v>
      </c>
      <c r="B965" s="5" t="s">
        <v>233</v>
      </c>
      <c r="C965" s="5" t="s">
        <v>59</v>
      </c>
      <c r="D965" s="5" t="s">
        <v>66</v>
      </c>
      <c r="E965" s="5" t="s">
        <v>68</v>
      </c>
      <c r="F965" s="26" t="n">
        <v>79.67</v>
      </c>
      <c r="G965" s="26" t="n">
        <v>79.62</v>
      </c>
      <c r="H965" s="30" t="n">
        <v>4.698</v>
      </c>
      <c r="I965" s="28" t="n">
        <f aca="false">H965*G965/3.6</f>
        <v>103.9041</v>
      </c>
      <c r="J965" s="30" t="n">
        <v>4.59</v>
      </c>
      <c r="K965" s="30" t="n">
        <v>0.803</v>
      </c>
      <c r="L965" s="30" t="n">
        <v>1.042</v>
      </c>
      <c r="M965" s="30" t="n">
        <v>6.77</v>
      </c>
      <c r="N965" s="25" t="n">
        <v>2.84596161079359</v>
      </c>
      <c r="O965" s="17" t="n">
        <v>0</v>
      </c>
      <c r="P965" s="26" t="n">
        <v>0</v>
      </c>
      <c r="Q965" s="24" t="n">
        <f aca="false">IF(O965=1,1/(1+EXP(-(P965-Inputs!$B$12)/Inputs!$B$13)),0)</f>
        <v>0</v>
      </c>
      <c r="R965" s="24" t="n">
        <f aca="false">N965*O965</f>
        <v>0</v>
      </c>
      <c r="S965" s="12" t="n">
        <f aca="false">N965*Q965</f>
        <v>0</v>
      </c>
      <c r="T965" s="24" t="n">
        <f aca="false">N965^2</f>
        <v>8.09949749011085</v>
      </c>
    </row>
    <row r="966" customFormat="false" ht="15" hidden="false" customHeight="false" outlineLevel="0" collapsed="false">
      <c r="A966" s="5" t="s">
        <v>1218</v>
      </c>
      <c r="B966" s="5" t="s">
        <v>234</v>
      </c>
      <c r="C966" s="5" t="s">
        <v>59</v>
      </c>
      <c r="D966" s="5" t="s">
        <v>66</v>
      </c>
      <c r="E966" s="5" t="s">
        <v>70</v>
      </c>
      <c r="F966" s="26" t="n">
        <v>91.7</v>
      </c>
      <c r="G966" s="26" t="n">
        <v>91.62</v>
      </c>
      <c r="H966" s="30" t="n">
        <v>2.543</v>
      </c>
      <c r="I966" s="28" t="n">
        <f aca="false">H966*G966/3.6</f>
        <v>64.71935</v>
      </c>
      <c r="J966" s="30" t="n">
        <v>5.44</v>
      </c>
      <c r="K966" s="30" t="n">
        <v>0.879</v>
      </c>
      <c r="L966" s="30" t="n">
        <v>2.631</v>
      </c>
      <c r="M966" s="30" t="n">
        <v>3.54</v>
      </c>
      <c r="N966" s="25" t="n">
        <v>0.201032276330278</v>
      </c>
      <c r="O966" s="17" t="n">
        <v>0</v>
      </c>
      <c r="P966" s="26" t="n">
        <v>0</v>
      </c>
      <c r="Q966" s="24" t="n">
        <f aca="false">IF(O966=1,1/(1+EXP(-(P966-Inputs!$B$12)/Inputs!$B$13)),0)</f>
        <v>0</v>
      </c>
      <c r="R966" s="24" t="n">
        <f aca="false">N966*O966</f>
        <v>0</v>
      </c>
      <c r="S966" s="12" t="n">
        <f aca="false">N966*Q966</f>
        <v>0</v>
      </c>
      <c r="T966" s="24" t="n">
        <f aca="false">N966^2</f>
        <v>0.0404139761265331</v>
      </c>
    </row>
    <row r="967" customFormat="false" ht="15" hidden="false" customHeight="false" outlineLevel="0" collapsed="false">
      <c r="A967" s="5" t="s">
        <v>1219</v>
      </c>
      <c r="B967" s="5" t="s">
        <v>234</v>
      </c>
      <c r="C967" s="5" t="s">
        <v>59</v>
      </c>
      <c r="D967" s="5" t="s">
        <v>66</v>
      </c>
      <c r="E967" s="5" t="s">
        <v>70</v>
      </c>
      <c r="F967" s="26" t="n">
        <v>84.88</v>
      </c>
      <c r="G967" s="26" t="n">
        <v>83.51</v>
      </c>
      <c r="H967" s="30" t="n">
        <v>2.349</v>
      </c>
      <c r="I967" s="28" t="n">
        <f aca="false">H967*G967/3.6</f>
        <v>54.490275</v>
      </c>
      <c r="J967" s="30" t="n">
        <v>4.17</v>
      </c>
      <c r="K967" s="30" t="n">
        <v>3.116</v>
      </c>
      <c r="L967" s="30" t="n">
        <v>1.469</v>
      </c>
      <c r="M967" s="30" t="n">
        <v>4.96</v>
      </c>
      <c r="N967" s="25" t="n">
        <v>0.0779411541879095</v>
      </c>
      <c r="O967" s="17" t="n">
        <v>0</v>
      </c>
      <c r="P967" s="26" t="n">
        <v>0</v>
      </c>
      <c r="Q967" s="24" t="n">
        <f aca="false">IF(O967=1,1/(1+EXP(-(P967-Inputs!$B$12)/Inputs!$B$13)),0)</f>
        <v>0</v>
      </c>
      <c r="R967" s="24" t="n">
        <f aca="false">N967*O967</f>
        <v>0</v>
      </c>
      <c r="S967" s="12" t="n">
        <f aca="false">N967*Q967</f>
        <v>0</v>
      </c>
      <c r="T967" s="24" t="n">
        <f aca="false">N967^2</f>
        <v>0.00607482351614348</v>
      </c>
    </row>
    <row r="968" customFormat="false" ht="15" hidden="false" customHeight="false" outlineLevel="0" collapsed="false">
      <c r="A968" s="5" t="s">
        <v>1220</v>
      </c>
      <c r="B968" s="5" t="s">
        <v>234</v>
      </c>
      <c r="C968" s="5" t="s">
        <v>59</v>
      </c>
      <c r="D968" s="5" t="s">
        <v>66</v>
      </c>
      <c r="E968" s="5" t="s">
        <v>70</v>
      </c>
      <c r="F968" s="26" t="n">
        <v>79.41</v>
      </c>
      <c r="G968" s="26" t="n">
        <v>79.43</v>
      </c>
      <c r="H968" s="30" t="n">
        <v>2.038</v>
      </c>
      <c r="I968" s="28" t="n">
        <f aca="false">H968*G968/3.6</f>
        <v>44.9662055555556</v>
      </c>
      <c r="J968" s="30" t="n">
        <v>5.98</v>
      </c>
      <c r="K968" s="30" t="n">
        <v>1.542</v>
      </c>
      <c r="L968" s="30" t="n">
        <v>1.41</v>
      </c>
      <c r="M968" s="30" t="n">
        <v>5.63</v>
      </c>
      <c r="N968" s="25" t="n">
        <v>0.337715866502969</v>
      </c>
      <c r="O968" s="17" t="n">
        <v>0</v>
      </c>
      <c r="P968" s="26" t="n">
        <v>0</v>
      </c>
      <c r="Q968" s="24" t="n">
        <f aca="false">IF(O968=1,1/(1+EXP(-(P968-Inputs!$B$12)/Inputs!$B$13)),0)</f>
        <v>0</v>
      </c>
      <c r="R968" s="24" t="n">
        <f aca="false">N968*O968</f>
        <v>0</v>
      </c>
      <c r="S968" s="12" t="n">
        <f aca="false">N968*Q968</f>
        <v>0</v>
      </c>
      <c r="T968" s="24" t="n">
        <f aca="false">N968^2</f>
        <v>0.114052006487851</v>
      </c>
    </row>
    <row r="969" customFormat="false" ht="15" hidden="false" customHeight="false" outlineLevel="0" collapsed="false">
      <c r="A969" s="5" t="s">
        <v>1221</v>
      </c>
      <c r="B969" s="5" t="s">
        <v>234</v>
      </c>
      <c r="C969" s="5" t="s">
        <v>59</v>
      </c>
      <c r="D969" s="5" t="s">
        <v>66</v>
      </c>
      <c r="E969" s="5" t="s">
        <v>70</v>
      </c>
      <c r="F969" s="26" t="n">
        <v>76.63</v>
      </c>
      <c r="G969" s="26" t="n">
        <v>76.52</v>
      </c>
      <c r="H969" s="30" t="n">
        <v>2.852</v>
      </c>
      <c r="I969" s="28" t="n">
        <f aca="false">H969*G969/3.6</f>
        <v>60.6208444444444</v>
      </c>
      <c r="J969" s="30" t="n">
        <v>2.79</v>
      </c>
      <c r="K969" s="30" t="n">
        <v>3.712</v>
      </c>
      <c r="L969" s="30" t="n">
        <v>2.003</v>
      </c>
      <c r="M969" s="30" t="n">
        <v>4.81</v>
      </c>
      <c r="N969" s="25" t="n">
        <v>0.0640395491828274</v>
      </c>
      <c r="O969" s="17" t="n">
        <v>0</v>
      </c>
      <c r="P969" s="26" t="n">
        <v>0</v>
      </c>
      <c r="Q969" s="24" t="n">
        <f aca="false">IF(O969=1,1/(1+EXP(-(P969-Inputs!$B$12)/Inputs!$B$13)),0)</f>
        <v>0</v>
      </c>
      <c r="R969" s="24" t="n">
        <f aca="false">N969*O969</f>
        <v>0</v>
      </c>
      <c r="S969" s="12" t="n">
        <f aca="false">N969*Q969</f>
        <v>0</v>
      </c>
      <c r="T969" s="24" t="n">
        <f aca="false">N969^2</f>
        <v>0.00410106385953977</v>
      </c>
    </row>
    <row r="970" customFormat="false" ht="15" hidden="false" customHeight="false" outlineLevel="0" collapsed="false">
      <c r="A970" s="5" t="s">
        <v>1222</v>
      </c>
      <c r="B970" s="5" t="s">
        <v>234</v>
      </c>
      <c r="C970" s="5" t="s">
        <v>59</v>
      </c>
      <c r="D970" s="5" t="s">
        <v>66</v>
      </c>
      <c r="E970" s="5" t="s">
        <v>70</v>
      </c>
      <c r="F970" s="26" t="n">
        <v>86.09</v>
      </c>
      <c r="G970" s="26" t="n">
        <v>83.91</v>
      </c>
      <c r="H970" s="30" t="n">
        <v>2.581</v>
      </c>
      <c r="I970" s="28" t="n">
        <f aca="false">H970*G970/3.6</f>
        <v>60.1588083333333</v>
      </c>
      <c r="J970" s="30" t="n">
        <v>3.93</v>
      </c>
      <c r="K970" s="30" t="n">
        <v>1.248</v>
      </c>
      <c r="L970" s="30" t="n">
        <v>1.189</v>
      </c>
      <c r="M970" s="30" t="n">
        <v>5.46</v>
      </c>
      <c r="N970" s="25" t="n">
        <v>1.02840154537143</v>
      </c>
      <c r="O970" s="17" t="n">
        <v>0</v>
      </c>
      <c r="P970" s="26" t="n">
        <v>0</v>
      </c>
      <c r="Q970" s="24" t="n">
        <f aca="false">IF(O970=1,1/(1+EXP(-(P970-Inputs!$B$12)/Inputs!$B$13)),0)</f>
        <v>0</v>
      </c>
      <c r="R970" s="24" t="n">
        <f aca="false">N970*O970</f>
        <v>0</v>
      </c>
      <c r="S970" s="12" t="n">
        <f aca="false">N970*Q970</f>
        <v>0</v>
      </c>
      <c r="T970" s="24" t="n">
        <f aca="false">N970^2</f>
        <v>1.05760973852234</v>
      </c>
    </row>
    <row r="971" customFormat="false" ht="15" hidden="false" customHeight="false" outlineLevel="0" collapsed="false">
      <c r="A971" s="5" t="s">
        <v>1223</v>
      </c>
      <c r="B971" s="5" t="s">
        <v>234</v>
      </c>
      <c r="C971" s="5" t="s">
        <v>59</v>
      </c>
      <c r="D971" s="5" t="s">
        <v>66</v>
      </c>
      <c r="E971" s="5" t="s">
        <v>70</v>
      </c>
      <c r="F971" s="26" t="n">
        <v>89.59</v>
      </c>
      <c r="G971" s="26" t="n">
        <v>89.03</v>
      </c>
      <c r="H971" s="30" t="n">
        <v>2.089</v>
      </c>
      <c r="I971" s="28" t="n">
        <f aca="false">H971*G971/3.6</f>
        <v>51.6621305555556</v>
      </c>
      <c r="J971" s="30" t="n">
        <v>3.46</v>
      </c>
      <c r="K971" s="30" t="n">
        <v>2.006</v>
      </c>
      <c r="L971" s="30" t="n">
        <v>1.019</v>
      </c>
      <c r="M971" s="30" t="n">
        <v>6.14</v>
      </c>
      <c r="N971" s="25" t="n">
        <v>0.418595818464745</v>
      </c>
      <c r="O971" s="17" t="n">
        <v>0</v>
      </c>
      <c r="P971" s="26" t="n">
        <v>0</v>
      </c>
      <c r="Q971" s="24" t="n">
        <f aca="false">IF(O971=1,1/(1+EXP(-(P971-Inputs!$B$12)/Inputs!$B$13)),0)</f>
        <v>0</v>
      </c>
      <c r="R971" s="24" t="n">
        <f aca="false">N971*O971</f>
        <v>0</v>
      </c>
      <c r="S971" s="12" t="n">
        <f aca="false">N971*Q971</f>
        <v>0</v>
      </c>
      <c r="T971" s="24" t="n">
        <f aca="false">N971^2</f>
        <v>0.17522245923617</v>
      </c>
    </row>
    <row r="972" customFormat="false" ht="15" hidden="false" customHeight="false" outlineLevel="0" collapsed="false">
      <c r="A972" s="5" t="s">
        <v>1224</v>
      </c>
      <c r="B972" s="5" t="s">
        <v>234</v>
      </c>
      <c r="C972" s="5" t="s">
        <v>59</v>
      </c>
      <c r="D972" s="5" t="s">
        <v>66</v>
      </c>
      <c r="E972" s="5" t="s">
        <v>70</v>
      </c>
      <c r="F972" s="26" t="n">
        <v>78.67</v>
      </c>
      <c r="G972" s="26" t="n">
        <v>74.61</v>
      </c>
      <c r="H972" s="30" t="n">
        <v>2.512</v>
      </c>
      <c r="I972" s="28" t="n">
        <f aca="false">H972*G972/3.6</f>
        <v>52.0612</v>
      </c>
      <c r="J972" s="30" t="n">
        <v>3.97</v>
      </c>
      <c r="K972" s="30" t="n">
        <v>0.701</v>
      </c>
      <c r="L972" s="30" t="n">
        <v>1.07</v>
      </c>
      <c r="M972" s="30" t="n">
        <v>7</v>
      </c>
      <c r="N972" s="25" t="n">
        <v>3.0556199023443</v>
      </c>
      <c r="O972" s="17" t="n">
        <v>0</v>
      </c>
      <c r="P972" s="26" t="n">
        <v>0</v>
      </c>
      <c r="Q972" s="24" t="n">
        <f aca="false">IF(O972=1,1/(1+EXP(-(P972-Inputs!$B$12)/Inputs!$B$13)),0)</f>
        <v>0</v>
      </c>
      <c r="R972" s="24" t="n">
        <f aca="false">N972*O972</f>
        <v>0</v>
      </c>
      <c r="S972" s="12" t="n">
        <f aca="false">N972*Q972</f>
        <v>0</v>
      </c>
      <c r="T972" s="24" t="n">
        <f aca="false">N972^2</f>
        <v>9.33681298760261</v>
      </c>
    </row>
    <row r="973" customFormat="false" ht="15" hidden="false" customHeight="false" outlineLevel="0" collapsed="false">
      <c r="A973" s="5" t="s">
        <v>1225</v>
      </c>
      <c r="B973" s="5" t="s">
        <v>234</v>
      </c>
      <c r="C973" s="5" t="s">
        <v>59</v>
      </c>
      <c r="D973" s="5" t="s">
        <v>66</v>
      </c>
      <c r="E973" s="5" t="s">
        <v>70</v>
      </c>
      <c r="F973" s="26" t="n">
        <v>93.29</v>
      </c>
      <c r="G973" s="26" t="n">
        <v>91.49</v>
      </c>
      <c r="H973" s="30" t="n">
        <v>2.259</v>
      </c>
      <c r="I973" s="28" t="n">
        <f aca="false">H973*G973/3.6</f>
        <v>57.409975</v>
      </c>
      <c r="J973" s="30" t="n">
        <v>3.56</v>
      </c>
      <c r="K973" s="30" t="n">
        <v>1.616</v>
      </c>
      <c r="L973" s="30" t="n">
        <v>1.528</v>
      </c>
      <c r="M973" s="30" t="n">
        <v>7.72</v>
      </c>
      <c r="N973" s="25" t="n">
        <v>0.0851706916089159</v>
      </c>
      <c r="O973" s="17" t="n">
        <v>0</v>
      </c>
      <c r="P973" s="26" t="n">
        <v>0</v>
      </c>
      <c r="Q973" s="24" t="n">
        <f aca="false">IF(O973=1,1/(1+EXP(-(P973-Inputs!$B$12)/Inputs!$B$13)),0)</f>
        <v>0</v>
      </c>
      <c r="R973" s="24" t="n">
        <f aca="false">N973*O973</f>
        <v>0</v>
      </c>
      <c r="S973" s="12" t="n">
        <f aca="false">N973*Q973</f>
        <v>0</v>
      </c>
      <c r="T973" s="24" t="n">
        <f aca="false">N973^2</f>
        <v>0.00725404670914106</v>
      </c>
    </row>
    <row r="974" customFormat="false" ht="15" hidden="false" customHeight="false" outlineLevel="0" collapsed="false">
      <c r="A974" s="5" t="s">
        <v>1226</v>
      </c>
      <c r="B974" s="5" t="s">
        <v>234</v>
      </c>
      <c r="C974" s="5" t="s">
        <v>59</v>
      </c>
      <c r="D974" s="5" t="s">
        <v>66</v>
      </c>
      <c r="E974" s="5" t="s">
        <v>70</v>
      </c>
      <c r="F974" s="26" t="n">
        <v>86.94</v>
      </c>
      <c r="G974" s="26" t="n">
        <v>87.11</v>
      </c>
      <c r="H974" s="30" t="n">
        <v>2.586</v>
      </c>
      <c r="I974" s="28" t="n">
        <f aca="false">H974*G974/3.6</f>
        <v>62.5740166666667</v>
      </c>
      <c r="J974" s="30" t="n">
        <v>4.11</v>
      </c>
      <c r="K974" s="30" t="n">
        <v>1.463</v>
      </c>
      <c r="L974" s="30" t="n">
        <v>0.851</v>
      </c>
      <c r="M974" s="30" t="n">
        <v>6.47</v>
      </c>
      <c r="N974" s="25" t="n">
        <v>1.30619724886731</v>
      </c>
      <c r="O974" s="17" t="n">
        <v>0</v>
      </c>
      <c r="P974" s="26" t="n">
        <v>0</v>
      </c>
      <c r="Q974" s="24" t="n">
        <f aca="false">IF(O974=1,1/(1+EXP(-(P974-Inputs!$B$12)/Inputs!$B$13)),0)</f>
        <v>0</v>
      </c>
      <c r="R974" s="24" t="n">
        <f aca="false">N974*O974</f>
        <v>0</v>
      </c>
      <c r="S974" s="12" t="n">
        <f aca="false">N974*Q974</f>
        <v>0</v>
      </c>
      <c r="T974" s="24" t="n">
        <f aca="false">N974^2</f>
        <v>1.70615125294852</v>
      </c>
    </row>
    <row r="975" customFormat="false" ht="15" hidden="false" customHeight="false" outlineLevel="0" collapsed="false">
      <c r="A975" s="5" t="s">
        <v>1227</v>
      </c>
      <c r="B975" s="5" t="s">
        <v>234</v>
      </c>
      <c r="C975" s="5" t="s">
        <v>59</v>
      </c>
      <c r="D975" s="5" t="s">
        <v>66</v>
      </c>
      <c r="E975" s="5" t="s">
        <v>70</v>
      </c>
      <c r="F975" s="26" t="n">
        <v>90.51</v>
      </c>
      <c r="G975" s="26" t="n">
        <v>86.96</v>
      </c>
      <c r="H975" s="30" t="n">
        <v>2.309</v>
      </c>
      <c r="I975" s="28" t="n">
        <f aca="false">H975*G975/3.6</f>
        <v>55.7751777777778</v>
      </c>
      <c r="J975" s="30" t="n">
        <v>2.62</v>
      </c>
      <c r="K975" s="30" t="n">
        <v>1.554</v>
      </c>
      <c r="L975" s="30" t="n">
        <v>1.232</v>
      </c>
      <c r="M975" s="30" t="n">
        <v>7.09</v>
      </c>
      <c r="N975" s="25" t="n">
        <v>0.295309967209517</v>
      </c>
      <c r="O975" s="17" t="n">
        <v>0</v>
      </c>
      <c r="P975" s="26" t="n">
        <v>0</v>
      </c>
      <c r="Q975" s="24" t="n">
        <f aca="false">IF(O975=1,1/(1+EXP(-(P975-Inputs!$B$12)/Inputs!$B$13)),0)</f>
        <v>0</v>
      </c>
      <c r="R975" s="24" t="n">
        <f aca="false">N975*O975</f>
        <v>0</v>
      </c>
      <c r="S975" s="12" t="n">
        <f aca="false">N975*Q975</f>
        <v>0</v>
      </c>
      <c r="T975" s="24" t="n">
        <f aca="false">N975^2</f>
        <v>0.0872079767332861</v>
      </c>
    </row>
    <row r="976" customFormat="false" ht="15" hidden="false" customHeight="false" outlineLevel="0" collapsed="false">
      <c r="A976" s="5" t="s">
        <v>1228</v>
      </c>
      <c r="B976" s="5" t="s">
        <v>235</v>
      </c>
      <c r="C976" s="5" t="s">
        <v>59</v>
      </c>
      <c r="D976" s="5" t="s">
        <v>66</v>
      </c>
      <c r="E976" s="5" t="s">
        <v>71</v>
      </c>
      <c r="F976" s="26" t="n">
        <v>79.77</v>
      </c>
      <c r="G976" s="26" t="n">
        <v>82.21</v>
      </c>
      <c r="H976" s="30" t="n">
        <v>1.674</v>
      </c>
      <c r="I976" s="28" t="n">
        <f aca="false">H976*G976/3.6</f>
        <v>38.22765</v>
      </c>
      <c r="J976" s="30" t="n">
        <v>3.29</v>
      </c>
      <c r="K976" s="30" t="n">
        <v>1.165</v>
      </c>
      <c r="L976" s="30" t="n">
        <v>1.496</v>
      </c>
      <c r="M976" s="30" t="n">
        <v>4.28</v>
      </c>
      <c r="N976" s="25" t="n">
        <v>0.642164642795317</v>
      </c>
      <c r="O976" s="17" t="n">
        <v>0</v>
      </c>
      <c r="P976" s="26" t="n">
        <v>0</v>
      </c>
      <c r="Q976" s="24" t="n">
        <f aca="false">IF(O976=1,1/(1+EXP(-(P976-Inputs!$B$12)/Inputs!$B$13)),0)</f>
        <v>0</v>
      </c>
      <c r="R976" s="24" t="n">
        <f aca="false">N976*O976</f>
        <v>0</v>
      </c>
      <c r="S976" s="12" t="n">
        <f aca="false">N976*Q976</f>
        <v>0</v>
      </c>
      <c r="T976" s="24" t="n">
        <f aca="false">N976^2</f>
        <v>0.412375428456436</v>
      </c>
    </row>
    <row r="977" customFormat="false" ht="15" hidden="false" customHeight="false" outlineLevel="0" collapsed="false">
      <c r="A977" s="5" t="s">
        <v>1229</v>
      </c>
      <c r="B977" s="5" t="s">
        <v>235</v>
      </c>
      <c r="C977" s="5" t="s">
        <v>59</v>
      </c>
      <c r="D977" s="5" t="s">
        <v>66</v>
      </c>
      <c r="E977" s="5" t="s">
        <v>71</v>
      </c>
      <c r="F977" s="26" t="n">
        <v>90.4</v>
      </c>
      <c r="G977" s="26" t="n">
        <v>91.05</v>
      </c>
      <c r="H977" s="30" t="n">
        <v>1.74</v>
      </c>
      <c r="I977" s="28" t="n">
        <f aca="false">H977*G977/3.6</f>
        <v>44.0075</v>
      </c>
      <c r="J977" s="30" t="n">
        <v>3.87</v>
      </c>
      <c r="K977" s="30" t="n">
        <v>1.151</v>
      </c>
      <c r="L977" s="30" t="n">
        <v>1.468</v>
      </c>
      <c r="M977" s="30" t="n">
        <v>7.92</v>
      </c>
      <c r="N977" s="25" t="n">
        <v>0.188211189000862</v>
      </c>
      <c r="O977" s="17" t="n">
        <v>0</v>
      </c>
      <c r="P977" s="26" t="n">
        <v>0</v>
      </c>
      <c r="Q977" s="24" t="n">
        <f aca="false">IF(O977=1,1/(1+EXP(-(P977-Inputs!$B$12)/Inputs!$B$13)),0)</f>
        <v>0</v>
      </c>
      <c r="R977" s="24" t="n">
        <f aca="false">N977*O977</f>
        <v>0</v>
      </c>
      <c r="S977" s="12" t="n">
        <f aca="false">N977*Q977</f>
        <v>0</v>
      </c>
      <c r="T977" s="24" t="n">
        <f aca="false">N977^2</f>
        <v>0.035423451665118</v>
      </c>
    </row>
    <row r="978" customFormat="false" ht="15" hidden="false" customHeight="false" outlineLevel="0" collapsed="false">
      <c r="A978" s="5" t="s">
        <v>1230</v>
      </c>
      <c r="B978" s="5" t="s">
        <v>235</v>
      </c>
      <c r="C978" s="5" t="s">
        <v>59</v>
      </c>
      <c r="D978" s="5" t="s">
        <v>66</v>
      </c>
      <c r="E978" s="5" t="s">
        <v>71</v>
      </c>
      <c r="F978" s="26" t="n">
        <v>75.47</v>
      </c>
      <c r="G978" s="26" t="n">
        <v>76.68</v>
      </c>
      <c r="H978" s="30" t="n">
        <v>1.645</v>
      </c>
      <c r="I978" s="28" t="n">
        <f aca="false">H978*G978/3.6</f>
        <v>35.0385</v>
      </c>
      <c r="J978" s="30" t="n">
        <v>5.24</v>
      </c>
      <c r="K978" s="30" t="n">
        <v>0.959</v>
      </c>
      <c r="L978" s="30" t="n">
        <v>1.426</v>
      </c>
      <c r="M978" s="30" t="n">
        <v>6.77</v>
      </c>
      <c r="N978" s="25" t="n">
        <v>0.575661443501332</v>
      </c>
      <c r="O978" s="17" t="n">
        <v>0</v>
      </c>
      <c r="P978" s="26" t="n">
        <v>0</v>
      </c>
      <c r="Q978" s="24" t="n">
        <f aca="false">IF(O978=1,1/(1+EXP(-(P978-Inputs!$B$12)/Inputs!$B$13)),0)</f>
        <v>0</v>
      </c>
      <c r="R978" s="24" t="n">
        <f aca="false">N978*O978</f>
        <v>0</v>
      </c>
      <c r="S978" s="12" t="n">
        <f aca="false">N978*Q978</f>
        <v>0</v>
      </c>
      <c r="T978" s="24" t="n">
        <f aca="false">N978^2</f>
        <v>0.331386097534038</v>
      </c>
    </row>
    <row r="979" customFormat="false" ht="15" hidden="false" customHeight="false" outlineLevel="0" collapsed="false">
      <c r="A979" s="5" t="s">
        <v>1231</v>
      </c>
      <c r="B979" s="5" t="s">
        <v>235</v>
      </c>
      <c r="C979" s="5" t="s">
        <v>59</v>
      </c>
      <c r="D979" s="5" t="s">
        <v>66</v>
      </c>
      <c r="E979" s="5" t="s">
        <v>71</v>
      </c>
      <c r="F979" s="26" t="n">
        <v>92.41</v>
      </c>
      <c r="G979" s="26" t="n">
        <v>93.74</v>
      </c>
      <c r="H979" s="30" t="n">
        <v>1.773</v>
      </c>
      <c r="I979" s="28" t="n">
        <f aca="false">H979*G979/3.6</f>
        <v>46.16695</v>
      </c>
      <c r="J979" s="30" t="n">
        <v>4.05</v>
      </c>
      <c r="K979" s="30" t="n">
        <v>1.193</v>
      </c>
      <c r="L979" s="30" t="n">
        <v>0.928</v>
      </c>
      <c r="M979" s="30" t="n">
        <v>6.66</v>
      </c>
      <c r="N979" s="25" t="n">
        <v>1.34860940552006</v>
      </c>
      <c r="O979" s="17" t="n">
        <v>0</v>
      </c>
      <c r="P979" s="26" t="n">
        <v>0</v>
      </c>
      <c r="Q979" s="24" t="n">
        <f aca="false">IF(O979=1,1/(1+EXP(-(P979-Inputs!$B$12)/Inputs!$B$13)),0)</f>
        <v>0</v>
      </c>
      <c r="R979" s="24" t="n">
        <f aca="false">N979*O979</f>
        <v>0</v>
      </c>
      <c r="S979" s="12" t="n">
        <f aca="false">N979*Q979</f>
        <v>0</v>
      </c>
      <c r="T979" s="24" t="n">
        <f aca="false">N979^2</f>
        <v>1.81874732865716</v>
      </c>
    </row>
    <row r="980" customFormat="false" ht="15" hidden="false" customHeight="false" outlineLevel="0" collapsed="false">
      <c r="A980" s="5" t="s">
        <v>1232</v>
      </c>
      <c r="B980" s="5" t="s">
        <v>235</v>
      </c>
      <c r="C980" s="5" t="s">
        <v>59</v>
      </c>
      <c r="D980" s="5" t="s">
        <v>66</v>
      </c>
      <c r="E980" s="5" t="s">
        <v>71</v>
      </c>
      <c r="F980" s="26" t="n">
        <v>90.03</v>
      </c>
      <c r="G980" s="26" t="n">
        <v>86.54</v>
      </c>
      <c r="H980" s="30" t="n">
        <v>1.566</v>
      </c>
      <c r="I980" s="28" t="n">
        <f aca="false">H980*G980/3.6</f>
        <v>37.6449</v>
      </c>
      <c r="J980" s="30" t="n">
        <v>5.98</v>
      </c>
      <c r="K980" s="30" t="n">
        <v>1.372</v>
      </c>
      <c r="L980" s="30" t="n">
        <v>1.827</v>
      </c>
      <c r="M980" s="30" t="n">
        <v>7.46</v>
      </c>
      <c r="N980" s="25" t="n">
        <v>0.0642397784950451</v>
      </c>
      <c r="O980" s="17" t="n">
        <v>0</v>
      </c>
      <c r="P980" s="26" t="n">
        <v>0</v>
      </c>
      <c r="Q980" s="24" t="n">
        <f aca="false">IF(O980=1,1/(1+EXP(-(P980-Inputs!$B$12)/Inputs!$B$13)),0)</f>
        <v>0</v>
      </c>
      <c r="R980" s="24" t="n">
        <f aca="false">N980*O980</f>
        <v>0</v>
      </c>
      <c r="S980" s="12" t="n">
        <f aca="false">N980*Q980</f>
        <v>0</v>
      </c>
      <c r="T980" s="24" t="n">
        <f aca="false">N980^2</f>
        <v>0.00412674914109246</v>
      </c>
    </row>
    <row r="981" customFormat="false" ht="15" hidden="false" customHeight="false" outlineLevel="0" collapsed="false">
      <c r="A981" s="5" t="s">
        <v>1233</v>
      </c>
      <c r="B981" s="5" t="s">
        <v>235</v>
      </c>
      <c r="C981" s="5" t="s">
        <v>59</v>
      </c>
      <c r="D981" s="5" t="s">
        <v>66</v>
      </c>
      <c r="E981" s="5" t="s">
        <v>71</v>
      </c>
      <c r="F981" s="26" t="n">
        <v>94.66</v>
      </c>
      <c r="G981" s="26" t="n">
        <v>93.33</v>
      </c>
      <c r="H981" s="30" t="n">
        <v>1.787</v>
      </c>
      <c r="I981" s="28" t="n">
        <f aca="false">H981*G981/3.6</f>
        <v>46.327975</v>
      </c>
      <c r="J981" s="30" t="n">
        <v>4.12</v>
      </c>
      <c r="K981" s="30" t="n">
        <v>0.968</v>
      </c>
      <c r="L981" s="30" t="n">
        <v>1.672</v>
      </c>
      <c r="M981" s="30" t="n">
        <v>6.94</v>
      </c>
      <c r="N981" s="25" t="n">
        <v>0.277489685910436</v>
      </c>
      <c r="O981" s="17" t="n">
        <v>0</v>
      </c>
      <c r="P981" s="26" t="n">
        <v>0</v>
      </c>
      <c r="Q981" s="24" t="n">
        <f aca="false">IF(O981=1,1/(1+EXP(-(P981-Inputs!$B$12)/Inputs!$B$13)),0)</f>
        <v>0</v>
      </c>
      <c r="R981" s="24" t="n">
        <f aca="false">N981*O981</f>
        <v>0</v>
      </c>
      <c r="S981" s="12" t="n">
        <f aca="false">N981*Q981</f>
        <v>0</v>
      </c>
      <c r="T981" s="24" t="n">
        <f aca="false">N981^2</f>
        <v>0.0770005257866722</v>
      </c>
    </row>
    <row r="982" customFormat="false" ht="15" hidden="false" customHeight="false" outlineLevel="0" collapsed="false">
      <c r="A982" s="5" t="s">
        <v>1234</v>
      </c>
      <c r="B982" s="5" t="s">
        <v>235</v>
      </c>
      <c r="C982" s="5" t="s">
        <v>59</v>
      </c>
      <c r="D982" s="5" t="s">
        <v>66</v>
      </c>
      <c r="E982" s="5" t="s">
        <v>71</v>
      </c>
      <c r="F982" s="26" t="n">
        <v>91.24</v>
      </c>
      <c r="G982" s="26" t="n">
        <v>95.98</v>
      </c>
      <c r="H982" s="30" t="n">
        <v>1.516</v>
      </c>
      <c r="I982" s="28" t="n">
        <f aca="false">H982*G982/3.6</f>
        <v>40.4182444444445</v>
      </c>
      <c r="J982" s="30" t="n">
        <v>5.53</v>
      </c>
      <c r="K982" s="30" t="n">
        <v>2.238</v>
      </c>
      <c r="L982" s="30" t="n">
        <v>1.284</v>
      </c>
      <c r="M982" s="30" t="n">
        <v>5.65</v>
      </c>
      <c r="N982" s="25" t="n">
        <v>0.232466306215113</v>
      </c>
      <c r="O982" s="17" t="n">
        <v>0</v>
      </c>
      <c r="P982" s="26" t="n">
        <v>0</v>
      </c>
      <c r="Q982" s="24" t="n">
        <f aca="false">IF(O982=1,1/(1+EXP(-(P982-Inputs!$B$12)/Inputs!$B$13)),0)</f>
        <v>0</v>
      </c>
      <c r="R982" s="24" t="n">
        <f aca="false">N982*O982</f>
        <v>0</v>
      </c>
      <c r="S982" s="12" t="n">
        <f aca="false">N982*Q982</f>
        <v>0</v>
      </c>
      <c r="T982" s="24" t="n">
        <f aca="false">N982^2</f>
        <v>0.0540405835252988</v>
      </c>
    </row>
    <row r="983" customFormat="false" ht="15" hidden="false" customHeight="false" outlineLevel="0" collapsed="false">
      <c r="A983" s="5" t="s">
        <v>1235</v>
      </c>
      <c r="B983" s="5" t="s">
        <v>235</v>
      </c>
      <c r="C983" s="5" t="s">
        <v>59</v>
      </c>
      <c r="D983" s="5" t="s">
        <v>66</v>
      </c>
      <c r="E983" s="5" t="s">
        <v>71</v>
      </c>
      <c r="F983" s="26" t="n">
        <v>90.6</v>
      </c>
      <c r="G983" s="26" t="n">
        <v>91.2</v>
      </c>
      <c r="H983" s="30" t="n">
        <v>1.616</v>
      </c>
      <c r="I983" s="28" t="n">
        <f aca="false">H983*G983/3.6</f>
        <v>40.9386666666667</v>
      </c>
      <c r="J983" s="30" t="n">
        <v>3.15</v>
      </c>
      <c r="K983" s="30" t="n">
        <v>0.868</v>
      </c>
      <c r="L983" s="30" t="n">
        <v>1.839</v>
      </c>
      <c r="M983" s="30" t="n">
        <v>6.25</v>
      </c>
      <c r="N983" s="25" t="n">
        <v>0.235994032325055</v>
      </c>
      <c r="O983" s="17" t="n">
        <v>0</v>
      </c>
      <c r="P983" s="26" t="n">
        <v>0</v>
      </c>
      <c r="Q983" s="24" t="n">
        <f aca="false">IF(O983=1,1/(1+EXP(-(P983-Inputs!$B$12)/Inputs!$B$13)),0)</f>
        <v>0</v>
      </c>
      <c r="R983" s="24" t="n">
        <f aca="false">N983*O983</f>
        <v>0</v>
      </c>
      <c r="S983" s="12" t="n">
        <f aca="false">N983*Q983</f>
        <v>0</v>
      </c>
      <c r="T983" s="24" t="n">
        <f aca="false">N983^2</f>
        <v>0.0556931832930389</v>
      </c>
    </row>
    <row r="984" customFormat="false" ht="15" hidden="false" customHeight="false" outlineLevel="0" collapsed="false">
      <c r="A984" s="5" t="s">
        <v>1236</v>
      </c>
      <c r="B984" s="5" t="s">
        <v>235</v>
      </c>
      <c r="C984" s="5" t="s">
        <v>59</v>
      </c>
      <c r="D984" s="5" t="s">
        <v>66</v>
      </c>
      <c r="E984" s="5" t="s">
        <v>71</v>
      </c>
      <c r="F984" s="26" t="n">
        <v>94.86</v>
      </c>
      <c r="G984" s="26" t="n">
        <v>98.51</v>
      </c>
      <c r="H984" s="30" t="n">
        <v>1.845</v>
      </c>
      <c r="I984" s="28" t="n">
        <f aca="false">H984*G984/3.6</f>
        <v>50.486375</v>
      </c>
      <c r="J984" s="30" t="n">
        <v>3.2</v>
      </c>
      <c r="K984" s="30" t="n">
        <v>2.446</v>
      </c>
      <c r="L984" s="30" t="n">
        <v>2.36</v>
      </c>
      <c r="M984" s="30" t="n">
        <v>4.13</v>
      </c>
      <c r="N984" s="25" t="n">
        <v>0.0258292835370477</v>
      </c>
      <c r="O984" s="17" t="n">
        <v>0</v>
      </c>
      <c r="P984" s="26" t="n">
        <v>0</v>
      </c>
      <c r="Q984" s="24" t="n">
        <f aca="false">IF(O984=1,1/(1+EXP(-(P984-Inputs!$B$12)/Inputs!$B$13)),0)</f>
        <v>0</v>
      </c>
      <c r="R984" s="24" t="n">
        <f aca="false">N984*O984</f>
        <v>0</v>
      </c>
      <c r="S984" s="12" t="n">
        <f aca="false">N984*Q984</f>
        <v>0</v>
      </c>
      <c r="T984" s="24" t="n">
        <f aca="false">N984^2</f>
        <v>0.000667151888037202</v>
      </c>
    </row>
    <row r="985" customFormat="false" ht="15" hidden="false" customHeight="false" outlineLevel="0" collapsed="false">
      <c r="A985" s="5" t="s">
        <v>1237</v>
      </c>
      <c r="B985" s="5" t="s">
        <v>235</v>
      </c>
      <c r="C985" s="5" t="s">
        <v>59</v>
      </c>
      <c r="D985" s="5" t="s">
        <v>66</v>
      </c>
      <c r="E985" s="5" t="s">
        <v>71</v>
      </c>
      <c r="F985" s="26" t="n">
        <v>81.96</v>
      </c>
      <c r="G985" s="26" t="n">
        <v>82.7</v>
      </c>
      <c r="H985" s="30" t="n">
        <v>1.872</v>
      </c>
      <c r="I985" s="28" t="n">
        <f aca="false">H985*G985/3.6</f>
        <v>43.004</v>
      </c>
      <c r="J985" s="30" t="n">
        <v>2.86</v>
      </c>
      <c r="K985" s="30" t="n">
        <v>1.433</v>
      </c>
      <c r="L985" s="30" t="n">
        <v>0.781</v>
      </c>
      <c r="M985" s="30" t="n">
        <v>7.23</v>
      </c>
      <c r="N985" s="25" t="n">
        <v>2.14345658460597</v>
      </c>
      <c r="O985" s="17" t="n">
        <v>0</v>
      </c>
      <c r="P985" s="26" t="n">
        <v>0</v>
      </c>
      <c r="Q985" s="24" t="n">
        <f aca="false">IF(O985=1,1/(1+EXP(-(P985-Inputs!$B$12)/Inputs!$B$13)),0)</f>
        <v>0</v>
      </c>
      <c r="R985" s="24" t="n">
        <f aca="false">N985*O985</f>
        <v>0</v>
      </c>
      <c r="S985" s="12" t="n">
        <f aca="false">N985*Q985</f>
        <v>0</v>
      </c>
      <c r="T985" s="24" t="n">
        <f aca="false">N985^2</f>
        <v>4.5944061300907</v>
      </c>
    </row>
    <row r="986" customFormat="false" ht="15" hidden="false" customHeight="false" outlineLevel="0" collapsed="false">
      <c r="A986" s="5" t="s">
        <v>1238</v>
      </c>
      <c r="B986" s="5" t="s">
        <v>236</v>
      </c>
      <c r="C986" s="5" t="s">
        <v>59</v>
      </c>
      <c r="D986" s="5" t="s">
        <v>66</v>
      </c>
      <c r="E986" s="5" t="s">
        <v>72</v>
      </c>
      <c r="F986" s="26" t="n">
        <v>80</v>
      </c>
      <c r="G986" s="26" t="n">
        <v>78.07</v>
      </c>
      <c r="H986" s="30" t="n">
        <v>1.345</v>
      </c>
      <c r="I986" s="28" t="n">
        <f aca="false">H986*G986/3.6</f>
        <v>29.1678194444444</v>
      </c>
      <c r="J986" s="30" t="n">
        <v>3.32</v>
      </c>
      <c r="K986" s="30" t="n">
        <v>0.896</v>
      </c>
      <c r="L986" s="30" t="n">
        <v>1.103</v>
      </c>
      <c r="M986" s="30" t="n">
        <v>6.61</v>
      </c>
      <c r="N986" s="25" t="n">
        <v>2.67165764851314</v>
      </c>
      <c r="O986" s="17" t="n">
        <v>0</v>
      </c>
      <c r="P986" s="26" t="n">
        <v>0</v>
      </c>
      <c r="Q986" s="24" t="n">
        <f aca="false">IF(O986=1,1/(1+EXP(-(P986-Inputs!$B$12)/Inputs!$B$13)),0)</f>
        <v>0</v>
      </c>
      <c r="R986" s="24" t="n">
        <f aca="false">N986*O986</f>
        <v>0</v>
      </c>
      <c r="S986" s="12" t="n">
        <f aca="false">N986*Q986</f>
        <v>0</v>
      </c>
      <c r="T986" s="24" t="n">
        <f aca="false">N986^2</f>
        <v>7.13775459085876</v>
      </c>
    </row>
    <row r="987" customFormat="false" ht="15" hidden="false" customHeight="false" outlineLevel="0" collapsed="false">
      <c r="A987" s="5" t="s">
        <v>1239</v>
      </c>
      <c r="B987" s="5" t="s">
        <v>236</v>
      </c>
      <c r="C987" s="5" t="s">
        <v>59</v>
      </c>
      <c r="D987" s="5" t="s">
        <v>66</v>
      </c>
      <c r="E987" s="5" t="s">
        <v>72</v>
      </c>
      <c r="F987" s="26" t="n">
        <v>92.33</v>
      </c>
      <c r="G987" s="26" t="n">
        <v>92.66</v>
      </c>
      <c r="H987" s="30" t="n">
        <v>1.063</v>
      </c>
      <c r="I987" s="28" t="n">
        <f aca="false">H987*G987/3.6</f>
        <v>27.3604388888889</v>
      </c>
      <c r="J987" s="30" t="n">
        <v>5.35</v>
      </c>
      <c r="K987" s="30" t="n">
        <v>1.556</v>
      </c>
      <c r="L987" s="30" t="n">
        <v>1.113</v>
      </c>
      <c r="M987" s="30" t="n">
        <v>5.07</v>
      </c>
      <c r="N987" s="25" t="n">
        <v>0.661302236697269</v>
      </c>
      <c r="O987" s="17" t="n">
        <v>0</v>
      </c>
      <c r="P987" s="26" t="n">
        <v>0</v>
      </c>
      <c r="Q987" s="24" t="n">
        <f aca="false">IF(O987=1,1/(1+EXP(-(P987-Inputs!$B$12)/Inputs!$B$13)),0)</f>
        <v>0</v>
      </c>
      <c r="R987" s="24" t="n">
        <f aca="false">N987*O987</f>
        <v>0</v>
      </c>
      <c r="S987" s="12" t="n">
        <f aca="false">N987*Q987</f>
        <v>0</v>
      </c>
      <c r="T987" s="24" t="n">
        <f aca="false">N987^2</f>
        <v>0.437320648260811</v>
      </c>
    </row>
    <row r="988" customFormat="false" ht="15" hidden="false" customHeight="false" outlineLevel="0" collapsed="false">
      <c r="A988" s="5" t="s">
        <v>1240</v>
      </c>
      <c r="B988" s="5" t="s">
        <v>236</v>
      </c>
      <c r="C988" s="5" t="s">
        <v>59</v>
      </c>
      <c r="D988" s="5" t="s">
        <v>66</v>
      </c>
      <c r="E988" s="5" t="s">
        <v>72</v>
      </c>
      <c r="F988" s="26" t="n">
        <v>79.13</v>
      </c>
      <c r="G988" s="26" t="n">
        <v>79.73</v>
      </c>
      <c r="H988" s="30" t="n">
        <v>1.25</v>
      </c>
      <c r="I988" s="28" t="n">
        <f aca="false">H988*G988/3.6</f>
        <v>27.6840277777778</v>
      </c>
      <c r="J988" s="30" t="n">
        <v>4.62</v>
      </c>
      <c r="K988" s="30" t="n">
        <v>1.441</v>
      </c>
      <c r="L988" s="30" t="n">
        <v>1</v>
      </c>
      <c r="M988" s="30" t="n">
        <v>7.43</v>
      </c>
      <c r="N988" s="25" t="n">
        <v>0.765676426421743</v>
      </c>
      <c r="O988" s="17" t="n">
        <v>0</v>
      </c>
      <c r="P988" s="26" t="n">
        <v>0</v>
      </c>
      <c r="Q988" s="24" t="n">
        <f aca="false">IF(O988=1,1/(1+EXP(-(P988-Inputs!$B$12)/Inputs!$B$13)),0)</f>
        <v>0</v>
      </c>
      <c r="R988" s="24" t="n">
        <f aca="false">N988*O988</f>
        <v>0</v>
      </c>
      <c r="S988" s="12" t="n">
        <f aca="false">N988*Q988</f>
        <v>0</v>
      </c>
      <c r="T988" s="24" t="n">
        <f aca="false">N988^2</f>
        <v>0.586260389977971</v>
      </c>
    </row>
    <row r="989" customFormat="false" ht="15" hidden="false" customHeight="false" outlineLevel="0" collapsed="false">
      <c r="A989" s="5" t="s">
        <v>1241</v>
      </c>
      <c r="B989" s="5" t="s">
        <v>236</v>
      </c>
      <c r="C989" s="5" t="s">
        <v>59</v>
      </c>
      <c r="D989" s="5" t="s">
        <v>66</v>
      </c>
      <c r="E989" s="5" t="s">
        <v>72</v>
      </c>
      <c r="F989" s="26" t="n">
        <v>77.99</v>
      </c>
      <c r="G989" s="26" t="n">
        <v>77.47</v>
      </c>
      <c r="H989" s="30" t="n">
        <v>1.093</v>
      </c>
      <c r="I989" s="28" t="n">
        <f aca="false">H989*G989/3.6</f>
        <v>23.5207527777778</v>
      </c>
      <c r="J989" s="30" t="n">
        <v>2.67</v>
      </c>
      <c r="K989" s="30" t="n">
        <v>0.815</v>
      </c>
      <c r="L989" s="30" t="n">
        <v>0.95</v>
      </c>
      <c r="M989" s="30" t="n">
        <v>7.8</v>
      </c>
      <c r="N989" s="25" t="n">
        <v>1.68764000857406</v>
      </c>
      <c r="O989" s="17" t="n">
        <v>0</v>
      </c>
      <c r="P989" s="26" t="n">
        <v>0</v>
      </c>
      <c r="Q989" s="24" t="n">
        <f aca="false">IF(O989=1,1/(1+EXP(-(P989-Inputs!$B$12)/Inputs!$B$13)),0)</f>
        <v>0</v>
      </c>
      <c r="R989" s="24" t="n">
        <f aca="false">N989*O989</f>
        <v>0</v>
      </c>
      <c r="S989" s="12" t="n">
        <f aca="false">N989*Q989</f>
        <v>0</v>
      </c>
      <c r="T989" s="24" t="n">
        <f aca="false">N989^2</f>
        <v>2.84812879853985</v>
      </c>
    </row>
    <row r="990" customFormat="false" ht="15" hidden="false" customHeight="false" outlineLevel="0" collapsed="false">
      <c r="A990" s="5" t="s">
        <v>1242</v>
      </c>
      <c r="B990" s="5" t="s">
        <v>236</v>
      </c>
      <c r="C990" s="5" t="s">
        <v>59</v>
      </c>
      <c r="D990" s="5" t="s">
        <v>66</v>
      </c>
      <c r="E990" s="5" t="s">
        <v>72</v>
      </c>
      <c r="F990" s="26" t="n">
        <v>77.54</v>
      </c>
      <c r="G990" s="26" t="n">
        <v>74.25</v>
      </c>
      <c r="H990" s="30" t="n">
        <v>1.39</v>
      </c>
      <c r="I990" s="28" t="n">
        <f aca="false">H990*G990/3.6</f>
        <v>28.66875</v>
      </c>
      <c r="J990" s="30" t="n">
        <v>4.21</v>
      </c>
      <c r="K990" s="30" t="n">
        <v>1.687</v>
      </c>
      <c r="L990" s="30" t="n">
        <v>1.571</v>
      </c>
      <c r="M990" s="30" t="n">
        <v>6.38</v>
      </c>
      <c r="N990" s="25" t="n">
        <v>0.370407196217663</v>
      </c>
      <c r="O990" s="17" t="n">
        <v>0</v>
      </c>
      <c r="P990" s="26" t="n">
        <v>0</v>
      </c>
      <c r="Q990" s="24" t="n">
        <f aca="false">IF(O990=1,1/(1+EXP(-(P990-Inputs!$B$12)/Inputs!$B$13)),0)</f>
        <v>0</v>
      </c>
      <c r="R990" s="24" t="n">
        <f aca="false">N990*O990</f>
        <v>0</v>
      </c>
      <c r="S990" s="12" t="n">
        <f aca="false">N990*Q990</f>
        <v>0</v>
      </c>
      <c r="T990" s="24" t="n">
        <f aca="false">N990^2</f>
        <v>0.13720149100983</v>
      </c>
    </row>
    <row r="991" customFormat="false" ht="15" hidden="false" customHeight="false" outlineLevel="0" collapsed="false">
      <c r="A991" s="5" t="s">
        <v>1243</v>
      </c>
      <c r="B991" s="5" t="s">
        <v>236</v>
      </c>
      <c r="C991" s="5" t="s">
        <v>59</v>
      </c>
      <c r="D991" s="5" t="s">
        <v>66</v>
      </c>
      <c r="E991" s="5" t="s">
        <v>72</v>
      </c>
      <c r="F991" s="26" t="n">
        <v>84.76</v>
      </c>
      <c r="G991" s="26" t="n">
        <v>84.63</v>
      </c>
      <c r="H991" s="30" t="n">
        <v>1.152</v>
      </c>
      <c r="I991" s="28" t="n">
        <f aca="false">H991*G991/3.6</f>
        <v>27.0816</v>
      </c>
      <c r="J991" s="30" t="n">
        <v>3.26</v>
      </c>
      <c r="K991" s="30" t="n">
        <v>1.808</v>
      </c>
      <c r="L991" s="30" t="n">
        <v>1.903</v>
      </c>
      <c r="M991" s="30" t="n">
        <v>7.31</v>
      </c>
      <c r="N991" s="25" t="n">
        <v>0.0346222011171289</v>
      </c>
      <c r="O991" s="17" t="n">
        <v>0</v>
      </c>
      <c r="P991" s="26" t="n">
        <v>0</v>
      </c>
      <c r="Q991" s="24" t="n">
        <f aca="false">IF(O991=1,1/(1+EXP(-(P991-Inputs!$B$12)/Inputs!$B$13)),0)</f>
        <v>0</v>
      </c>
      <c r="R991" s="24" t="n">
        <f aca="false">N991*O991</f>
        <v>0</v>
      </c>
      <c r="S991" s="12" t="n">
        <f aca="false">N991*Q991</f>
        <v>0</v>
      </c>
      <c r="T991" s="24" t="n">
        <f aca="false">N991^2</f>
        <v>0.00119869681019492</v>
      </c>
    </row>
    <row r="992" customFormat="false" ht="15" hidden="false" customHeight="false" outlineLevel="0" collapsed="false">
      <c r="A992" s="5" t="s">
        <v>1244</v>
      </c>
      <c r="B992" s="5" t="s">
        <v>236</v>
      </c>
      <c r="C992" s="5" t="s">
        <v>59</v>
      </c>
      <c r="D992" s="5" t="s">
        <v>66</v>
      </c>
      <c r="E992" s="5" t="s">
        <v>72</v>
      </c>
      <c r="F992" s="26" t="n">
        <v>80.5</v>
      </c>
      <c r="G992" s="26" t="n">
        <v>80.06</v>
      </c>
      <c r="H992" s="30" t="n">
        <v>1.23</v>
      </c>
      <c r="I992" s="28" t="n">
        <f aca="false">H992*G992/3.6</f>
        <v>27.3538333333333</v>
      </c>
      <c r="J992" s="30" t="n">
        <v>5.08</v>
      </c>
      <c r="K992" s="30" t="n">
        <v>0.955</v>
      </c>
      <c r="L992" s="30" t="n">
        <v>2.601</v>
      </c>
      <c r="M992" s="30" t="n">
        <v>4.46</v>
      </c>
      <c r="N992" s="25" t="n">
        <v>0.0715143884134798</v>
      </c>
      <c r="O992" s="17" t="n">
        <v>0</v>
      </c>
      <c r="P992" s="26" t="n">
        <v>0</v>
      </c>
      <c r="Q992" s="24" t="n">
        <f aca="false">IF(O992=1,1/(1+EXP(-(P992-Inputs!$B$12)/Inputs!$B$13)),0)</f>
        <v>0</v>
      </c>
      <c r="R992" s="24" t="n">
        <f aca="false">N992*O992</f>
        <v>0</v>
      </c>
      <c r="S992" s="12" t="n">
        <f aca="false">N992*Q992</f>
        <v>0</v>
      </c>
      <c r="T992" s="24" t="n">
        <f aca="false">N992^2</f>
        <v>0.00511430775015406</v>
      </c>
    </row>
    <row r="993" customFormat="false" ht="15" hidden="false" customHeight="false" outlineLevel="0" collapsed="false">
      <c r="A993" s="5" t="s">
        <v>1245</v>
      </c>
      <c r="B993" s="5" t="s">
        <v>236</v>
      </c>
      <c r="C993" s="5" t="s">
        <v>59</v>
      </c>
      <c r="D993" s="5" t="s">
        <v>66</v>
      </c>
      <c r="E993" s="5" t="s">
        <v>72</v>
      </c>
      <c r="F993" s="26" t="n">
        <v>89.42</v>
      </c>
      <c r="G993" s="26" t="n">
        <v>89.63</v>
      </c>
      <c r="H993" s="30" t="n">
        <v>1.097</v>
      </c>
      <c r="I993" s="28" t="n">
        <f aca="false">H993*G993/3.6</f>
        <v>27.3122527777778</v>
      </c>
      <c r="J993" s="30" t="n">
        <v>2.98</v>
      </c>
      <c r="K993" s="30" t="n">
        <v>1.846</v>
      </c>
      <c r="L993" s="30" t="n">
        <v>1.347</v>
      </c>
      <c r="M993" s="30" t="n">
        <v>6.61</v>
      </c>
      <c r="N993" s="25" t="n">
        <v>0.178312934432623</v>
      </c>
      <c r="O993" s="17" t="n">
        <v>0</v>
      </c>
      <c r="P993" s="26" t="n">
        <v>0</v>
      </c>
      <c r="Q993" s="24" t="n">
        <f aca="false">IF(O993=1,1/(1+EXP(-(P993-Inputs!$B$12)/Inputs!$B$13)),0)</f>
        <v>0</v>
      </c>
      <c r="R993" s="24" t="n">
        <f aca="false">N993*O993</f>
        <v>0</v>
      </c>
      <c r="S993" s="12" t="n">
        <f aca="false">N993*Q993</f>
        <v>0</v>
      </c>
      <c r="T993" s="24" t="n">
        <f aca="false">N993^2</f>
        <v>0.0317955025859729</v>
      </c>
    </row>
    <row r="994" customFormat="false" ht="15" hidden="false" customHeight="false" outlineLevel="0" collapsed="false">
      <c r="A994" s="5" t="s">
        <v>1246</v>
      </c>
      <c r="B994" s="5" t="s">
        <v>236</v>
      </c>
      <c r="C994" s="5" t="s">
        <v>59</v>
      </c>
      <c r="D994" s="5" t="s">
        <v>66</v>
      </c>
      <c r="E994" s="5" t="s">
        <v>72</v>
      </c>
      <c r="F994" s="26" t="n">
        <v>83.43</v>
      </c>
      <c r="G994" s="26" t="n">
        <v>83.04</v>
      </c>
      <c r="H994" s="30" t="n">
        <v>1.356</v>
      </c>
      <c r="I994" s="28" t="n">
        <f aca="false">H994*G994/3.6</f>
        <v>31.2784</v>
      </c>
      <c r="J994" s="30" t="n">
        <v>3.47</v>
      </c>
      <c r="K994" s="30" t="n">
        <v>2.481</v>
      </c>
      <c r="L994" s="30" t="n">
        <v>0.471</v>
      </c>
      <c r="M994" s="30" t="n">
        <v>7.12</v>
      </c>
      <c r="N994" s="25" t="n">
        <v>0.80358777280955</v>
      </c>
      <c r="O994" s="17" t="n">
        <v>0</v>
      </c>
      <c r="P994" s="26" t="n">
        <v>0</v>
      </c>
      <c r="Q994" s="24" t="n">
        <f aca="false">IF(O994=1,1/(1+EXP(-(P994-Inputs!$B$12)/Inputs!$B$13)),0)</f>
        <v>0</v>
      </c>
      <c r="R994" s="24" t="n">
        <f aca="false">N994*O994</f>
        <v>0</v>
      </c>
      <c r="S994" s="12" t="n">
        <f aca="false">N994*Q994</f>
        <v>0</v>
      </c>
      <c r="T994" s="24" t="n">
        <f aca="false">N994^2</f>
        <v>0.645753308609013</v>
      </c>
    </row>
    <row r="995" customFormat="false" ht="15" hidden="false" customHeight="false" outlineLevel="0" collapsed="false">
      <c r="A995" s="5" t="s">
        <v>1247</v>
      </c>
      <c r="B995" s="5" t="s">
        <v>236</v>
      </c>
      <c r="C995" s="5" t="s">
        <v>59</v>
      </c>
      <c r="D995" s="5" t="s">
        <v>66</v>
      </c>
      <c r="E995" s="5" t="s">
        <v>72</v>
      </c>
      <c r="F995" s="26" t="n">
        <v>94.99</v>
      </c>
      <c r="G995" s="26" t="n">
        <v>96.26</v>
      </c>
      <c r="H995" s="30" t="n">
        <v>1.167</v>
      </c>
      <c r="I995" s="28" t="n">
        <f aca="false">H995*G995/3.6</f>
        <v>31.2042833333333</v>
      </c>
      <c r="J995" s="30" t="n">
        <v>2.6</v>
      </c>
      <c r="K995" s="30" t="n">
        <v>1.164</v>
      </c>
      <c r="L995" s="30" t="n">
        <v>3.204</v>
      </c>
      <c r="M995" s="30" t="n">
        <v>3.76</v>
      </c>
      <c r="N995" s="25" t="n">
        <v>0.0175905494590104</v>
      </c>
      <c r="O995" s="17" t="n">
        <v>0</v>
      </c>
      <c r="P995" s="26" t="n">
        <v>0</v>
      </c>
      <c r="Q995" s="24" t="n">
        <f aca="false">IF(O995=1,1/(1+EXP(-(P995-Inputs!$B$12)/Inputs!$B$13)),0)</f>
        <v>0</v>
      </c>
      <c r="R995" s="24" t="n">
        <f aca="false">N995*O995</f>
        <v>0</v>
      </c>
      <c r="S995" s="12" t="n">
        <f aca="false">N995*Q995</f>
        <v>0</v>
      </c>
      <c r="T995" s="24" t="n">
        <f aca="false">N995^2</f>
        <v>0.000309427430269893</v>
      </c>
    </row>
    <row r="996" customFormat="false" ht="15" hidden="false" customHeight="false" outlineLevel="0" collapsed="false">
      <c r="A996" s="5" t="s">
        <v>1248</v>
      </c>
      <c r="B996" s="5" t="s">
        <v>237</v>
      </c>
      <c r="C996" s="5" t="s">
        <v>59</v>
      </c>
      <c r="D996" s="5" t="s">
        <v>66</v>
      </c>
      <c r="E996" s="5" t="s">
        <v>73</v>
      </c>
      <c r="F996" s="26" t="n">
        <v>76.04</v>
      </c>
      <c r="G996" s="26" t="n">
        <v>74.5</v>
      </c>
      <c r="H996" s="30" t="n">
        <v>0.573</v>
      </c>
      <c r="I996" s="28" t="n">
        <f aca="false">H996*G996/3.6</f>
        <v>11.8579166666667</v>
      </c>
      <c r="J996" s="30" t="n">
        <v>2.74</v>
      </c>
      <c r="K996" s="30" t="n">
        <v>0.56</v>
      </c>
      <c r="L996" s="30" t="n">
        <v>1.377</v>
      </c>
      <c r="M996" s="30" t="n">
        <v>5.67</v>
      </c>
      <c r="N996" s="25" t="n">
        <v>2.31229277484567</v>
      </c>
      <c r="O996" s="17" t="n">
        <v>0</v>
      </c>
      <c r="P996" s="26" t="n">
        <v>0</v>
      </c>
      <c r="Q996" s="24" t="n">
        <f aca="false">IF(O996=1,1/(1+EXP(-(P996-Inputs!$B$12)/Inputs!$B$13)),0)</f>
        <v>0</v>
      </c>
      <c r="R996" s="24" t="n">
        <f aca="false">N996*O996</f>
        <v>0</v>
      </c>
      <c r="S996" s="12" t="n">
        <f aca="false">N996*Q996</f>
        <v>0</v>
      </c>
      <c r="T996" s="24" t="n">
        <f aca="false">N996^2</f>
        <v>5.34669787660349</v>
      </c>
    </row>
    <row r="997" customFormat="false" ht="15" hidden="false" customHeight="false" outlineLevel="0" collapsed="false">
      <c r="A997" s="5" t="s">
        <v>1249</v>
      </c>
      <c r="B997" s="5" t="s">
        <v>237</v>
      </c>
      <c r="C997" s="5" t="s">
        <v>59</v>
      </c>
      <c r="D997" s="5" t="s">
        <v>66</v>
      </c>
      <c r="E997" s="5" t="s">
        <v>73</v>
      </c>
      <c r="F997" s="26" t="n">
        <v>82.73</v>
      </c>
      <c r="G997" s="26" t="n">
        <v>84.81</v>
      </c>
      <c r="H997" s="30" t="n">
        <v>0.724</v>
      </c>
      <c r="I997" s="28" t="n">
        <f aca="false">H997*G997/3.6</f>
        <v>17.0562333333333</v>
      </c>
      <c r="J997" s="30" t="n">
        <v>4.72</v>
      </c>
      <c r="K997" s="30" t="n">
        <v>0.971</v>
      </c>
      <c r="L997" s="30" t="n">
        <v>1.941</v>
      </c>
      <c r="M997" s="30" t="n">
        <v>4.85</v>
      </c>
      <c r="N997" s="25" t="n">
        <v>0.269585578671925</v>
      </c>
      <c r="O997" s="17" t="n">
        <v>0</v>
      </c>
      <c r="P997" s="26" t="n">
        <v>0</v>
      </c>
      <c r="Q997" s="24" t="n">
        <f aca="false">IF(O997=1,1/(1+EXP(-(P997-Inputs!$B$12)/Inputs!$B$13)),0)</f>
        <v>0</v>
      </c>
      <c r="R997" s="24" t="n">
        <f aca="false">N997*O997</f>
        <v>0</v>
      </c>
      <c r="S997" s="12" t="n">
        <f aca="false">N997*Q997</f>
        <v>0</v>
      </c>
      <c r="T997" s="24" t="n">
        <f aca="false">N997^2</f>
        <v>0.0726763842278765</v>
      </c>
    </row>
    <row r="998" customFormat="false" ht="15" hidden="false" customHeight="false" outlineLevel="0" collapsed="false">
      <c r="A998" s="5" t="s">
        <v>1250</v>
      </c>
      <c r="B998" s="5" t="s">
        <v>237</v>
      </c>
      <c r="C998" s="5" t="s">
        <v>59</v>
      </c>
      <c r="D998" s="5" t="s">
        <v>66</v>
      </c>
      <c r="E998" s="5" t="s">
        <v>73</v>
      </c>
      <c r="F998" s="26" t="n">
        <v>87.82</v>
      </c>
      <c r="G998" s="26" t="n">
        <v>91.15</v>
      </c>
      <c r="H998" s="30" t="n">
        <v>0.657</v>
      </c>
      <c r="I998" s="28" t="n">
        <f aca="false">H998*G998/3.6</f>
        <v>16.634875</v>
      </c>
      <c r="J998" s="30" t="n">
        <v>5.9</v>
      </c>
      <c r="K998" s="30" t="n">
        <v>1.505</v>
      </c>
      <c r="L998" s="30" t="n">
        <v>1.265</v>
      </c>
      <c r="M998" s="30" t="n">
        <v>3.93</v>
      </c>
      <c r="N998" s="25" t="n">
        <v>0.724656370725679</v>
      </c>
      <c r="O998" s="17" t="n">
        <v>1</v>
      </c>
      <c r="P998" s="26" t="n">
        <v>12.1</v>
      </c>
      <c r="Q998" s="24" t="n">
        <f aca="false">IF(O998=1,1/(1+EXP(-(P998-Inputs!$B$12)/Inputs!$B$13)),0)</f>
        <v>0.00901329865284782</v>
      </c>
      <c r="R998" s="24" t="n">
        <f aca="false">N998*O998</f>
        <v>0.724656370725679</v>
      </c>
      <c r="S998" s="12" t="n">
        <f aca="false">N998*Q998</f>
        <v>0.00653154429003936</v>
      </c>
      <c r="T998" s="24" t="n">
        <f aca="false">N998^2</f>
        <v>0.525126855633313</v>
      </c>
    </row>
    <row r="999" customFormat="false" ht="15" hidden="false" customHeight="false" outlineLevel="0" collapsed="false">
      <c r="A999" s="5" t="s">
        <v>1251</v>
      </c>
      <c r="B999" s="5" t="s">
        <v>237</v>
      </c>
      <c r="C999" s="5" t="s">
        <v>59</v>
      </c>
      <c r="D999" s="5" t="s">
        <v>66</v>
      </c>
      <c r="E999" s="5" t="s">
        <v>73</v>
      </c>
      <c r="F999" s="26" t="n">
        <v>86.34</v>
      </c>
      <c r="G999" s="26" t="n">
        <v>86.87</v>
      </c>
      <c r="H999" s="30" t="n">
        <v>0.748</v>
      </c>
      <c r="I999" s="28" t="n">
        <f aca="false">H999*G999/3.6</f>
        <v>18.0496555555556</v>
      </c>
      <c r="J999" s="30" t="n">
        <v>4.03</v>
      </c>
      <c r="K999" s="30" t="n">
        <v>2.722</v>
      </c>
      <c r="L999" s="30" t="n">
        <v>0.92</v>
      </c>
      <c r="M999" s="30" t="n">
        <v>7.59</v>
      </c>
      <c r="N999" s="25" t="n">
        <v>0.227237528872996</v>
      </c>
      <c r="O999" s="17" t="n">
        <v>0</v>
      </c>
      <c r="P999" s="26" t="n">
        <v>0</v>
      </c>
      <c r="Q999" s="24" t="n">
        <f aca="false">IF(O999=1,1/(1+EXP(-(P999-Inputs!$B$12)/Inputs!$B$13)),0)</f>
        <v>0</v>
      </c>
      <c r="R999" s="24" t="n">
        <f aca="false">N999*O999</f>
        <v>0</v>
      </c>
      <c r="S999" s="12" t="n">
        <f aca="false">N999*Q999</f>
        <v>0</v>
      </c>
      <c r="T999" s="24" t="n">
        <f aca="false">N999^2</f>
        <v>0.0516368945283057</v>
      </c>
    </row>
    <row r="1000" customFormat="false" ht="15" hidden="false" customHeight="false" outlineLevel="0" collapsed="false">
      <c r="A1000" s="5" t="s">
        <v>1252</v>
      </c>
      <c r="B1000" s="5" t="s">
        <v>237</v>
      </c>
      <c r="C1000" s="5" t="s">
        <v>59</v>
      </c>
      <c r="D1000" s="5" t="s">
        <v>66</v>
      </c>
      <c r="E1000" s="5" t="s">
        <v>73</v>
      </c>
      <c r="F1000" s="26" t="n">
        <v>87.42</v>
      </c>
      <c r="G1000" s="26" t="n">
        <v>85.76</v>
      </c>
      <c r="H1000" s="30" t="n">
        <v>0.699</v>
      </c>
      <c r="I1000" s="28" t="n">
        <f aca="false">H1000*G1000/3.6</f>
        <v>16.6517333333333</v>
      </c>
      <c r="J1000" s="30" t="n">
        <v>3.38</v>
      </c>
      <c r="K1000" s="30" t="n">
        <v>2.887</v>
      </c>
      <c r="L1000" s="30" t="n">
        <v>1.484</v>
      </c>
      <c r="M1000" s="30" t="n">
        <v>6.87</v>
      </c>
      <c r="N1000" s="25" t="n">
        <v>0.0533731974173958</v>
      </c>
      <c r="O1000" s="17" t="n">
        <v>0</v>
      </c>
      <c r="P1000" s="26" t="n">
        <v>0</v>
      </c>
      <c r="Q1000" s="24" t="n">
        <f aca="false">IF(O1000=1,1/(1+EXP(-(P1000-Inputs!$B$12)/Inputs!$B$13)),0)</f>
        <v>0</v>
      </c>
      <c r="R1000" s="24" t="n">
        <f aca="false">N1000*O1000</f>
        <v>0</v>
      </c>
      <c r="S1000" s="12" t="n">
        <f aca="false">N1000*Q1000</f>
        <v>0</v>
      </c>
      <c r="T1000" s="24" t="n">
        <f aca="false">N1000^2</f>
        <v>0.0028486982025563</v>
      </c>
    </row>
    <row r="1001" customFormat="false" ht="15" hidden="false" customHeight="false" outlineLevel="0" collapsed="false">
      <c r="A1001" s="5" t="s">
        <v>1253</v>
      </c>
      <c r="B1001" s="5" t="s">
        <v>237</v>
      </c>
      <c r="C1001" s="5" t="s">
        <v>59</v>
      </c>
      <c r="D1001" s="5" t="s">
        <v>66</v>
      </c>
      <c r="E1001" s="5" t="s">
        <v>73</v>
      </c>
      <c r="F1001" s="26" t="n">
        <v>88.76</v>
      </c>
      <c r="G1001" s="26" t="n">
        <v>89.02</v>
      </c>
      <c r="H1001" s="30" t="n">
        <v>0.707</v>
      </c>
      <c r="I1001" s="28" t="n">
        <f aca="false">H1001*G1001/3.6</f>
        <v>17.4825388888889</v>
      </c>
      <c r="J1001" s="30" t="n">
        <v>3.05</v>
      </c>
      <c r="K1001" s="30" t="n">
        <v>0.423</v>
      </c>
      <c r="L1001" s="30" t="n">
        <v>2.549</v>
      </c>
      <c r="M1001" s="30" t="n">
        <v>4.75</v>
      </c>
      <c r="N1001" s="25" t="n">
        <v>0.311009302259401</v>
      </c>
      <c r="O1001" s="17" t="n">
        <v>0</v>
      </c>
      <c r="P1001" s="26" t="n">
        <v>0</v>
      </c>
      <c r="Q1001" s="24" t="n">
        <f aca="false">IF(O1001=1,1/(1+EXP(-(P1001-Inputs!$B$12)/Inputs!$B$13)),0)</f>
        <v>0</v>
      </c>
      <c r="R1001" s="24" t="n">
        <f aca="false">N1001*O1001</f>
        <v>0</v>
      </c>
      <c r="S1001" s="12" t="n">
        <f aca="false">N1001*Q1001</f>
        <v>0</v>
      </c>
      <c r="T1001" s="24" t="n">
        <f aca="false">N1001^2</f>
        <v>0.0967267860918794</v>
      </c>
    </row>
    <row r="1002" customFormat="false" ht="15" hidden="false" customHeight="false" outlineLevel="0" collapsed="false">
      <c r="A1002" s="5" t="s">
        <v>1254</v>
      </c>
      <c r="B1002" s="5" t="s">
        <v>237</v>
      </c>
      <c r="C1002" s="5" t="s">
        <v>59</v>
      </c>
      <c r="D1002" s="5" t="s">
        <v>66</v>
      </c>
      <c r="E1002" s="5" t="s">
        <v>73</v>
      </c>
      <c r="F1002" s="26" t="n">
        <v>83.2</v>
      </c>
      <c r="G1002" s="26" t="n">
        <v>83.58</v>
      </c>
      <c r="H1002" s="30" t="n">
        <v>0.506</v>
      </c>
      <c r="I1002" s="28" t="n">
        <f aca="false">H1002*G1002/3.6</f>
        <v>11.7476333333333</v>
      </c>
      <c r="J1002" s="30" t="n">
        <v>5.82</v>
      </c>
      <c r="K1002" s="30" t="n">
        <v>1.121</v>
      </c>
      <c r="L1002" s="30" t="n">
        <v>2.302</v>
      </c>
      <c r="M1002" s="30" t="n">
        <v>4.52</v>
      </c>
      <c r="N1002" s="25" t="n">
        <v>0.121770564859658</v>
      </c>
      <c r="O1002" s="17" t="n">
        <v>1</v>
      </c>
      <c r="P1002" s="26" t="n">
        <v>24.06</v>
      </c>
      <c r="Q1002" s="24" t="n">
        <f aca="false">IF(O1002=1,1/(1+EXP(-(P1002-Inputs!$B$12)/Inputs!$B$13)),0)</f>
        <v>0.0478146072895553</v>
      </c>
      <c r="R1002" s="24" t="n">
        <f aca="false">N1002*O1002</f>
        <v>0.121770564859658</v>
      </c>
      <c r="S1002" s="12" t="n">
        <f aca="false">N1002*Q1002</f>
        <v>0.00582241173819187</v>
      </c>
      <c r="T1002" s="24" t="n">
        <f aca="false">N1002^2</f>
        <v>0.0148280704662402</v>
      </c>
    </row>
    <row r="1003" customFormat="false" ht="15" hidden="false" customHeight="false" outlineLevel="0" collapsed="false">
      <c r="A1003" s="5" t="s">
        <v>1255</v>
      </c>
      <c r="B1003" s="5" t="s">
        <v>237</v>
      </c>
      <c r="C1003" s="5" t="s">
        <v>59</v>
      </c>
      <c r="D1003" s="5" t="s">
        <v>66</v>
      </c>
      <c r="E1003" s="5" t="s">
        <v>73</v>
      </c>
      <c r="F1003" s="26" t="n">
        <v>89.34</v>
      </c>
      <c r="G1003" s="26" t="n">
        <v>87.05</v>
      </c>
      <c r="H1003" s="30" t="n">
        <v>0.611</v>
      </c>
      <c r="I1003" s="28" t="n">
        <f aca="false">H1003*G1003/3.6</f>
        <v>14.7743194444444</v>
      </c>
      <c r="J1003" s="30" t="n">
        <v>4.97</v>
      </c>
      <c r="K1003" s="30" t="n">
        <v>1.177</v>
      </c>
      <c r="L1003" s="30" t="n">
        <v>0.977</v>
      </c>
      <c r="M1003" s="30" t="n">
        <v>3.74</v>
      </c>
      <c r="N1003" s="25" t="n">
        <v>2.32314850283258</v>
      </c>
      <c r="O1003" s="17" t="n">
        <v>0</v>
      </c>
      <c r="P1003" s="26" t="n">
        <v>0</v>
      </c>
      <c r="Q1003" s="24" t="n">
        <f aca="false">IF(O1003=1,1/(1+EXP(-(P1003-Inputs!$B$12)/Inputs!$B$13)),0)</f>
        <v>0</v>
      </c>
      <c r="R1003" s="24" t="n">
        <f aca="false">N1003*O1003</f>
        <v>0</v>
      </c>
      <c r="S1003" s="12" t="n">
        <f aca="false">N1003*Q1003</f>
        <v>0</v>
      </c>
      <c r="T1003" s="24" t="n">
        <f aca="false">N1003^2</f>
        <v>5.39701896621325</v>
      </c>
    </row>
    <row r="1004" customFormat="false" ht="15" hidden="false" customHeight="false" outlineLevel="0" collapsed="false">
      <c r="A1004" s="5" t="s">
        <v>1256</v>
      </c>
      <c r="B1004" s="5" t="s">
        <v>237</v>
      </c>
      <c r="C1004" s="5" t="s">
        <v>59</v>
      </c>
      <c r="D1004" s="5" t="s">
        <v>66</v>
      </c>
      <c r="E1004" s="5" t="s">
        <v>73</v>
      </c>
      <c r="F1004" s="26" t="n">
        <v>93.43</v>
      </c>
      <c r="G1004" s="26" t="n">
        <v>96.69</v>
      </c>
      <c r="H1004" s="30" t="n">
        <v>0.547</v>
      </c>
      <c r="I1004" s="28" t="n">
        <f aca="false">H1004*G1004/3.6</f>
        <v>14.6915083333333</v>
      </c>
      <c r="J1004" s="30" t="n">
        <v>4.53</v>
      </c>
      <c r="K1004" s="30" t="n">
        <v>1.067</v>
      </c>
      <c r="L1004" s="30" t="n">
        <v>2.574</v>
      </c>
      <c r="M1004" s="30" t="n">
        <v>6.47</v>
      </c>
      <c r="N1004" s="25" t="n">
        <v>0.0260134650809562</v>
      </c>
      <c r="O1004" s="17" t="n">
        <v>1</v>
      </c>
      <c r="P1004" s="26" t="n">
        <v>4.65</v>
      </c>
      <c r="Q1004" s="24" t="n">
        <f aca="false">IF(O1004=1,1/(1+EXP(-(P1004-Inputs!$B$12)/Inputs!$B$13)),0)</f>
        <v>0.00312782176659624</v>
      </c>
      <c r="R1004" s="24" t="n">
        <f aca="false">N1004*O1004</f>
        <v>0.0260134650809562</v>
      </c>
      <c r="S1004" s="12" t="n">
        <f aca="false">N1004*Q1004</f>
        <v>8.13654823048061E-005</v>
      </c>
      <c r="T1004" s="24" t="n">
        <f aca="false">N1004^2</f>
        <v>0.000676700365518128</v>
      </c>
    </row>
    <row r="1005" customFormat="false" ht="15" hidden="false" customHeight="false" outlineLevel="0" collapsed="false">
      <c r="A1005" s="5" t="s">
        <v>1257</v>
      </c>
      <c r="B1005" s="5" t="s">
        <v>237</v>
      </c>
      <c r="C1005" s="5" t="s">
        <v>59</v>
      </c>
      <c r="D1005" s="5" t="s">
        <v>66</v>
      </c>
      <c r="E1005" s="5" t="s">
        <v>73</v>
      </c>
      <c r="F1005" s="26" t="n">
        <v>85.77</v>
      </c>
      <c r="G1005" s="26" t="n">
        <v>85.73</v>
      </c>
      <c r="H1005" s="30" t="n">
        <v>0.647</v>
      </c>
      <c r="I1005" s="28" t="n">
        <f aca="false">H1005*G1005/3.6</f>
        <v>15.4075861111111</v>
      </c>
      <c r="J1005" s="30" t="n">
        <v>5.58</v>
      </c>
      <c r="K1005" s="30" t="n">
        <v>0.789</v>
      </c>
      <c r="L1005" s="30" t="n">
        <v>1.64</v>
      </c>
      <c r="M1005" s="30" t="n">
        <v>5.95</v>
      </c>
      <c r="N1005" s="25" t="n">
        <v>0.540269787314949</v>
      </c>
      <c r="O1005" s="17" t="n">
        <v>0</v>
      </c>
      <c r="P1005" s="26" t="n">
        <v>0</v>
      </c>
      <c r="Q1005" s="24" t="n">
        <f aca="false">IF(O1005=1,1/(1+EXP(-(P1005-Inputs!$B$12)/Inputs!$B$13)),0)</f>
        <v>0</v>
      </c>
      <c r="R1005" s="24" t="n">
        <f aca="false">N1005*O1005</f>
        <v>0</v>
      </c>
      <c r="S1005" s="12" t="n">
        <f aca="false">N1005*Q1005</f>
        <v>0</v>
      </c>
      <c r="T1005" s="24" t="n">
        <f aca="false">N1005^2</f>
        <v>0.29189144308534</v>
      </c>
    </row>
    <row r="1007" customFormat="false" ht="15" hidden="false" customHeight="false" outlineLevel="0" collapsed="false">
      <c r="A1007" s="3" t="s">
        <v>108</v>
      </c>
      <c r="N1007" s="28" t="n">
        <f aca="false">SUM(N6:N1005)</f>
        <v>978.760106596375</v>
      </c>
      <c r="O1007" s="11" t="n">
        <f aca="false">SUM(O6:O1005)</f>
        <v>117</v>
      </c>
    </row>
    <row r="1008" customFormat="false" ht="15" hidden="false" customHeight="false" outlineLevel="0" collapsed="false">
      <c r="A1008" s="20" t="s">
        <v>1258</v>
      </c>
      <c r="N1008" s="31" t="n">
        <f aca="false">AVERAGE(N6:N1005)</f>
        <v>0.978760106596375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</cols>
  <sheetData>
    <row r="1" customFormat="false" ht="17.35" hidden="false" customHeight="false" outlineLevel="0" collapsed="false">
      <c r="A1" s="1" t="s">
        <v>1259</v>
      </c>
    </row>
    <row r="2" customFormat="false" ht="15" hidden="false" customHeight="false" outlineLevel="0" collapsed="false">
      <c r="A2" s="2" t="s">
        <v>1260</v>
      </c>
    </row>
    <row r="4" customFormat="false" ht="48" hidden="false" customHeight="true" outlineLevel="0" collapsed="false">
      <c r="A4" s="3" t="s">
        <v>1261</v>
      </c>
      <c r="B4" s="4" t="s">
        <v>1262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48" hidden="false" customHeight="true" outlineLevel="0" collapsed="false">
      <c r="A5" s="3" t="s">
        <v>1263</v>
      </c>
      <c r="B5" s="4" t="s">
        <v>1264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48" hidden="false" customHeight="true" outlineLevel="0" collapsed="false">
      <c r="A6" s="3" t="s">
        <v>1265</v>
      </c>
      <c r="B6" s="4" t="s">
        <v>1266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48" hidden="false" customHeight="true" outlineLevel="0" collapsed="false">
      <c r="A7" s="3" t="s">
        <v>1267</v>
      </c>
      <c r="B7" s="4" t="s">
        <v>1268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48" hidden="false" customHeight="true" outlineLevel="0" collapsed="false">
      <c r="A8" s="3" t="s">
        <v>1269</v>
      </c>
      <c r="B8" s="4" t="s">
        <v>1270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48" hidden="false" customHeight="true" outlineLevel="0" collapsed="false">
      <c r="A9" s="3" t="s">
        <v>1271</v>
      </c>
      <c r="B9" s="4" t="s">
        <v>1272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customFormat="false" ht="48" hidden="false" customHeight="true" outlineLevel="0" collapsed="false">
      <c r="A10" s="3" t="s">
        <v>1273</v>
      </c>
      <c r="B10" s="4" t="s">
        <v>1274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48" hidden="false" customHeight="true" outlineLevel="0" collapsed="false">
      <c r="A11" s="3" t="s">
        <v>1275</v>
      </c>
      <c r="B11" s="4" t="s">
        <v>1276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9" customFormat="false" ht="15" hidden="false" customHeight="false" outlineLevel="0" collapsed="false">
      <c r="A19" s="3" t="s">
        <v>1277</v>
      </c>
    </row>
    <row r="20" customFormat="false" ht="15" hidden="false" customHeight="false" outlineLevel="0" collapsed="false">
      <c r="B20" s="3" t="s">
        <v>1278</v>
      </c>
      <c r="C20" s="3" t="s">
        <v>1279</v>
      </c>
      <c r="D20" s="3" t="s">
        <v>1280</v>
      </c>
      <c r="E20" s="3" t="s">
        <v>1281</v>
      </c>
    </row>
    <row r="21" customFormat="false" ht="15" hidden="false" customHeight="false" outlineLevel="0" collapsed="false">
      <c r="A21" s="3" t="s">
        <v>1282</v>
      </c>
      <c r="B21" s="32" t="n">
        <v>1</v>
      </c>
      <c r="C21" s="9" t="n">
        <v>0.25</v>
      </c>
      <c r="D21" s="9" t="n">
        <v>0</v>
      </c>
      <c r="E21" s="9" t="n">
        <v>0</v>
      </c>
      <c r="G21" s="3" t="s">
        <v>1283</v>
      </c>
      <c r="H21" s="24" t="n">
        <f aca="false">MDETERM(B21:E24)</f>
        <v>0.6975</v>
      </c>
    </row>
    <row r="22" customFormat="false" ht="15" hidden="false" customHeight="false" outlineLevel="0" collapsed="false">
      <c r="A22" s="3" t="s">
        <v>1284</v>
      </c>
      <c r="B22" s="32" t="n">
        <f aca="false">C21</f>
        <v>0.25</v>
      </c>
      <c r="C22" s="32" t="n">
        <v>1</v>
      </c>
      <c r="D22" s="9" t="n">
        <v>-0.3</v>
      </c>
      <c r="E22" s="9" t="n">
        <v>0</v>
      </c>
      <c r="G22" s="3" t="s">
        <v>1285</v>
      </c>
      <c r="H22" s="5" t="str">
        <f aca="false">IF(AND(H21&gt;0,ISNUMBER(E30)),"positive definite","NOT positive definite")</f>
        <v>positive definite</v>
      </c>
    </row>
    <row r="23" customFormat="false" ht="15" hidden="false" customHeight="false" outlineLevel="0" collapsed="false">
      <c r="A23" s="3" t="s">
        <v>1286</v>
      </c>
      <c r="B23" s="32" t="n">
        <f aca="false">D21</f>
        <v>0</v>
      </c>
      <c r="C23" s="32" t="n">
        <f aca="false">D22</f>
        <v>-0.3</v>
      </c>
      <c r="D23" s="32" t="n">
        <v>1</v>
      </c>
      <c r="E23" s="9" t="n">
        <v>-0.4</v>
      </c>
    </row>
    <row r="24" customFormat="false" ht="15" hidden="false" customHeight="false" outlineLevel="0" collapsed="false">
      <c r="A24" s="3" t="s">
        <v>1287</v>
      </c>
      <c r="B24" s="32" t="n">
        <f aca="false">E21</f>
        <v>0</v>
      </c>
      <c r="C24" s="32" t="n">
        <f aca="false">E22</f>
        <v>0</v>
      </c>
      <c r="D24" s="32" t="n">
        <f aca="false">E23</f>
        <v>-0.4</v>
      </c>
      <c r="E24" s="32" t="n">
        <v>1</v>
      </c>
    </row>
    <row r="26" customFormat="false" ht="15" hidden="false" customHeight="false" outlineLevel="0" collapsed="false">
      <c r="A26" s="3" t="s">
        <v>1288</v>
      </c>
      <c r="B26" s="3" t="s">
        <v>1278</v>
      </c>
      <c r="C26" s="3" t="s">
        <v>1279</v>
      </c>
      <c r="D26" s="3" t="s">
        <v>1280</v>
      </c>
      <c r="E26" s="3" t="s">
        <v>1281</v>
      </c>
    </row>
    <row r="27" customFormat="false" ht="15" hidden="false" customHeight="false" outlineLevel="0" collapsed="false">
      <c r="A27" s="3" t="s">
        <v>1278</v>
      </c>
      <c r="B27" s="24" t="n">
        <f aca="false">SQRT(B21)</f>
        <v>1</v>
      </c>
      <c r="C27" s="24" t="n">
        <f aca="false">0</f>
        <v>0</v>
      </c>
      <c r="D27" s="24" t="n">
        <f aca="false">0</f>
        <v>0</v>
      </c>
      <c r="E27" s="24" t="n">
        <f aca="false">0</f>
        <v>0</v>
      </c>
    </row>
    <row r="28" customFormat="false" ht="15" hidden="false" customHeight="false" outlineLevel="0" collapsed="false">
      <c r="A28" s="3" t="s">
        <v>1279</v>
      </c>
      <c r="B28" s="24" t="n">
        <f aca="false">B22/B27</f>
        <v>0.25</v>
      </c>
      <c r="C28" s="24" t="n">
        <f aca="false">SQRT(C22-B28^2)</f>
        <v>0.968245836551854</v>
      </c>
      <c r="D28" s="24" t="n">
        <f aca="false">0</f>
        <v>0</v>
      </c>
      <c r="E28" s="24" t="n">
        <f aca="false">0</f>
        <v>0</v>
      </c>
    </row>
    <row r="29" customFormat="false" ht="15" hidden="false" customHeight="false" outlineLevel="0" collapsed="false">
      <c r="A29" s="3" t="s">
        <v>1280</v>
      </c>
      <c r="B29" s="24" t="n">
        <f aca="false">B23/B27</f>
        <v>0</v>
      </c>
      <c r="C29" s="24" t="n">
        <f aca="false">(C23-B29*B28)/C28</f>
        <v>-0.309838667696593</v>
      </c>
      <c r="D29" s="24" t="n">
        <f aca="false">SQRT(D23-B29^2-C29^2)</f>
        <v>0.950789145920377</v>
      </c>
      <c r="E29" s="24" t="n">
        <f aca="false">0</f>
        <v>0</v>
      </c>
    </row>
    <row r="30" customFormat="false" ht="15" hidden="false" customHeight="false" outlineLevel="0" collapsed="false">
      <c r="A30" s="3" t="s">
        <v>1281</v>
      </c>
      <c r="B30" s="24" t="n">
        <f aca="false">B24/B27</f>
        <v>0</v>
      </c>
      <c r="C30" s="24" t="n">
        <f aca="false">(C24-B30*B28)/C28</f>
        <v>0</v>
      </c>
      <c r="D30" s="24" t="n">
        <f aca="false">(D24-B30*B29-C30*C29)/D29</f>
        <v>-0.420703161911671</v>
      </c>
      <c r="E30" s="24" t="n">
        <f aca="false">SQRT(E24-B30^2-C30^2-D30^2)</f>
        <v>0.907198351826943</v>
      </c>
    </row>
    <row r="32" customFormat="false" ht="15" hidden="false" customHeight="false" outlineLevel="0" collapsed="false">
      <c r="A32" s="3" t="s">
        <v>1289</v>
      </c>
    </row>
    <row r="33" customFormat="false" ht="15" hidden="false" customHeight="false" outlineLevel="0" collapsed="false">
      <c r="A33" s="5" t="s">
        <v>1290</v>
      </c>
      <c r="B33" s="9" t="n">
        <v>-0.2</v>
      </c>
      <c r="C33" s="5" t="s">
        <v>1291</v>
      </c>
      <c r="E33" s="31" t="n">
        <f aca="false">SIN(PI()*B33/2)</f>
        <v>-0.309016994374947</v>
      </c>
    </row>
    <row r="35" customFormat="false" ht="15" hidden="false" customHeight="false" outlineLevel="0" collapsed="false">
      <c r="A35" s="3" t="s">
        <v>1292</v>
      </c>
    </row>
    <row r="36" customFormat="false" ht="31.5" hidden="false" customHeight="true" outlineLevel="0" collapsed="false">
      <c r="A36" s="33" t="s">
        <v>79</v>
      </c>
      <c r="B36" s="33" t="s">
        <v>113</v>
      </c>
      <c r="C36" s="33" t="s">
        <v>1293</v>
      </c>
      <c r="D36" s="33" t="s">
        <v>1294</v>
      </c>
      <c r="E36" s="33" t="s">
        <v>1295</v>
      </c>
      <c r="F36" s="33" t="s">
        <v>1296</v>
      </c>
    </row>
    <row r="37" customFormat="false" ht="15" hidden="false" customHeight="false" outlineLevel="0" collapsed="false">
      <c r="A37" s="5" t="s">
        <v>62</v>
      </c>
      <c r="B37" s="5" t="s">
        <v>68</v>
      </c>
      <c r="C37" s="25" t="n">
        <v>0</v>
      </c>
      <c r="D37" s="25" t="n">
        <v>0</v>
      </c>
      <c r="E37" s="32" t="str">
        <f aca="false">IF(D37&gt;0,C37/D37,"–")</f>
        <v>–</v>
      </c>
      <c r="F37" s="16" t="n">
        <v>20000</v>
      </c>
    </row>
    <row r="38" customFormat="false" ht="15" hidden="false" customHeight="false" outlineLevel="0" collapsed="false">
      <c r="A38" s="5" t="s">
        <v>62</v>
      </c>
      <c r="B38" s="5" t="s">
        <v>70</v>
      </c>
      <c r="C38" s="25" t="n">
        <v>0.0018</v>
      </c>
      <c r="D38" s="25" t="n">
        <v>0.00085</v>
      </c>
      <c r="E38" s="32" t="n">
        <f aca="false">IF(D38&gt;0,C38/D38,"–")</f>
        <v>2.11764705882353</v>
      </c>
      <c r="F38" s="16" t="n">
        <v>20000</v>
      </c>
    </row>
    <row r="39" customFormat="false" ht="15" hidden="false" customHeight="false" outlineLevel="0" collapsed="false">
      <c r="A39" s="5" t="s">
        <v>62</v>
      </c>
      <c r="B39" s="5" t="s">
        <v>71</v>
      </c>
      <c r="C39" s="25" t="n">
        <v>0.0131</v>
      </c>
      <c r="D39" s="25" t="n">
        <v>0.01005</v>
      </c>
      <c r="E39" s="32" t="n">
        <f aca="false">IF(D39&gt;0,C39/D39,"–")</f>
        <v>1.30348258706468</v>
      </c>
      <c r="F39" s="16" t="n">
        <v>20000</v>
      </c>
    </row>
    <row r="40" customFormat="false" ht="15" hidden="false" customHeight="false" outlineLevel="0" collapsed="false">
      <c r="A40" s="5" t="s">
        <v>62</v>
      </c>
      <c r="B40" s="5" t="s">
        <v>72</v>
      </c>
      <c r="C40" s="25" t="n">
        <v>0.0624</v>
      </c>
      <c r="D40" s="25" t="n">
        <v>0.052</v>
      </c>
      <c r="E40" s="32" t="n">
        <f aca="false">IF(D40&gt;0,C40/D40,"–")</f>
        <v>1.2</v>
      </c>
      <c r="F40" s="16" t="n">
        <v>20000</v>
      </c>
    </row>
    <row r="41" customFormat="false" ht="15" hidden="false" customHeight="false" outlineLevel="0" collapsed="false">
      <c r="A41" s="5" t="s">
        <v>62</v>
      </c>
      <c r="B41" s="5" t="s">
        <v>73</v>
      </c>
      <c r="C41" s="25" t="n">
        <v>0.2375</v>
      </c>
      <c r="D41" s="25" t="n">
        <v>0.22475</v>
      </c>
      <c r="E41" s="32" t="n">
        <f aca="false">IF(D41&gt;0,C41/D41,"–")</f>
        <v>1.0567296996663</v>
      </c>
      <c r="F41" s="16" t="n">
        <v>20000</v>
      </c>
    </row>
    <row r="42" customFormat="false" ht="15" hidden="false" customHeight="false" outlineLevel="0" collapsed="false">
      <c r="A42" s="5" t="s">
        <v>64</v>
      </c>
      <c r="B42" s="5" t="s">
        <v>68</v>
      </c>
      <c r="C42" s="25" t="n">
        <v>0</v>
      </c>
      <c r="D42" s="25" t="n">
        <v>0</v>
      </c>
      <c r="E42" s="32" t="str">
        <f aca="false">IF(D42&gt;0,C42/D42,"–")</f>
        <v>–</v>
      </c>
      <c r="F42" s="16" t="n">
        <v>20000</v>
      </c>
    </row>
    <row r="43" customFormat="false" ht="15" hidden="false" customHeight="false" outlineLevel="0" collapsed="false">
      <c r="A43" s="5" t="s">
        <v>64</v>
      </c>
      <c r="B43" s="5" t="s">
        <v>70</v>
      </c>
      <c r="C43" s="25" t="n">
        <v>0.0006</v>
      </c>
      <c r="D43" s="25" t="n">
        <v>0.00025</v>
      </c>
      <c r="E43" s="32" t="n">
        <f aca="false">IF(D43&gt;0,C43/D43,"–")</f>
        <v>2.4</v>
      </c>
      <c r="F43" s="16" t="n">
        <v>20000</v>
      </c>
    </row>
    <row r="44" customFormat="false" ht="15" hidden="false" customHeight="false" outlineLevel="0" collapsed="false">
      <c r="A44" s="5" t="s">
        <v>64</v>
      </c>
      <c r="B44" s="5" t="s">
        <v>71</v>
      </c>
      <c r="C44" s="25" t="n">
        <v>0.00345</v>
      </c>
      <c r="D44" s="25" t="n">
        <v>0.0022</v>
      </c>
      <c r="E44" s="32" t="n">
        <f aca="false">IF(D44&gt;0,C44/D44,"–")</f>
        <v>1.56818181818182</v>
      </c>
      <c r="F44" s="16" t="n">
        <v>20000</v>
      </c>
    </row>
    <row r="45" customFormat="false" ht="15" hidden="false" customHeight="false" outlineLevel="0" collapsed="false">
      <c r="A45" s="5" t="s">
        <v>64</v>
      </c>
      <c r="B45" s="5" t="s">
        <v>72</v>
      </c>
      <c r="C45" s="25" t="n">
        <v>0.01665</v>
      </c>
      <c r="D45" s="25" t="n">
        <v>0.01135</v>
      </c>
      <c r="E45" s="32" t="n">
        <f aca="false">IF(D45&gt;0,C45/D45,"–")</f>
        <v>1.46696035242291</v>
      </c>
      <c r="F45" s="16" t="n">
        <v>20000</v>
      </c>
    </row>
    <row r="46" customFormat="false" ht="15" hidden="false" customHeight="false" outlineLevel="0" collapsed="false">
      <c r="A46" s="5" t="s">
        <v>64</v>
      </c>
      <c r="B46" s="5" t="s">
        <v>73</v>
      </c>
      <c r="C46" s="25" t="n">
        <v>0.08875</v>
      </c>
      <c r="D46" s="25" t="n">
        <v>0.0749</v>
      </c>
      <c r="E46" s="32" t="n">
        <f aca="false">IF(D46&gt;0,C46/D46,"–")</f>
        <v>1.1849132176235</v>
      </c>
      <c r="F46" s="16" t="n">
        <v>20000</v>
      </c>
    </row>
    <row r="47" customFormat="false" ht="15" hidden="false" customHeight="false" outlineLevel="0" collapsed="false">
      <c r="A47" s="5" t="s">
        <v>65</v>
      </c>
      <c r="B47" s="5" t="s">
        <v>68</v>
      </c>
      <c r="C47" s="25" t="n">
        <v>0</v>
      </c>
      <c r="D47" s="25" t="n">
        <v>0</v>
      </c>
      <c r="E47" s="32" t="str">
        <f aca="false">IF(D47&gt;0,C47/D47,"–")</f>
        <v>–</v>
      </c>
      <c r="F47" s="16" t="n">
        <v>20000</v>
      </c>
    </row>
    <row r="48" customFormat="false" ht="15" hidden="false" customHeight="false" outlineLevel="0" collapsed="false">
      <c r="A48" s="5" t="s">
        <v>65</v>
      </c>
      <c r="B48" s="5" t="s">
        <v>70</v>
      </c>
      <c r="C48" s="25" t="n">
        <v>0.00015</v>
      </c>
      <c r="D48" s="25" t="n">
        <v>5E-005</v>
      </c>
      <c r="E48" s="32" t="n">
        <f aca="false">IF(D48&gt;0,C48/D48,"–")</f>
        <v>3</v>
      </c>
      <c r="F48" s="16" t="n">
        <v>20000</v>
      </c>
    </row>
    <row r="49" customFormat="false" ht="15" hidden="false" customHeight="false" outlineLevel="0" collapsed="false">
      <c r="A49" s="5" t="s">
        <v>65</v>
      </c>
      <c r="B49" s="5" t="s">
        <v>71</v>
      </c>
      <c r="C49" s="25" t="n">
        <v>0.00095</v>
      </c>
      <c r="D49" s="25" t="n">
        <v>0.0003</v>
      </c>
      <c r="E49" s="32" t="n">
        <f aca="false">IF(D49&gt;0,C49/D49,"–")</f>
        <v>3.16666666666667</v>
      </c>
      <c r="F49" s="16" t="n">
        <v>20000</v>
      </c>
    </row>
    <row r="50" customFormat="false" ht="15" hidden="false" customHeight="false" outlineLevel="0" collapsed="false">
      <c r="A50" s="5" t="s">
        <v>65</v>
      </c>
      <c r="B50" s="5" t="s">
        <v>72</v>
      </c>
      <c r="C50" s="25" t="n">
        <v>0.0042</v>
      </c>
      <c r="D50" s="25" t="n">
        <v>0.00255</v>
      </c>
      <c r="E50" s="32" t="n">
        <f aca="false">IF(D50&gt;0,C50/D50,"–")</f>
        <v>1.64705882352941</v>
      </c>
      <c r="F50" s="16" t="n">
        <v>20000</v>
      </c>
    </row>
    <row r="51" customFormat="false" ht="15" hidden="false" customHeight="false" outlineLevel="0" collapsed="false">
      <c r="A51" s="5" t="s">
        <v>65</v>
      </c>
      <c r="B51" s="5" t="s">
        <v>73</v>
      </c>
      <c r="C51" s="25" t="n">
        <v>0.0324</v>
      </c>
      <c r="D51" s="25" t="n">
        <v>0.02605</v>
      </c>
      <c r="E51" s="32" t="n">
        <f aca="false">IF(D51&gt;0,C51/D51,"–")</f>
        <v>1.24376199616123</v>
      </c>
      <c r="F51" s="16" t="n">
        <v>20000</v>
      </c>
    </row>
    <row r="52" customFormat="false" ht="15" hidden="false" customHeight="false" outlineLevel="0" collapsed="false">
      <c r="A52" s="5" t="s">
        <v>66</v>
      </c>
      <c r="B52" s="5" t="s">
        <v>68</v>
      </c>
      <c r="C52" s="25" t="n">
        <v>0</v>
      </c>
      <c r="D52" s="25" t="n">
        <v>0</v>
      </c>
      <c r="E52" s="32" t="str">
        <f aca="false">IF(D52&gt;0,C52/D52,"–")</f>
        <v>–</v>
      </c>
      <c r="F52" s="16" t="n">
        <v>20000</v>
      </c>
    </row>
    <row r="53" customFormat="false" ht="15" hidden="false" customHeight="false" outlineLevel="0" collapsed="false">
      <c r="A53" s="5" t="s">
        <v>66</v>
      </c>
      <c r="B53" s="5" t="s">
        <v>70</v>
      </c>
      <c r="C53" s="25" t="n">
        <v>0.0001</v>
      </c>
      <c r="D53" s="25" t="n">
        <v>0</v>
      </c>
      <c r="E53" s="32" t="str">
        <f aca="false">IF(D53&gt;0,C53/D53,"–")</f>
        <v>–</v>
      </c>
      <c r="F53" s="16" t="n">
        <v>20000</v>
      </c>
    </row>
    <row r="54" customFormat="false" ht="15" hidden="false" customHeight="false" outlineLevel="0" collapsed="false">
      <c r="A54" s="5" t="s">
        <v>66</v>
      </c>
      <c r="B54" s="5" t="s">
        <v>71</v>
      </c>
      <c r="C54" s="25" t="n">
        <v>0.00035</v>
      </c>
      <c r="D54" s="25" t="n">
        <v>0</v>
      </c>
      <c r="E54" s="32" t="str">
        <f aca="false">IF(D54&gt;0,C54/D54,"–")</f>
        <v>–</v>
      </c>
      <c r="F54" s="16" t="n">
        <v>20000</v>
      </c>
    </row>
    <row r="55" customFormat="false" ht="15" hidden="false" customHeight="false" outlineLevel="0" collapsed="false">
      <c r="A55" s="5" t="s">
        <v>66</v>
      </c>
      <c r="B55" s="5" t="s">
        <v>72</v>
      </c>
      <c r="C55" s="25" t="n">
        <v>0.0017</v>
      </c>
      <c r="D55" s="25" t="n">
        <v>0.0009</v>
      </c>
      <c r="E55" s="32" t="n">
        <f aca="false">IF(D55&gt;0,C55/D55,"–")</f>
        <v>1.88888888888889</v>
      </c>
      <c r="F55" s="16" t="n">
        <v>20000</v>
      </c>
    </row>
    <row r="56" customFormat="false" ht="15" hidden="false" customHeight="false" outlineLevel="0" collapsed="false">
      <c r="A56" s="5" t="s">
        <v>66</v>
      </c>
      <c r="B56" s="5" t="s">
        <v>73</v>
      </c>
      <c r="C56" s="25" t="n">
        <v>0.012</v>
      </c>
      <c r="D56" s="25" t="n">
        <v>0.00985</v>
      </c>
      <c r="E56" s="32" t="n">
        <f aca="false">IF(D56&gt;0,C56/D56,"–")</f>
        <v>1.21827411167513</v>
      </c>
      <c r="F56" s="16" t="n">
        <v>20000</v>
      </c>
    </row>
    <row r="58" customFormat="false" ht="15" hidden="false" customHeight="false" outlineLevel="0" collapsed="false">
      <c r="A58" s="20" t="s">
        <v>1297</v>
      </c>
    </row>
    <row r="60" customFormat="false" ht="15" hidden="false" customHeight="false" outlineLevel="0" collapsed="false">
      <c r="A60" s="3" t="s">
        <v>1298</v>
      </c>
    </row>
    <row r="61" customFormat="false" ht="15" hidden="false" customHeight="false" outlineLevel="0" collapsed="false">
      <c r="B61" s="5" t="s">
        <v>1299</v>
      </c>
      <c r="C61" s="9" t="n">
        <v>35</v>
      </c>
      <c r="D61" s="5" t="s">
        <v>1300</v>
      </c>
      <c r="E61" s="9" t="n">
        <v>55</v>
      </c>
      <c r="F61" s="5" t="s">
        <v>1301</v>
      </c>
      <c r="G61" s="9" t="n">
        <v>1</v>
      </c>
      <c r="H61" s="5" t="s">
        <v>1302</v>
      </c>
      <c r="I61" s="9" t="n">
        <v>1.5</v>
      </c>
    </row>
    <row r="62" customFormat="false" ht="15" hidden="false" customHeight="false" outlineLevel="0" collapsed="false">
      <c r="B62" s="5" t="s">
        <v>1303</v>
      </c>
      <c r="C62" s="9" t="n">
        <v>1.1</v>
      </c>
      <c r="D62" s="5" t="s">
        <v>1304</v>
      </c>
      <c r="E62" s="9" t="n">
        <v>0.3</v>
      </c>
      <c r="F62" s="5" t="s">
        <v>1305</v>
      </c>
      <c r="G62" s="9" t="n">
        <v>3.5</v>
      </c>
      <c r="H62" s="5" t="s">
        <v>1306</v>
      </c>
      <c r="I62" s="9" t="n">
        <v>8</v>
      </c>
    </row>
    <row r="63" customFormat="false" ht="15" hidden="false" customHeight="false" outlineLevel="0" collapsed="false">
      <c r="A63" s="3" t="s">
        <v>1307</v>
      </c>
    </row>
    <row r="64" customFormat="false" ht="15" hidden="false" customHeight="false" outlineLevel="0" collapsed="false">
      <c r="B64" s="20" t="s">
        <v>1308</v>
      </c>
      <c r="C64" s="32" t="n">
        <f aca="false">C21</f>
        <v>0.25</v>
      </c>
      <c r="D64" s="20" t="s">
        <v>1309</v>
      </c>
      <c r="E64" s="32" t="n">
        <f aca="false">D22</f>
        <v>-0.3</v>
      </c>
      <c r="F64" s="20" t="s">
        <v>1310</v>
      </c>
      <c r="G64" s="32" t="n">
        <f aca="false">E23</f>
        <v>-0.4</v>
      </c>
      <c r="H64" s="20" t="s">
        <v>1311</v>
      </c>
      <c r="I64" s="32" t="n">
        <f aca="false">D21</f>
        <v>0</v>
      </c>
      <c r="J64" s="20" t="s">
        <v>1312</v>
      </c>
      <c r="K64" s="32" t="n">
        <f aca="false">E21</f>
        <v>0</v>
      </c>
      <c r="L64" s="20" t="s">
        <v>1313</v>
      </c>
      <c r="M64" s="32" t="n">
        <f aca="false">E22</f>
        <v>0</v>
      </c>
    </row>
    <row r="65" customFormat="false" ht="15" hidden="false" customHeight="false" outlineLevel="0" collapsed="false">
      <c r="A65" s="34" t="s">
        <v>1314</v>
      </c>
      <c r="B65" s="34" t="s">
        <v>1315</v>
      </c>
      <c r="C65" s="34" t="s">
        <v>1316</v>
      </c>
      <c r="D65" s="34" t="s">
        <v>1317</v>
      </c>
      <c r="E65" s="34" t="s">
        <v>1318</v>
      </c>
      <c r="F65" s="34" t="s">
        <v>1319</v>
      </c>
      <c r="G65" s="34" t="s">
        <v>1320</v>
      </c>
      <c r="H65" s="34" t="s">
        <v>1321</v>
      </c>
      <c r="I65" s="34" t="s">
        <v>1322</v>
      </c>
      <c r="J65" s="34" t="s">
        <v>1323</v>
      </c>
      <c r="K65" s="34" t="s">
        <v>1324</v>
      </c>
      <c r="L65" s="34" t="s">
        <v>1325</v>
      </c>
      <c r="M65" s="34" t="s">
        <v>1326</v>
      </c>
      <c r="N65" s="34" t="s">
        <v>1327</v>
      </c>
      <c r="O65" s="34" t="s">
        <v>1328</v>
      </c>
      <c r="P65" s="34" t="s">
        <v>1329</v>
      </c>
      <c r="Q65" s="34" t="s">
        <v>1330</v>
      </c>
    </row>
    <row r="66" customFormat="false" ht="15" hidden="false" customHeight="false" outlineLevel="0" collapsed="false">
      <c r="A66" s="5" t="n">
        <v>1</v>
      </c>
      <c r="B66" s="35" t="n">
        <v>-0.80193</v>
      </c>
      <c r="C66" s="35" t="n">
        <v>-1.32436</v>
      </c>
      <c r="D66" s="35" t="n">
        <v>-0.24836</v>
      </c>
      <c r="E66" s="35" t="n">
        <v>0.42045</v>
      </c>
      <c r="F66" s="31" t="n">
        <f aca="false">SUMPRODUCT($B$27:$E$27,B66:E66)</f>
        <v>-0.80193</v>
      </c>
      <c r="G66" s="31" t="n">
        <f aca="false">SUMPRODUCT($B$28:$E$28,B66:E66)</f>
        <v>-1.48278855609581</v>
      </c>
      <c r="H66" s="31" t="n">
        <f aca="false">SUMPRODUCT($B$29:$E$29,B66:E66)</f>
        <v>0.174199945669876</v>
      </c>
      <c r="I66" s="31" t="n">
        <f aca="false">SUMPRODUCT($B$30:$E$30,B66:E66)</f>
        <v>0.485917384318021</v>
      </c>
      <c r="J66" s="31" t="n">
        <f aca="false">NORMSDIST(F66)</f>
        <v>0.211296725640033</v>
      </c>
      <c r="K66" s="31" t="n">
        <f aca="false">NORMSDIST(G66)</f>
        <v>0.0690652987518661</v>
      </c>
      <c r="L66" s="31" t="n">
        <f aca="false">NORMSDIST(H66)</f>
        <v>0.569145835883136</v>
      </c>
      <c r="M66" s="31" t="n">
        <f aca="false">NORMSDIST(I66)</f>
        <v>0.686487128877301</v>
      </c>
      <c r="N66" s="28" t="n">
        <f aca="false">$C$61+J66*($E$61-$C$61)</f>
        <v>39.2259345128007</v>
      </c>
      <c r="O66" s="32" t="n">
        <f aca="false">$G$61+K66*($I$61-$G$61)</f>
        <v>1.03453264937593</v>
      </c>
      <c r="P66" s="32" t="n">
        <f aca="false">LOGINV(L66,LN($C$62),$E$62)</f>
        <v>1.15901460250414</v>
      </c>
      <c r="Q66" s="32" t="n">
        <f aca="false">$G$62+M66*($I$62-$G$62)</f>
        <v>6.58919207994786</v>
      </c>
    </row>
    <row r="67" customFormat="false" ht="15" hidden="false" customHeight="false" outlineLevel="0" collapsed="false">
      <c r="A67" s="5" t="n">
        <v>2</v>
      </c>
      <c r="B67" s="35" t="n">
        <v>1.13605</v>
      </c>
      <c r="C67" s="35" t="n">
        <v>0.10971</v>
      </c>
      <c r="D67" s="35" t="n">
        <v>-0.55265</v>
      </c>
      <c r="E67" s="35" t="n">
        <v>-0.78478</v>
      </c>
      <c r="F67" s="31" t="n">
        <f aca="false">SUMPRODUCT($B$27:$E$27,B67:E67)</f>
        <v>1.13605</v>
      </c>
      <c r="G67" s="31" t="n">
        <f aca="false">SUMPRODUCT($B$28:$E$28,B67:E67)</f>
        <v>0.390238750728104</v>
      </c>
      <c r="H67" s="31" t="n">
        <f aca="false">SUMPRODUCT($B$29:$E$29,B67:E67)</f>
        <v>-0.55944602172589</v>
      </c>
      <c r="I67" s="31" t="n">
        <f aca="false">SUMPRODUCT($B$30:$E$30,B67:E67)</f>
        <v>-0.479449520116263</v>
      </c>
      <c r="J67" s="31" t="n">
        <f aca="false">NORMSDIST(F67)</f>
        <v>0.872032180459866</v>
      </c>
      <c r="K67" s="31" t="n">
        <f aca="false">NORMSDIST(G67)</f>
        <v>0.651819995179392</v>
      </c>
      <c r="L67" s="31" t="n">
        <f aca="false">NORMSDIST(H67)</f>
        <v>0.287928680105746</v>
      </c>
      <c r="M67" s="31" t="n">
        <f aca="false">NORMSDIST(I67)</f>
        <v>0.315809435870294</v>
      </c>
      <c r="N67" s="28" t="n">
        <f aca="false">$C$61+J67*($E$61-$C$61)</f>
        <v>52.4406436091973</v>
      </c>
      <c r="O67" s="32" t="n">
        <f aca="false">$G$61+K67*($I$61-$G$61)</f>
        <v>1.3259099975897</v>
      </c>
      <c r="P67" s="32" t="n">
        <f aca="false">LOGINV(L67,LN($C$62),$E$62)</f>
        <v>0.930043772522989</v>
      </c>
      <c r="Q67" s="32" t="n">
        <f aca="false">$G$62+M67*($I$62-$G$62)</f>
        <v>4.92114246141632</v>
      </c>
    </row>
    <row r="68" customFormat="false" ht="15" hidden="false" customHeight="false" outlineLevel="0" collapsed="false">
      <c r="A68" s="5" t="n">
        <v>3</v>
      </c>
      <c r="B68" s="35" t="n">
        <v>0.74875</v>
      </c>
      <c r="C68" s="35" t="n">
        <v>1.63478</v>
      </c>
      <c r="D68" s="35" t="n">
        <v>0.27277</v>
      </c>
      <c r="E68" s="35" t="n">
        <v>-1.23333</v>
      </c>
      <c r="F68" s="31" t="n">
        <f aca="false">SUMPRODUCT($B$27:$E$27,B68:E68)</f>
        <v>0.74875</v>
      </c>
      <c r="G68" s="31" t="n">
        <f aca="false">SUMPRODUCT($B$28:$E$28,B68:E68)</f>
        <v>1.77005642867824</v>
      </c>
      <c r="H68" s="31" t="n">
        <f aca="false">SUMPRODUCT($B$29:$E$29,B68:E68)</f>
        <v>-0.247171301844336</v>
      </c>
      <c r="I68" s="31" t="n">
        <f aca="false">SUMPRODUCT($B$30:$E$30,B68:E68)</f>
        <v>-1.23363014473337</v>
      </c>
      <c r="J68" s="31" t="n">
        <f aca="false">NORMSDIST(F68)</f>
        <v>0.772996049428167</v>
      </c>
      <c r="K68" s="31" t="n">
        <f aca="false">NORMSDIST(G68)</f>
        <v>0.961641129526808</v>
      </c>
      <c r="L68" s="31" t="n">
        <f aca="false">NORMSDIST(H68)</f>
        <v>0.402387827079928</v>
      </c>
      <c r="M68" s="31" t="n">
        <f aca="false">NORMSDIST(I68)</f>
        <v>0.108670377428538</v>
      </c>
      <c r="N68" s="28" t="n">
        <f aca="false">$C$61+J68*($E$61-$C$61)</f>
        <v>50.4599209885633</v>
      </c>
      <c r="O68" s="32" t="n">
        <f aca="false">$G$61+K68*($I$61-$G$61)</f>
        <v>1.4808205647634</v>
      </c>
      <c r="P68" s="32" t="n">
        <f aca="false">LOGINV(L68,LN($C$62),$E$62)</f>
        <v>1.02138422359748</v>
      </c>
      <c r="Q68" s="32" t="n">
        <f aca="false">$G$62+M68*($I$62-$G$62)</f>
        <v>3.98901669842842</v>
      </c>
    </row>
    <row r="69" customFormat="false" ht="15" hidden="false" customHeight="false" outlineLevel="0" collapsed="false">
      <c r="A69" s="5" t="n">
        <v>4</v>
      </c>
      <c r="B69" s="35" t="n">
        <v>-0.95827</v>
      </c>
      <c r="C69" s="35" t="n">
        <v>1.60002</v>
      </c>
      <c r="D69" s="35" t="n">
        <v>0.20288</v>
      </c>
      <c r="E69" s="35" t="n">
        <v>-1.73213</v>
      </c>
      <c r="F69" s="31" t="n">
        <f aca="false">SUMPRODUCT($B$27:$E$27,B69:E69)</f>
        <v>-0.95827</v>
      </c>
      <c r="G69" s="31" t="n">
        <f aca="false">SUMPRODUCT($B$28:$E$28,B69:E69)</f>
        <v>1.3096452033997</v>
      </c>
      <c r="H69" s="31" t="n">
        <f aca="false">SUMPRODUCT($B$29:$E$29,B69:E69)</f>
        <v>-0.302851963163577</v>
      </c>
      <c r="I69" s="31" t="n">
        <f aca="false">SUMPRODUCT($B$30:$E$30,B69:E69)</f>
        <v>-1.65673773863864</v>
      </c>
      <c r="J69" s="31" t="n">
        <f aca="false">NORMSDIST(F69)</f>
        <v>0.168963313669972</v>
      </c>
      <c r="K69" s="31" t="n">
        <f aca="false">NORMSDIST(G69)</f>
        <v>0.904842055561683</v>
      </c>
      <c r="L69" s="31" t="n">
        <f aca="false">NORMSDIST(H69)</f>
        <v>0.381001340464962</v>
      </c>
      <c r="M69" s="31" t="n">
        <f aca="false">NORMSDIST(I69)</f>
        <v>0.0487862548060012</v>
      </c>
      <c r="N69" s="28" t="n">
        <f aca="false">$C$61+J69*($E$61-$C$61)</f>
        <v>38.3792662733994</v>
      </c>
      <c r="O69" s="32" t="n">
        <f aca="false">$G$61+K69*($I$61-$G$61)</f>
        <v>1.45242102778084</v>
      </c>
      <c r="P69" s="32" t="n">
        <f aca="false">LOGINV(L69,LN($C$62),$E$62)</f>
        <v>1.00446452729387</v>
      </c>
      <c r="Q69" s="32" t="n">
        <f aca="false">$G$62+M69*($I$62-$G$62)</f>
        <v>3.71953814662701</v>
      </c>
    </row>
    <row r="70" customFormat="false" ht="15" hidden="false" customHeight="false" outlineLevel="0" collapsed="false">
      <c r="A70" s="5" t="n">
        <v>5</v>
      </c>
      <c r="B70" s="35" t="n">
        <v>-0.0837</v>
      </c>
      <c r="C70" s="35" t="n">
        <v>-1.16323</v>
      </c>
      <c r="D70" s="35" t="n">
        <v>-0.62929</v>
      </c>
      <c r="E70" s="35" t="n">
        <v>-0.48801</v>
      </c>
      <c r="F70" s="31" t="n">
        <f aca="false">SUMPRODUCT($B$27:$E$27,B70:E70)</f>
        <v>-0.0837</v>
      </c>
      <c r="G70" s="31" t="n">
        <f aca="false">SUMPRODUCT($B$28:$E$28,B70:E70)</f>
        <v>-1.14721760445221</v>
      </c>
      <c r="H70" s="31" t="n">
        <f aca="false">SUMPRODUCT($B$29:$E$29,B70:E70)</f>
        <v>-0.237908468211526</v>
      </c>
      <c r="I70" s="31" t="n">
        <f aca="false">SUMPRODUCT($B$30:$E$30,B70:E70)</f>
        <v>-0.177977574915671</v>
      </c>
      <c r="J70" s="31" t="n">
        <f aca="false">NORMSDIST(F70)</f>
        <v>0.466647478573396</v>
      </c>
      <c r="K70" s="31" t="n">
        <f aca="false">NORMSDIST(G70)</f>
        <v>0.12564584875543</v>
      </c>
      <c r="L70" s="31" t="n">
        <f aca="false">NORMSDIST(H70)</f>
        <v>0.405976043692938</v>
      </c>
      <c r="M70" s="31" t="n">
        <f aca="false">NORMSDIST(I70)</f>
        <v>0.429370293591179</v>
      </c>
      <c r="N70" s="28" t="n">
        <f aca="false">$C$61+J70*($E$61-$C$61)</f>
        <v>44.3329495714679</v>
      </c>
      <c r="O70" s="32" t="n">
        <f aca="false">$G$61+K70*($I$61-$G$61)</f>
        <v>1.06282292437772</v>
      </c>
      <c r="P70" s="32" t="n">
        <f aca="false">LOGINV(L70,LN($C$62),$E$62)</f>
        <v>1.02422644446287</v>
      </c>
      <c r="Q70" s="32" t="n">
        <f aca="false">$G$62+M70*($I$62-$G$62)</f>
        <v>5.43216632116031</v>
      </c>
    </row>
    <row r="71" customFormat="false" ht="15" hidden="false" customHeight="false" outlineLevel="0" collapsed="false">
      <c r="A71" s="5" t="n">
        <v>6</v>
      </c>
      <c r="B71" s="35" t="n">
        <v>-0.71331</v>
      </c>
      <c r="C71" s="35" t="n">
        <v>0.55338</v>
      </c>
      <c r="D71" s="35" t="n">
        <v>-0.06309</v>
      </c>
      <c r="E71" s="35" t="n">
        <v>-0.58943</v>
      </c>
      <c r="F71" s="31" t="n">
        <f aca="false">SUMPRODUCT($B$27:$E$27,B71:E71)</f>
        <v>-0.71331</v>
      </c>
      <c r="G71" s="31" t="n">
        <f aca="false">SUMPRODUCT($B$28:$E$28,B71:E71)</f>
        <v>0.357480381031065</v>
      </c>
      <c r="H71" s="31" t="n">
        <f aca="false">SUMPRODUCT($B$29:$E$29,B71:E71)</f>
        <v>-0.231443809146057</v>
      </c>
      <c r="I71" s="31" t="n">
        <f aca="false">SUMPRODUCT($B$30:$E$30,B71:E71)</f>
        <v>-0.508187762032348</v>
      </c>
      <c r="J71" s="31" t="n">
        <f aca="false">NORMSDIST(F71)</f>
        <v>0.237826975427054</v>
      </c>
      <c r="K71" s="31" t="n">
        <f aca="false">NORMSDIST(G71)</f>
        <v>0.639633894554793</v>
      </c>
      <c r="L71" s="31" t="n">
        <f aca="false">NORMSDIST(H71)</f>
        <v>0.40848501705844</v>
      </c>
      <c r="M71" s="31" t="n">
        <f aca="false">NORMSDIST(I71)</f>
        <v>0.305660836242209</v>
      </c>
      <c r="N71" s="28" t="n">
        <f aca="false">$C$61+J71*($E$61-$C$61)</f>
        <v>39.7565395085411</v>
      </c>
      <c r="O71" s="32" t="n">
        <f aca="false">$G$61+K71*($I$61-$G$61)</f>
        <v>1.3198169472774</v>
      </c>
      <c r="P71" s="32" t="n">
        <f aca="false">LOGINV(L71,LN($C$62),$E$62)</f>
        <v>1.02621475433226</v>
      </c>
      <c r="Q71" s="32" t="n">
        <f aca="false">$G$62+M71*($I$62-$G$62)</f>
        <v>4.87547376308994</v>
      </c>
    </row>
    <row r="72" customFormat="false" ht="15" hidden="false" customHeight="false" outlineLevel="0" collapsed="false">
      <c r="A72" s="5" t="n">
        <v>7</v>
      </c>
      <c r="B72" s="35" t="n">
        <v>0.40964</v>
      </c>
      <c r="C72" s="35" t="n">
        <v>0.82986</v>
      </c>
      <c r="D72" s="35" t="n">
        <v>-1.64302</v>
      </c>
      <c r="E72" s="35" t="n">
        <v>-0.25673</v>
      </c>
      <c r="F72" s="31" t="n">
        <f aca="false">SUMPRODUCT($B$27:$E$27,B72:E72)</f>
        <v>0.40964</v>
      </c>
      <c r="G72" s="31" t="n">
        <f aca="false">SUMPRODUCT($B$28:$E$28,B72:E72)</f>
        <v>0.905918489920922</v>
      </c>
      <c r="H72" s="31" t="n">
        <f aca="false">SUMPRODUCT($B$29:$E$29,B72:E72)</f>
        <v>-1.81928829930479</v>
      </c>
      <c r="I72" s="31" t="n">
        <f aca="false">SUMPRODUCT($B$30:$E$30,B72:E72)</f>
        <v>0.458318676219583</v>
      </c>
      <c r="J72" s="31" t="n">
        <f aca="false">NORMSDIST(F72)</f>
        <v>0.658964975086918</v>
      </c>
      <c r="K72" s="31" t="n">
        <f aca="false">NORMSDIST(G72)</f>
        <v>0.817510501544838</v>
      </c>
      <c r="L72" s="31" t="n">
        <f aca="false">NORMSDIST(H72)</f>
        <v>0.03443372877411</v>
      </c>
      <c r="M72" s="31" t="n">
        <f aca="false">NORMSDIST(I72)</f>
        <v>0.67663824585142</v>
      </c>
      <c r="N72" s="28" t="n">
        <f aca="false">$C$61+J72*($E$61-$C$61)</f>
        <v>48.1792995017384</v>
      </c>
      <c r="O72" s="32" t="n">
        <f aca="false">$G$61+K72*($I$61-$G$61)</f>
        <v>1.40875525077242</v>
      </c>
      <c r="P72" s="32" t="n">
        <f aca="false">LOGINV(L72,LN($C$62),$E$62)</f>
        <v>0.637324515283342</v>
      </c>
      <c r="Q72" s="32" t="n">
        <f aca="false">$G$62+M72*($I$62-$G$62)</f>
        <v>6.54487210633139</v>
      </c>
    </row>
    <row r="73" customFormat="false" ht="15" hidden="false" customHeight="false" outlineLevel="0" collapsed="false">
      <c r="A73" s="5" t="n">
        <v>8</v>
      </c>
      <c r="B73" s="35" t="n">
        <v>-0.98075</v>
      </c>
      <c r="C73" s="35" t="n">
        <v>-0.17316</v>
      </c>
      <c r="D73" s="35" t="n">
        <v>-1.28942</v>
      </c>
      <c r="E73" s="35" t="n">
        <v>0.02069</v>
      </c>
      <c r="F73" s="31" t="n">
        <f aca="false">SUMPRODUCT($B$27:$E$27,B73:E73)</f>
        <v>-0.98075</v>
      </c>
      <c r="G73" s="31" t="n">
        <f aca="false">SUMPRODUCT($B$28:$E$28,B73:E73)</f>
        <v>-0.412848949057319</v>
      </c>
      <c r="H73" s="31" t="n">
        <f aca="false">SUMPRODUCT($B$29:$E$29,B73:E73)</f>
        <v>-1.17231487683431</v>
      </c>
      <c r="I73" s="31" t="n">
        <f aca="false">SUMPRODUCT($B$30:$E$30,B73:E73)</f>
        <v>0.561233004931447</v>
      </c>
      <c r="J73" s="31" t="n">
        <f aca="false">NORMSDIST(F73)</f>
        <v>0.163358020237314</v>
      </c>
      <c r="K73" s="31" t="n">
        <f aca="false">NORMSDIST(G73)</f>
        <v>0.339858642958036</v>
      </c>
      <c r="L73" s="31" t="n">
        <f aca="false">NORMSDIST(H73)</f>
        <v>0.120535330465107</v>
      </c>
      <c r="M73" s="31" t="n">
        <f aca="false">NORMSDIST(I73)</f>
        <v>0.71268064703927</v>
      </c>
      <c r="N73" s="28" t="n">
        <f aca="false">$C$61+J73*($E$61-$C$61)</f>
        <v>38.2671604047463</v>
      </c>
      <c r="O73" s="32" t="n">
        <f aca="false">$G$61+K73*($I$61-$G$61)</f>
        <v>1.16992932147902</v>
      </c>
      <c r="P73" s="32" t="n">
        <f aca="false">LOGINV(L73,LN($C$62),$E$62)</f>
        <v>0.77384453615649</v>
      </c>
      <c r="Q73" s="32" t="n">
        <f aca="false">$G$62+M73*($I$62-$G$62)</f>
        <v>6.70706291167672</v>
      </c>
    </row>
    <row r="74" customFormat="false" ht="15" hidden="false" customHeight="false" outlineLevel="0" collapsed="false">
      <c r="A74" s="5" t="n">
        <v>9</v>
      </c>
      <c r="B74" s="35" t="n">
        <v>-0.03789</v>
      </c>
      <c r="C74" s="35" t="n">
        <v>-0.30434</v>
      </c>
      <c r="D74" s="35" t="n">
        <v>-1.04793</v>
      </c>
      <c r="E74" s="35" t="n">
        <v>-0.39619</v>
      </c>
      <c r="F74" s="31" t="n">
        <f aca="false">SUMPRODUCT($B$27:$E$27,B74:E74)</f>
        <v>-0.03789</v>
      </c>
      <c r="G74" s="31" t="n">
        <f aca="false">SUMPRODUCT($B$28:$E$28,B74:E74)</f>
        <v>-0.304148437896191</v>
      </c>
      <c r="H74" s="31" t="n">
        <f aca="false">SUMPRODUCT($B$29:$E$29,B74:E74)</f>
        <v>-0.902064169557559</v>
      </c>
      <c r="I74" s="31" t="n">
        <f aca="false">SUMPRODUCT($B$30:$E$30,B74:E74)</f>
        <v>0.0814445494517811</v>
      </c>
      <c r="J74" s="31" t="n">
        <f aca="false">NORMSDIST(F74)</f>
        <v>0.484887693084606</v>
      </c>
      <c r="K74" s="31" t="n">
        <f aca="false">NORMSDIST(G74)</f>
        <v>0.38050740279591</v>
      </c>
      <c r="L74" s="31" t="n">
        <f aca="false">NORMSDIST(H74)</f>
        <v>0.183511390528645</v>
      </c>
      <c r="M74" s="31" t="n">
        <f aca="false">NORMSDIST(I74)</f>
        <v>0.532455789288589</v>
      </c>
      <c r="N74" s="28" t="n">
        <f aca="false">$C$61+J74*($E$61-$C$61)</f>
        <v>44.6977538616921</v>
      </c>
      <c r="O74" s="32" t="n">
        <f aca="false">$G$61+K74*($I$61-$G$61)</f>
        <v>1.19025370139796</v>
      </c>
      <c r="P74" s="32" t="n">
        <f aca="false">LOGINV(L74,LN($C$62),$E$62)</f>
        <v>0.839197608985906</v>
      </c>
      <c r="Q74" s="32" t="n">
        <f aca="false">$G$62+M74*($I$62-$G$62)</f>
        <v>5.89605105179865</v>
      </c>
    </row>
    <row r="75" customFormat="false" ht="15" hidden="false" customHeight="false" outlineLevel="0" collapsed="false">
      <c r="A75" s="5" t="n">
        <v>10</v>
      </c>
      <c r="B75" s="35" t="n">
        <v>-1.09133</v>
      </c>
      <c r="C75" s="35" t="n">
        <v>-1.35521</v>
      </c>
      <c r="D75" s="35" t="n">
        <v>0.22479</v>
      </c>
      <c r="E75" s="35" t="n">
        <v>-1.10935</v>
      </c>
      <c r="F75" s="31" t="n">
        <f aca="false">SUMPRODUCT($B$27:$E$27,B75:E75)</f>
        <v>-1.09133</v>
      </c>
      <c r="G75" s="31" t="n">
        <f aca="false">SUMPRODUCT($B$28:$E$28,B75:E75)</f>
        <v>-1.58500894015344</v>
      </c>
      <c r="H75" s="31" t="n">
        <f aca="false">SUMPRODUCT($B$29:$E$29,B75:E75)</f>
        <v>0.633624352960542</v>
      </c>
      <c r="I75" s="31" t="n">
        <f aca="false">SUMPRODUCT($B$30:$E$30,B75:E75)</f>
        <v>-1.10097035536534</v>
      </c>
      <c r="J75" s="31" t="n">
        <f aca="false">NORMSDIST(F75)</f>
        <v>0.137563850828907</v>
      </c>
      <c r="K75" s="31" t="n">
        <f aca="false">NORMSDIST(G75)</f>
        <v>0.056482151518922</v>
      </c>
      <c r="L75" s="31" t="n">
        <f aca="false">NORMSDIST(H75)</f>
        <v>0.736836998079263</v>
      </c>
      <c r="M75" s="31" t="n">
        <f aca="false">NORMSDIST(I75)</f>
        <v>0.135454779730596</v>
      </c>
      <c r="N75" s="28" t="n">
        <f aca="false">$C$61+J75*($E$61-$C$61)</f>
        <v>37.7512770165782</v>
      </c>
      <c r="O75" s="32" t="n">
        <f aca="false">$G$61+K75*($I$61-$G$61)</f>
        <v>1.02824107575946</v>
      </c>
      <c r="P75" s="32" t="n">
        <f aca="false">LOGINV(L75,LN($C$62),$E$62)</f>
        <v>1.33029069456378</v>
      </c>
      <c r="Q75" s="32" t="n">
        <f aca="false">$G$62+M75*($I$62-$G$62)</f>
        <v>4.10954650878768</v>
      </c>
    </row>
    <row r="76" customFormat="false" ht="15" hidden="false" customHeight="false" outlineLevel="0" collapsed="false">
      <c r="A76" s="5" t="n">
        <v>11</v>
      </c>
      <c r="B76" s="35" t="n">
        <v>1.1703</v>
      </c>
      <c r="C76" s="35" t="n">
        <v>0.71659</v>
      </c>
      <c r="D76" s="35" t="n">
        <v>-1.99782</v>
      </c>
      <c r="E76" s="35" t="n">
        <v>0.27213</v>
      </c>
      <c r="F76" s="31" t="n">
        <f aca="false">SUMPRODUCT($B$27:$E$27,B76:E76)</f>
        <v>1.1703</v>
      </c>
      <c r="G76" s="31" t="n">
        <f aca="false">SUMPRODUCT($B$28:$E$28,B76:E76)</f>
        <v>0.986410284014693</v>
      </c>
      <c r="H76" s="31" t="n">
        <f aca="false">SUMPRODUCT($B$29:$E$29,B76:E76)</f>
        <v>-2.12153286238735</v>
      </c>
      <c r="I76" s="31" t="n">
        <f aca="false">SUMPRODUCT($B$30:$E$30,B76:E76)</f>
        <v>1.08736507841304</v>
      </c>
      <c r="J76" s="31" t="n">
        <f aca="false">NORMSDIST(F76)</f>
        <v>0.879059869048243</v>
      </c>
      <c r="K76" s="31" t="n">
        <f aca="false">NORMSDIST(G76)</f>
        <v>0.838034089712419</v>
      </c>
      <c r="L76" s="31" t="n">
        <f aca="false">NORMSDIST(H76)</f>
        <v>0.0169384927407247</v>
      </c>
      <c r="M76" s="31" t="n">
        <f aca="false">NORMSDIST(I76)</f>
        <v>0.861562250950855</v>
      </c>
      <c r="N76" s="28" t="n">
        <f aca="false">$C$61+J76*($E$61-$C$61)</f>
        <v>52.5811973809649</v>
      </c>
      <c r="O76" s="32" t="n">
        <f aca="false">$G$61+K76*($I$61-$G$61)</f>
        <v>1.41901704485621</v>
      </c>
      <c r="P76" s="32" t="n">
        <f aca="false">LOGINV(L76,LN($C$62),$E$62)</f>
        <v>0.582078663976883</v>
      </c>
      <c r="Q76" s="32" t="n">
        <f aca="false">$G$62+M76*($I$62-$G$62)</f>
        <v>7.37703012927885</v>
      </c>
    </row>
    <row r="77" customFormat="false" ht="15" hidden="false" customHeight="false" outlineLevel="0" collapsed="false">
      <c r="A77" s="5" t="n">
        <v>12</v>
      </c>
      <c r="B77" s="35" t="n">
        <v>-1.10172</v>
      </c>
      <c r="C77" s="35" t="n">
        <v>0.03306</v>
      </c>
      <c r="D77" s="35" t="n">
        <v>0.04363</v>
      </c>
      <c r="E77" s="35" t="n">
        <v>-1.98843</v>
      </c>
      <c r="F77" s="31" t="n">
        <f aca="false">SUMPRODUCT($B$27:$E$27,B77:E77)</f>
        <v>-1.10172</v>
      </c>
      <c r="G77" s="31" t="n">
        <f aca="false">SUMPRODUCT($B$28:$E$28,B77:E77)</f>
        <v>-0.243419792643596</v>
      </c>
      <c r="H77" s="31" t="n">
        <f aca="false">SUMPRODUCT($B$29:$E$29,B77:E77)</f>
        <v>0.0312396640824567</v>
      </c>
      <c r="I77" s="31" t="n">
        <f aca="false">SUMPRODUCT($B$30:$E$30,B77:E77)</f>
        <v>-1.82225569767745</v>
      </c>
      <c r="J77" s="31" t="n">
        <f aca="false">NORMSDIST(F77)</f>
        <v>0.135291709634566</v>
      </c>
      <c r="K77" s="31" t="n">
        <f aca="false">NORMSDIST(G77)</f>
        <v>0.403840106266934</v>
      </c>
      <c r="L77" s="31" t="n">
        <f aca="false">NORMSDIST(H77)</f>
        <v>0.512460796012101</v>
      </c>
      <c r="M77" s="31" t="n">
        <f aca="false">NORMSDIST(I77)</f>
        <v>0.0342080984648633</v>
      </c>
      <c r="N77" s="28" t="n">
        <f aca="false">$C$61+J77*($E$61-$C$61)</f>
        <v>37.7058341926913</v>
      </c>
      <c r="O77" s="32" t="n">
        <f aca="false">$G$61+K77*($I$61-$G$61)</f>
        <v>1.20192005313347</v>
      </c>
      <c r="P77" s="32" t="n">
        <f aca="false">LOGINV(L77,LN($C$62),$E$62)</f>
        <v>1.11035754828592</v>
      </c>
      <c r="Q77" s="32" t="n">
        <f aca="false">$G$62+M77*($I$62-$G$62)</f>
        <v>3.65393644309189</v>
      </c>
    </row>
    <row r="78" customFormat="false" ht="15" hidden="false" customHeight="false" outlineLevel="0" collapsed="false">
      <c r="A78" s="5" t="n">
        <v>13</v>
      </c>
      <c r="B78" s="35" t="n">
        <v>-0.23342</v>
      </c>
      <c r="C78" s="35" t="n">
        <v>-0.25579</v>
      </c>
      <c r="D78" s="35" t="n">
        <v>0.962</v>
      </c>
      <c r="E78" s="35" t="n">
        <v>-1.18145</v>
      </c>
      <c r="F78" s="31" t="n">
        <f aca="false">SUMPRODUCT($B$27:$E$27,B78:E78)</f>
        <v>-0.23342</v>
      </c>
      <c r="G78" s="31" t="n">
        <f aca="false">SUMPRODUCT($B$28:$E$28,B78:E78)</f>
        <v>-0.306022602531599</v>
      </c>
      <c r="H78" s="31" t="n">
        <f aca="false">SUMPRODUCT($B$29:$E$29,B78:E78)</f>
        <v>0.993912791185514</v>
      </c>
      <c r="I78" s="31" t="n">
        <f aca="false">SUMPRODUCT($B$30:$E$30,B78:E78)</f>
        <v>-1.47652593452497</v>
      </c>
      <c r="J78" s="31" t="n">
        <f aca="false">NORMSDIST(F78)</f>
        <v>0.407717642152342</v>
      </c>
      <c r="K78" s="31" t="n">
        <f aca="false">NORMSDIST(G78)</f>
        <v>0.379793718245842</v>
      </c>
      <c r="L78" s="31" t="n">
        <f aca="false">NORMSDIST(H78)</f>
        <v>0.839867336764061</v>
      </c>
      <c r="M78" s="31" t="n">
        <f aca="false">NORMSDIST(I78)</f>
        <v>0.069901379156607</v>
      </c>
      <c r="N78" s="28" t="n">
        <f aca="false">$C$61+J78*($E$61-$C$61)</f>
        <v>43.1543528430469</v>
      </c>
      <c r="O78" s="32" t="n">
        <f aca="false">$G$61+K78*($I$61-$G$61)</f>
        <v>1.18989685912292</v>
      </c>
      <c r="P78" s="32" t="n">
        <f aca="false">LOGINV(L78,LN($C$62),$E$62)</f>
        <v>1.48213559480669</v>
      </c>
      <c r="Q78" s="32" t="n">
        <f aca="false">$G$62+M78*($I$62-$G$62)</f>
        <v>3.81455620620473</v>
      </c>
    </row>
    <row r="79" customFormat="false" ht="15" hidden="false" customHeight="false" outlineLevel="0" collapsed="false">
      <c r="A79" s="5" t="n">
        <v>14</v>
      </c>
      <c r="B79" s="35" t="n">
        <v>0.73804</v>
      </c>
      <c r="C79" s="35" t="n">
        <v>-1.09897</v>
      </c>
      <c r="D79" s="35" t="n">
        <v>-0.33129</v>
      </c>
      <c r="E79" s="35" t="n">
        <v>-0.84047</v>
      </c>
      <c r="F79" s="31" t="n">
        <f aca="false">SUMPRODUCT($B$27:$E$27,B79:E79)</f>
        <v>0.73804</v>
      </c>
      <c r="G79" s="31" t="n">
        <f aca="false">SUMPRODUCT($B$28:$E$28,B79:E79)</f>
        <v>-0.879563126995391</v>
      </c>
      <c r="H79" s="31" t="n">
        <f aca="false">SUMPRODUCT($B$29:$E$29,B79:E79)</f>
        <v>0.0255164644865635</v>
      </c>
      <c r="I79" s="31" t="n">
        <f aca="false">SUMPRODUCT($B$30:$E$30,B79:E79)</f>
        <v>-0.623098248250273</v>
      </c>
      <c r="J79" s="31" t="n">
        <f aca="false">NORMSDIST(F79)</f>
        <v>0.769754928776527</v>
      </c>
      <c r="K79" s="31" t="n">
        <f aca="false">NORMSDIST(G79)</f>
        <v>0.189548010679549</v>
      </c>
      <c r="L79" s="31" t="n">
        <f aca="false">NORMSDIST(H79)</f>
        <v>0.510178491999077</v>
      </c>
      <c r="M79" s="31" t="n">
        <f aca="false">NORMSDIST(I79)</f>
        <v>0.266609980404855</v>
      </c>
      <c r="N79" s="28" t="n">
        <f aca="false">$C$61+J79*($E$61-$C$61)</f>
        <v>50.3950985755305</v>
      </c>
      <c r="O79" s="32" t="n">
        <f aca="false">$G$61+K79*($I$61-$G$61)</f>
        <v>1.09477400533977</v>
      </c>
      <c r="P79" s="32" t="n">
        <f aca="false">LOGINV(L79,LN($C$62),$E$62)</f>
        <v>1.1084527446281</v>
      </c>
      <c r="Q79" s="32" t="n">
        <f aca="false">$G$62+M79*($I$62-$G$62)</f>
        <v>4.69974491182185</v>
      </c>
    </row>
    <row r="80" customFormat="false" ht="15" hidden="false" customHeight="false" outlineLevel="0" collapsed="false">
      <c r="A80" s="5" t="n">
        <v>15</v>
      </c>
      <c r="B80" s="35" t="n">
        <v>1.44873</v>
      </c>
      <c r="C80" s="35" t="n">
        <v>0.56821</v>
      </c>
      <c r="D80" s="35" t="n">
        <v>2.43173</v>
      </c>
      <c r="E80" s="35" t="n">
        <v>0.64192</v>
      </c>
      <c r="F80" s="31" t="n">
        <f aca="false">SUMPRODUCT($B$27:$E$27,B80:E80)</f>
        <v>1.44873</v>
      </c>
      <c r="G80" s="31" t="n">
        <f aca="false">SUMPRODUCT($B$28:$E$28,B80:E80)</f>
        <v>0.912349466787129</v>
      </c>
      <c r="H80" s="31" t="n">
        <f aca="false">SUMPRODUCT($B$29:$E$29,B80:E80)</f>
        <v>2.13600906043708</v>
      </c>
      <c r="I80" s="31" t="n">
        <f aca="false">SUMPRODUCT($B$30:$E$30,B80:E80)</f>
        <v>-0.440687733910717</v>
      </c>
      <c r="J80" s="31" t="n">
        <f aca="false">NORMSDIST(F80)</f>
        <v>0.926293500475024</v>
      </c>
      <c r="K80" s="31" t="n">
        <f aca="false">NORMSDIST(G80)</f>
        <v>0.819207609029808</v>
      </c>
      <c r="L80" s="31" t="n">
        <f aca="false">NORMSDIST(H80)</f>
        <v>0.983660662341433</v>
      </c>
      <c r="M80" s="31" t="n">
        <f aca="false">NORMSDIST(I80)</f>
        <v>0.32971953891953</v>
      </c>
      <c r="N80" s="28" t="n">
        <f aca="false">$C$61+J80*($E$61-$C$61)</f>
        <v>53.5258700095005</v>
      </c>
      <c r="O80" s="32" t="n">
        <f aca="false">$G$61+K80*($I$61-$G$61)</f>
        <v>1.4096038045149</v>
      </c>
      <c r="P80" s="32" t="n">
        <f aca="false">LOGINV(L80,LN($C$62),$E$62)</f>
        <v>2.08780421306645</v>
      </c>
      <c r="Q80" s="32" t="n">
        <f aca="false">$G$62+M80*($I$62-$G$62)</f>
        <v>4.98373792513789</v>
      </c>
    </row>
    <row r="81" customFormat="false" ht="15" hidden="false" customHeight="false" outlineLevel="0" collapsed="false">
      <c r="A81" s="5" t="n">
        <v>16</v>
      </c>
      <c r="B81" s="35" t="n">
        <v>0.84499</v>
      </c>
      <c r="C81" s="35" t="n">
        <v>0.84068</v>
      </c>
      <c r="D81" s="35" t="n">
        <v>-0.60661</v>
      </c>
      <c r="E81" s="35" t="n">
        <v>-0.07003</v>
      </c>
      <c r="F81" s="31" t="n">
        <f aca="false">SUMPRODUCT($B$27:$E$27,B81:E81)</f>
        <v>0.84499</v>
      </c>
      <c r="G81" s="31" t="n">
        <f aca="false">SUMPRODUCT($B$28:$E$28,B81:E81)</f>
        <v>1.02523240987241</v>
      </c>
      <c r="H81" s="31" t="n">
        <f aca="false">SUMPRODUCT($B$29:$E$29,B81:E81)</f>
        <v>-0.837233374965932</v>
      </c>
      <c r="I81" s="31" t="n">
        <f aca="false">SUMPRODUCT($B$30:$E$30,B81:E81)</f>
        <v>0.191671644468798</v>
      </c>
      <c r="J81" s="31" t="n">
        <f aca="false">NORMSDIST(F81)</f>
        <v>0.800941788813099</v>
      </c>
      <c r="K81" s="31" t="n">
        <f aca="false">NORMSDIST(G81)</f>
        <v>0.847373230402642</v>
      </c>
      <c r="L81" s="31" t="n">
        <f aca="false">NORMSDIST(H81)</f>
        <v>0.201230700413902</v>
      </c>
      <c r="M81" s="31" t="n">
        <f aca="false">NORMSDIST(I81)</f>
        <v>0.576000290713641</v>
      </c>
      <c r="N81" s="28" t="n">
        <f aca="false">$C$61+J81*($E$61-$C$61)</f>
        <v>51.018835776262</v>
      </c>
      <c r="O81" s="32" t="n">
        <f aca="false">$G$61+K81*($I$61-$G$61)</f>
        <v>1.42368661520132</v>
      </c>
      <c r="P81" s="32" t="n">
        <f aca="false">LOGINV(L81,LN($C$62),$E$62)</f>
        <v>0.855679120210093</v>
      </c>
      <c r="Q81" s="32" t="n">
        <f aca="false">$G$62+M81*($I$62-$G$62)</f>
        <v>6.09200130821139</v>
      </c>
    </row>
    <row r="82" customFormat="false" ht="15" hidden="false" customHeight="false" outlineLevel="0" collapsed="false">
      <c r="A82" s="5" t="n">
        <v>17</v>
      </c>
      <c r="B82" s="35" t="n">
        <v>1.35039</v>
      </c>
      <c r="C82" s="35" t="n">
        <v>-0.39655</v>
      </c>
      <c r="D82" s="35" t="n">
        <v>0.1888</v>
      </c>
      <c r="E82" s="35" t="n">
        <v>-0.02122</v>
      </c>
      <c r="F82" s="31" t="n">
        <f aca="false">SUMPRODUCT($B$27:$E$27,B82:E82)</f>
        <v>1.35039</v>
      </c>
      <c r="G82" s="31" t="n">
        <f aca="false">SUMPRODUCT($B$28:$E$28,B82:E82)</f>
        <v>-0.0463603864846378</v>
      </c>
      <c r="H82" s="31" t="n">
        <f aca="false">SUMPRODUCT($B$29:$E$29,B82:E82)</f>
        <v>0.302375514424851</v>
      </c>
      <c r="I82" s="31" t="n">
        <f aca="false">SUMPRODUCT($B$30:$E$30,B82:E82)</f>
        <v>-0.0986795059946913</v>
      </c>
      <c r="J82" s="31" t="n">
        <f aca="false">NORMSDIST(F82)</f>
        <v>0.911554541595411</v>
      </c>
      <c r="K82" s="31" t="n">
        <f aca="false">NORMSDIST(G82)</f>
        <v>0.481511504774883</v>
      </c>
      <c r="L82" s="31" t="n">
        <f aca="false">NORMSDIST(H82)</f>
        <v>0.618817090841425</v>
      </c>
      <c r="M82" s="31" t="n">
        <f aca="false">NORMSDIST(I82)</f>
        <v>0.460696370639876</v>
      </c>
      <c r="N82" s="28" t="n">
        <f aca="false">$C$61+J82*($E$61-$C$61)</f>
        <v>53.2310908319082</v>
      </c>
      <c r="O82" s="32" t="n">
        <f aca="false">$G$61+K82*($I$61-$G$61)</f>
        <v>1.24075575238744</v>
      </c>
      <c r="P82" s="32" t="n">
        <f aca="false">LOGINV(L82,LN($C$62),$E$62)</f>
        <v>1.20444976262824</v>
      </c>
      <c r="Q82" s="32" t="n">
        <f aca="false">$G$62+M82*($I$62-$G$62)</f>
        <v>5.57313366787944</v>
      </c>
    </row>
    <row r="83" customFormat="false" ht="15" hidden="false" customHeight="false" outlineLevel="0" collapsed="false">
      <c r="A83" s="5" t="n">
        <v>18</v>
      </c>
      <c r="B83" s="35" t="n">
        <v>0.60922</v>
      </c>
      <c r="C83" s="35" t="n">
        <v>-0.36491</v>
      </c>
      <c r="D83" s="35" t="n">
        <v>-0.15236</v>
      </c>
      <c r="E83" s="35" t="n">
        <v>0.24238</v>
      </c>
      <c r="F83" s="31" t="n">
        <f aca="false">SUMPRODUCT($B$27:$E$27,B83:E83)</f>
        <v>0.60922</v>
      </c>
      <c r="G83" s="31" t="n">
        <f aca="false">SUMPRODUCT($B$28:$E$28,B83:E83)</f>
        <v>-0.201017588216137</v>
      </c>
      <c r="H83" s="31" t="n">
        <f aca="false">SUMPRODUCT($B$29:$E$29,B83:E83)</f>
        <v>-0.0317990060432648</v>
      </c>
      <c r="I83" s="31" t="n">
        <f aca="false">SUMPRODUCT($B$30:$E$30,B83:E83)</f>
        <v>0.283985070264677</v>
      </c>
      <c r="J83" s="31" t="n">
        <f aca="false">NORMSDIST(F83)</f>
        <v>0.728810687322044</v>
      </c>
      <c r="K83" s="31" t="n">
        <f aca="false">NORMSDIST(G83)</f>
        <v>0.420342410681332</v>
      </c>
      <c r="L83" s="31" t="n">
        <f aca="false">NORMSDIST(H83)</f>
        <v>0.48731616964975</v>
      </c>
      <c r="M83" s="31" t="n">
        <f aca="false">NORMSDIST(I83)</f>
        <v>0.611789088982703</v>
      </c>
      <c r="N83" s="28" t="n">
        <f aca="false">$C$61+J83*($E$61-$C$61)</f>
        <v>49.5762137464409</v>
      </c>
      <c r="O83" s="32" t="n">
        <f aca="false">$G$61+K83*($I$61-$G$61)</f>
        <v>1.21017120534067</v>
      </c>
      <c r="P83" s="32" t="n">
        <f aca="false">LOGINV(L83,LN($C$62),$E$62)</f>
        <v>1.08955622247111</v>
      </c>
      <c r="Q83" s="32" t="n">
        <f aca="false">$G$62+M83*($I$62-$G$62)</f>
        <v>6.25305090042216</v>
      </c>
    </row>
    <row r="84" customFormat="false" ht="15" hidden="false" customHeight="false" outlineLevel="0" collapsed="false">
      <c r="A84" s="5" t="n">
        <v>19</v>
      </c>
      <c r="B84" s="35" t="n">
        <v>0.10302</v>
      </c>
      <c r="C84" s="35" t="n">
        <v>-0.86497</v>
      </c>
      <c r="D84" s="35" t="n">
        <v>0.89578</v>
      </c>
      <c r="E84" s="35" t="n">
        <v>-1.29848</v>
      </c>
      <c r="F84" s="31" t="n">
        <f aca="false">SUMPRODUCT($B$27:$E$27,B84:E84)</f>
        <v>0.10302</v>
      </c>
      <c r="G84" s="31" t="n">
        <f aca="false">SUMPRODUCT($B$28:$E$28,B84:E84)</f>
        <v>-0.811748601242258</v>
      </c>
      <c r="H84" s="31" t="n">
        <f aca="false">SUMPRODUCT($B$29:$E$29,B84:E84)</f>
        <v>1.11969905353008</v>
      </c>
      <c r="I84" s="31" t="n">
        <f aca="false">SUMPRODUCT($B$30:$E$30,B84:E84)</f>
        <v>-1.55483639425749</v>
      </c>
      <c r="J84" s="31" t="n">
        <f aca="false">NORMSDIST(F84)</f>
        <v>0.541026451148494</v>
      </c>
      <c r="K84" s="31" t="n">
        <f aca="false">NORMSDIST(G84)</f>
        <v>0.208467950206867</v>
      </c>
      <c r="L84" s="31" t="n">
        <f aca="false">NORMSDIST(H84)</f>
        <v>0.868578985742901</v>
      </c>
      <c r="M84" s="31" t="n">
        <f aca="false">NORMSDIST(I84)</f>
        <v>0.0599925194834192</v>
      </c>
      <c r="N84" s="28" t="n">
        <f aca="false">$C$61+J84*($E$61-$C$61)</f>
        <v>45.8205290229699</v>
      </c>
      <c r="O84" s="32" t="n">
        <f aca="false">$G$61+K84*($I$61-$G$61)</f>
        <v>1.10423397510343</v>
      </c>
      <c r="P84" s="32" t="n">
        <f aca="false">LOGINV(L84,LN($C$62),$E$62)</f>
        <v>1.53913396193917</v>
      </c>
      <c r="Q84" s="32" t="n">
        <f aca="false">$G$62+M84*($I$62-$G$62)</f>
        <v>3.76996633767539</v>
      </c>
    </row>
    <row r="85" customFormat="false" ht="15" hidden="false" customHeight="false" outlineLevel="0" collapsed="false">
      <c r="A85" s="5" t="n">
        <v>20</v>
      </c>
      <c r="B85" s="35" t="n">
        <v>-1.20112</v>
      </c>
      <c r="C85" s="35" t="n">
        <v>-1.28249</v>
      </c>
      <c r="D85" s="35" t="n">
        <v>0.96697</v>
      </c>
      <c r="E85" s="35" t="n">
        <v>-0.36061</v>
      </c>
      <c r="F85" s="31" t="n">
        <f aca="false">SUMPRODUCT($B$27:$E$27,B85:E85)</f>
        <v>-1.20112</v>
      </c>
      <c r="G85" s="31" t="n">
        <f aca="false">SUMPRODUCT($B$28:$E$28,B85:E85)</f>
        <v>-1.54204560291939</v>
      </c>
      <c r="H85" s="31" t="n">
        <f aca="false">SUMPRODUCT($B$29:$E$29,B85:E85)</f>
        <v>1.31674957336483</v>
      </c>
      <c r="I85" s="31" t="n">
        <f aca="false">SUMPRODUCT($B$30:$E$30,B85:E85)</f>
        <v>-0.733952134126043</v>
      </c>
      <c r="J85" s="31" t="n">
        <f aca="false">NORMSDIST(F85)</f>
        <v>0.114852327972289</v>
      </c>
      <c r="K85" s="31" t="n">
        <f aca="false">NORMSDIST(G85)</f>
        <v>0.0615312561242085</v>
      </c>
      <c r="L85" s="31" t="n">
        <f aca="false">NORMSDIST(H85)</f>
        <v>0.906038709626185</v>
      </c>
      <c r="M85" s="31" t="n">
        <f aca="false">NORMSDIST(I85)</f>
        <v>0.231488955649632</v>
      </c>
      <c r="N85" s="28" t="n">
        <f aca="false">$C$61+J85*($E$61-$C$61)</f>
        <v>37.2970465594458</v>
      </c>
      <c r="O85" s="32" t="n">
        <f aca="false">$G$61+K85*($I$61-$G$61)</f>
        <v>1.0307656280621</v>
      </c>
      <c r="P85" s="32" t="n">
        <f aca="false">LOGINV(L85,LN($C$62),$E$62)</f>
        <v>1.63286322209744</v>
      </c>
      <c r="Q85" s="32" t="n">
        <f aca="false">$G$62+M85*($I$62-$G$62)</f>
        <v>4.54170030042335</v>
      </c>
    </row>
    <row r="86" customFormat="false" ht="15" hidden="false" customHeight="false" outlineLevel="0" collapsed="false">
      <c r="A86" s="5" t="n">
        <v>21</v>
      </c>
      <c r="B86" s="35" t="n">
        <v>-0.97104</v>
      </c>
      <c r="C86" s="35" t="n">
        <v>-1.13602</v>
      </c>
      <c r="D86" s="35" t="n">
        <v>0.42113</v>
      </c>
      <c r="E86" s="35" t="n">
        <v>-1.05484</v>
      </c>
      <c r="F86" s="31" t="n">
        <f aca="false">SUMPRODUCT($B$27:$E$27,B86:E86)</f>
        <v>-0.97104</v>
      </c>
      <c r="G86" s="31" t="n">
        <f aca="false">SUMPRODUCT($B$28:$E$28,B86:E86)</f>
        <v>-1.34270663523964</v>
      </c>
      <c r="H86" s="31" t="n">
        <f aca="false">SUMPRODUCT($B$29:$E$29,B86:E86)</f>
        <v>0.752388756298132</v>
      </c>
      <c r="I86" s="31" t="n">
        <f aca="false">SUMPRODUCT($B$30:$E$30,B86:E86)</f>
        <v>-1.13411983201699</v>
      </c>
      <c r="J86" s="31" t="n">
        <f aca="false">NORMSDIST(F86)</f>
        <v>0.165764180046529</v>
      </c>
      <c r="K86" s="31" t="n">
        <f aca="false">NORMSDIST(G86)</f>
        <v>0.0896834926704095</v>
      </c>
      <c r="L86" s="31" t="n">
        <f aca="false">NORMSDIST(H86)</f>
        <v>0.774091346885731</v>
      </c>
      <c r="M86" s="31" t="n">
        <f aca="false">NORMSDIST(I86)</f>
        <v>0.128372142896243</v>
      </c>
      <c r="N86" s="28" t="n">
        <f aca="false">$C$61+J86*($E$61-$C$61)</f>
        <v>38.3152836009306</v>
      </c>
      <c r="O86" s="32" t="n">
        <f aca="false">$G$61+K86*($I$61-$G$61)</f>
        <v>1.0448417463352</v>
      </c>
      <c r="P86" s="32" t="n">
        <f aca="false">LOGINV(L86,LN($C$62),$E$62)</f>
        <v>1.37854253456601</v>
      </c>
      <c r="Q86" s="32" t="n">
        <f aca="false">$G$62+M86*($I$62-$G$62)</f>
        <v>4.07767464303309</v>
      </c>
    </row>
    <row r="87" customFormat="false" ht="15" hidden="false" customHeight="false" outlineLevel="0" collapsed="false">
      <c r="A87" s="5" t="n">
        <v>22</v>
      </c>
      <c r="B87" s="35" t="n">
        <v>-1.27208</v>
      </c>
      <c r="C87" s="35" t="n">
        <v>0.61399</v>
      </c>
      <c r="D87" s="35" t="n">
        <v>-1.19671</v>
      </c>
      <c r="E87" s="35" t="n">
        <v>-0.32244</v>
      </c>
      <c r="F87" s="31" t="n">
        <f aca="false">SUMPRODUCT($B$27:$E$27,B87:E87)</f>
        <v>-1.27208</v>
      </c>
      <c r="G87" s="31" t="n">
        <f aca="false">SUMPRODUCT($B$28:$E$28,B87:E87)</f>
        <v>0.276473261184473</v>
      </c>
      <c r="H87" s="31" t="n">
        <f aca="false">SUMPRODUCT($B$29:$E$29,B87:E87)</f>
        <v>-1.32805672239341</v>
      </c>
      <c r="I87" s="31" t="n">
        <f aca="false">SUMPRODUCT($B$30:$E$30,B87:E87)</f>
        <v>0.210942644328237</v>
      </c>
      <c r="J87" s="31" t="n">
        <f aca="false">NORMSDIST(F87)</f>
        <v>0.101672348223849</v>
      </c>
      <c r="K87" s="31" t="n">
        <f aca="false">NORMSDIST(G87)</f>
        <v>0.608907702966796</v>
      </c>
      <c r="L87" s="31" t="n">
        <f aca="false">NORMSDIST(H87)</f>
        <v>0.0920796845087787</v>
      </c>
      <c r="M87" s="31" t="n">
        <f aca="false">NORMSDIST(I87)</f>
        <v>0.583533986313056</v>
      </c>
      <c r="N87" s="28" t="n">
        <f aca="false">$C$61+J87*($E$61-$C$61)</f>
        <v>37.033446964477</v>
      </c>
      <c r="O87" s="32" t="n">
        <f aca="false">$G$61+K87*($I$61-$G$61)</f>
        <v>1.3044538514834</v>
      </c>
      <c r="P87" s="32" t="n">
        <f aca="false">LOGINV(L87,LN($C$62),$E$62)</f>
        <v>0.738520190937649</v>
      </c>
      <c r="Q87" s="32" t="n">
        <f aca="false">$G$62+M87*($I$62-$G$62)</f>
        <v>6.12590293840875</v>
      </c>
    </row>
    <row r="88" customFormat="false" ht="15" hidden="false" customHeight="false" outlineLevel="0" collapsed="false">
      <c r="A88" s="5" t="n">
        <v>23</v>
      </c>
      <c r="B88" s="35" t="n">
        <v>-0.00676</v>
      </c>
      <c r="C88" s="35" t="n">
        <v>-0.44534</v>
      </c>
      <c r="D88" s="35" t="n">
        <v>-0.05409</v>
      </c>
      <c r="E88" s="35" t="n">
        <v>1.33877</v>
      </c>
      <c r="F88" s="31" t="n">
        <f aca="false">SUMPRODUCT($B$27:$E$27,B88:E88)</f>
        <v>-0.00676</v>
      </c>
      <c r="G88" s="31" t="n">
        <f aca="false">SUMPRODUCT($B$28:$E$28,B88:E88)</f>
        <v>-0.432888600850003</v>
      </c>
      <c r="H88" s="31" t="n">
        <f aca="false">SUMPRODUCT($B$29:$E$29,B88:E88)</f>
        <v>0.0865553673691677</v>
      </c>
      <c r="I88" s="31" t="n">
        <f aca="false">SUMPRODUCT($B$30:$E$30,B88:E88)</f>
        <v>1.23728577150316</v>
      </c>
      <c r="J88" s="31" t="n">
        <f aca="false">NORMSDIST(F88)</f>
        <v>0.497303170724273</v>
      </c>
      <c r="K88" s="31" t="n">
        <f aca="false">NORMSDIST(G88)</f>
        <v>0.332547850858713</v>
      </c>
      <c r="L88" s="31" t="n">
        <f aca="false">NORMSDIST(H88)</f>
        <v>0.534487527814279</v>
      </c>
      <c r="M88" s="31" t="n">
        <f aca="false">NORMSDIST(I88)</f>
        <v>0.892009495844121</v>
      </c>
      <c r="N88" s="28" t="n">
        <f aca="false">$C$61+J88*($E$61-$C$61)</f>
        <v>44.9460634144855</v>
      </c>
      <c r="O88" s="32" t="n">
        <f aca="false">$G$61+K88*($I$61-$G$61)</f>
        <v>1.16627392542936</v>
      </c>
      <c r="P88" s="32" t="n">
        <f aca="false">LOGINV(L88,LN($C$62),$E$62)</f>
        <v>1.12893734771135</v>
      </c>
      <c r="Q88" s="32" t="n">
        <f aca="false">$G$62+M88*($I$62-$G$62)</f>
        <v>7.51404273129854</v>
      </c>
    </row>
    <row r="89" customFormat="false" ht="15" hidden="false" customHeight="false" outlineLevel="0" collapsed="false">
      <c r="A89" s="5" t="n">
        <v>24</v>
      </c>
      <c r="B89" s="35" t="n">
        <v>-0.51689</v>
      </c>
      <c r="C89" s="35" t="n">
        <v>-1.25931</v>
      </c>
      <c r="D89" s="35" t="n">
        <v>-1.83675</v>
      </c>
      <c r="E89" s="35" t="n">
        <v>-0.20477</v>
      </c>
      <c r="F89" s="31" t="n">
        <f aca="false">SUMPRODUCT($B$27:$E$27,B89:E89)</f>
        <v>-0.51689</v>
      </c>
      <c r="G89" s="31" t="n">
        <f aca="false">SUMPRODUCT($B$28:$E$28,B89:E89)</f>
        <v>-1.34854416442812</v>
      </c>
      <c r="H89" s="31" t="n">
        <f aca="false">SUMPRODUCT($B$29:$E$29,B89:E89)</f>
        <v>-1.35617903115226</v>
      </c>
      <c r="I89" s="31" t="n">
        <f aca="false">SUMPRODUCT($B$30:$E$30,B89:E89)</f>
        <v>0.586959526137659</v>
      </c>
      <c r="J89" s="31" t="n">
        <f aca="false">NORMSDIST(F89)</f>
        <v>0.302616474355172</v>
      </c>
      <c r="K89" s="31" t="n">
        <f aca="false">NORMSDIST(G89)</f>
        <v>0.088741712708055</v>
      </c>
      <c r="L89" s="31" t="n">
        <f aca="false">NORMSDIST(H89)</f>
        <v>0.0875211060241947</v>
      </c>
      <c r="M89" s="31" t="n">
        <f aca="false">NORMSDIST(I89)</f>
        <v>0.721384555133468</v>
      </c>
      <c r="N89" s="28" t="n">
        <f aca="false">$C$61+J89*($E$61-$C$61)</f>
        <v>41.0523294871034</v>
      </c>
      <c r="O89" s="32" t="n">
        <f aca="false">$G$61+K89*($I$61-$G$61)</f>
        <v>1.04437085635403</v>
      </c>
      <c r="P89" s="32" t="n">
        <f aca="false">LOGINV(L89,LN($C$62),$E$62)</f>
        <v>0.732315732443598</v>
      </c>
      <c r="Q89" s="32" t="n">
        <f aca="false">$G$62+M89*($I$62-$G$62)</f>
        <v>6.74623049810061</v>
      </c>
    </row>
    <row r="90" customFormat="false" ht="15" hidden="false" customHeight="false" outlineLevel="0" collapsed="false">
      <c r="A90" s="5" t="n">
        <v>25</v>
      </c>
      <c r="B90" s="35" t="n">
        <v>-0.35226</v>
      </c>
      <c r="C90" s="35" t="n">
        <v>0.26509</v>
      </c>
      <c r="D90" s="35" t="n">
        <v>-0.46424</v>
      </c>
      <c r="E90" s="35" t="n">
        <v>-0.47864</v>
      </c>
      <c r="F90" s="31" t="n">
        <f aca="false">SUMPRODUCT($B$27:$E$27,B90:E90)</f>
        <v>-0.35226</v>
      </c>
      <c r="G90" s="31" t="n">
        <f aca="false">SUMPRODUCT($B$28:$E$28,B90:E90)</f>
        <v>0.168607288811531</v>
      </c>
      <c r="H90" s="31" t="n">
        <f aca="false">SUMPRODUCT($B$29:$E$29,B90:E90)</f>
        <v>-0.523529485521766</v>
      </c>
      <c r="I90" s="31" t="n">
        <f aca="false">SUMPRODUCT($B$30:$E$30,B90:E90)</f>
        <v>-0.238914183232574</v>
      </c>
      <c r="J90" s="31" t="n">
        <f aca="false">NORMSDIST(F90)</f>
        <v>0.362321641674494</v>
      </c>
      <c r="K90" s="31" t="n">
        <f aca="false">NORMSDIST(G90)</f>
        <v>0.566947226495865</v>
      </c>
      <c r="L90" s="31" t="n">
        <f aca="false">NORMSDIST(H90)</f>
        <v>0.300302918857554</v>
      </c>
      <c r="M90" s="31" t="n">
        <f aca="false">NORMSDIST(I90)</f>
        <v>0.405586063684193</v>
      </c>
      <c r="N90" s="28" t="n">
        <f aca="false">$C$61+J90*($E$61-$C$61)</f>
        <v>42.2464328334899</v>
      </c>
      <c r="O90" s="32" t="n">
        <f aca="false">$G$61+K90*($I$61-$G$61)</f>
        <v>1.28347361324793</v>
      </c>
      <c r="P90" s="32" t="n">
        <f aca="false">LOGINV(L90,LN($C$62),$E$62)</f>
        <v>0.940119141143617</v>
      </c>
      <c r="Q90" s="32" t="n">
        <f aca="false">$G$62+M90*($I$62-$G$62)</f>
        <v>5.32513728657887</v>
      </c>
    </row>
    <row r="91" customFormat="false" ht="15" hidden="false" customHeight="false" outlineLevel="0" collapsed="false">
      <c r="A91" s="5" t="n">
        <v>26</v>
      </c>
      <c r="B91" s="35" t="n">
        <v>-0.72132</v>
      </c>
      <c r="C91" s="35" t="n">
        <v>-0.51976</v>
      </c>
      <c r="D91" s="35" t="n">
        <v>0.16023</v>
      </c>
      <c r="E91" s="35" t="n">
        <v>-0.38035</v>
      </c>
      <c r="F91" s="31" t="n">
        <f aca="false">SUMPRODUCT($B$27:$E$27,B91:E91)</f>
        <v>-0.72132</v>
      </c>
      <c r="G91" s="31" t="n">
        <f aca="false">SUMPRODUCT($B$28:$E$28,B91:E91)</f>
        <v>-0.683585456006192</v>
      </c>
      <c r="H91" s="31" t="n">
        <f aca="false">SUMPRODUCT($B$29:$E$29,B91:E91)</f>
        <v>0.313386690772803</v>
      </c>
      <c r="I91" s="31" t="n">
        <f aca="false">SUMPRODUCT($B$30:$E$30,B91:E91)</f>
        <v>-0.412462160750485</v>
      </c>
      <c r="J91" s="31" t="n">
        <f aca="false">NORMSDIST(F91)</f>
        <v>0.235356327276207</v>
      </c>
      <c r="K91" s="31" t="n">
        <f aca="false">NORMSDIST(G91)</f>
        <v>0.24711848560072</v>
      </c>
      <c r="L91" s="31" t="n">
        <f aca="false">NORMSDIST(H91)</f>
        <v>0.623006552719836</v>
      </c>
      <c r="M91" s="31" t="n">
        <f aca="false">NORMSDIST(I91)</f>
        <v>0.340000354938432</v>
      </c>
      <c r="N91" s="28" t="n">
        <f aca="false">$C$61+J91*($E$61-$C$61)</f>
        <v>39.7071265455241</v>
      </c>
      <c r="O91" s="32" t="n">
        <f aca="false">$G$61+K91*($I$61-$G$61)</f>
        <v>1.12355924280036</v>
      </c>
      <c r="P91" s="32" t="n">
        <f aca="false">LOGINV(L91,LN($C$62),$E$62)</f>
        <v>1.20843506405431</v>
      </c>
      <c r="Q91" s="32" t="n">
        <f aca="false">$G$62+M91*($I$62-$G$62)</f>
        <v>5.03000159722294</v>
      </c>
    </row>
    <row r="92" customFormat="false" ht="15" hidden="false" customHeight="false" outlineLevel="0" collapsed="false">
      <c r="A92" s="5" t="n">
        <v>27</v>
      </c>
      <c r="B92" s="35" t="n">
        <v>0.10044</v>
      </c>
      <c r="C92" s="35" t="n">
        <v>1.90119</v>
      </c>
      <c r="D92" s="35" t="n">
        <v>0.47912</v>
      </c>
      <c r="E92" s="35" t="n">
        <v>-1.57609</v>
      </c>
      <c r="F92" s="31" t="n">
        <f aca="false">SUMPRODUCT($B$27:$E$27,B92:E92)</f>
        <v>0.10044</v>
      </c>
      <c r="G92" s="31" t="n">
        <f aca="false">SUMPRODUCT($B$28:$E$28,B92:E92)</f>
        <v>1.86592930199402</v>
      </c>
      <c r="H92" s="31" t="n">
        <f aca="false">SUMPRODUCT($B$29:$E$29,B92:E92)</f>
        <v>-0.133520081044715</v>
      </c>
      <c r="I92" s="31" t="n">
        <f aca="false">SUMPRODUCT($B$30:$E$30,B92:E92)</f>
        <v>-1.63139354926605</v>
      </c>
      <c r="J92" s="31" t="n">
        <f aca="false">NORMSDIST(F92)</f>
        <v>0.540002492549839</v>
      </c>
      <c r="K92" s="31" t="n">
        <f aca="false">NORMSDIST(G92)</f>
        <v>0.96897437131327</v>
      </c>
      <c r="L92" s="31" t="n">
        <f aca="false">NORMSDIST(H92)</f>
        <v>0.446891042039794</v>
      </c>
      <c r="M92" s="31" t="n">
        <f aca="false">NORMSDIST(I92)</f>
        <v>0.0514036525811017</v>
      </c>
      <c r="N92" s="28" t="n">
        <f aca="false">$C$61+J92*($E$61-$C$61)</f>
        <v>45.8000498509968</v>
      </c>
      <c r="O92" s="32" t="n">
        <f aca="false">$G$61+K92*($I$61-$G$61)</f>
        <v>1.48448718565663</v>
      </c>
      <c r="P92" s="32" t="n">
        <f aca="false">LOGINV(L92,LN($C$62),$E$62)</f>
        <v>1.0568091744006</v>
      </c>
      <c r="Q92" s="32" t="n">
        <f aca="false">$G$62+M92*($I$62-$G$62)</f>
        <v>3.73131643661496</v>
      </c>
    </row>
    <row r="93" customFormat="false" ht="15" hidden="false" customHeight="false" outlineLevel="0" collapsed="false">
      <c r="A93" s="5" t="n">
        <v>28</v>
      </c>
      <c r="B93" s="35" t="n">
        <v>1.73353</v>
      </c>
      <c r="C93" s="35" t="n">
        <v>0.34781</v>
      </c>
      <c r="D93" s="35" t="n">
        <v>-0.94141</v>
      </c>
      <c r="E93" s="35" t="n">
        <v>0.90705</v>
      </c>
      <c r="F93" s="31" t="n">
        <f aca="false">SUMPRODUCT($B$27:$E$27,B93:E93)</f>
        <v>1.73353</v>
      </c>
      <c r="G93" s="31" t="n">
        <f aca="false">SUMPRODUCT($B$28:$E$28,B93:E93)</f>
        <v>0.7701480844111</v>
      </c>
      <c r="H93" s="31" t="n">
        <f aca="false">SUMPRODUCT($B$29:$E$29,B93:E93)</f>
        <v>-1.00284739687245</v>
      </c>
      <c r="I93" s="31" t="n">
        <f aca="false">SUMPRODUCT($B$30:$E$30,B93:E93)</f>
        <v>1.2189284286799</v>
      </c>
      <c r="J93" s="31" t="n">
        <f aca="false">NORMSDIST(F93)</f>
        <v>0.958499244964867</v>
      </c>
      <c r="K93" s="31" t="n">
        <f aca="false">NORMSDIST(G93)</f>
        <v>0.779393972212864</v>
      </c>
      <c r="L93" s="31" t="n">
        <f aca="false">NORMSDIST(H93)</f>
        <v>0.157967248155176</v>
      </c>
      <c r="M93" s="31" t="n">
        <f aca="false">NORMSDIST(I93)</f>
        <v>0.888564320757134</v>
      </c>
      <c r="N93" s="28" t="n">
        <f aca="false">$C$61+J93*($E$61-$C$61)</f>
        <v>54.1699848992974</v>
      </c>
      <c r="O93" s="32" t="n">
        <f aca="false">$G$61+K93*($I$61-$G$61)</f>
        <v>1.38969698610643</v>
      </c>
      <c r="P93" s="32" t="n">
        <f aca="false">LOGINV(L93,LN($C$62),$E$62)</f>
        <v>0.814204236827614</v>
      </c>
      <c r="Q93" s="32" t="n">
        <f aca="false">$G$62+M93*($I$62-$G$62)</f>
        <v>7.4985394434071</v>
      </c>
    </row>
    <row r="94" customFormat="false" ht="15" hidden="false" customHeight="false" outlineLevel="0" collapsed="false">
      <c r="A94" s="5" t="n">
        <v>29</v>
      </c>
      <c r="B94" s="35" t="n">
        <v>0.01766</v>
      </c>
      <c r="C94" s="35" t="n">
        <v>-0.61522</v>
      </c>
      <c r="D94" s="35" t="n">
        <v>-0.63351</v>
      </c>
      <c r="E94" s="35" t="n">
        <v>-0.99343</v>
      </c>
      <c r="F94" s="31" t="n">
        <f aca="false">SUMPRODUCT($B$27:$E$27,B94:E94)</f>
        <v>0.01766</v>
      </c>
      <c r="G94" s="31" t="n">
        <f aca="false">SUMPRODUCT($B$28:$E$28,B94:E94)</f>
        <v>-0.591269203563432</v>
      </c>
      <c r="H94" s="31" t="n">
        <f aca="false">SUMPRODUCT($B$29:$E$29,B94:E94)</f>
        <v>-0.41171548669172</v>
      </c>
      <c r="I94" s="31" t="n">
        <f aca="false">SUMPRODUCT($B$30:$E$30,B94:E94)</f>
        <v>-0.634718398552777</v>
      </c>
      <c r="J94" s="31" t="n">
        <f aca="false">NORMSDIST(F94)</f>
        <v>0.507044954478419</v>
      </c>
      <c r="K94" s="31" t="n">
        <f aca="false">NORMSDIST(G94)</f>
        <v>0.277170030336875</v>
      </c>
      <c r="L94" s="31" t="n">
        <f aca="false">NORMSDIST(H94)</f>
        <v>0.340273986245181</v>
      </c>
      <c r="M94" s="31" t="n">
        <f aca="false">NORMSDIST(I94)</f>
        <v>0.262806045955683</v>
      </c>
      <c r="N94" s="28" t="n">
        <f aca="false">$C$61+J94*($E$61-$C$61)</f>
        <v>45.1408990895684</v>
      </c>
      <c r="O94" s="32" t="n">
        <f aca="false">$G$61+K94*($I$61-$G$61)</f>
        <v>1.13858501516844</v>
      </c>
      <c r="P94" s="32" t="n">
        <f aca="false">LOGINV(L94,LN($C$62),$E$62)</f>
        <v>0.972189566568517</v>
      </c>
      <c r="Q94" s="32" t="n">
        <f aca="false">$G$62+M94*($I$62-$G$62)</f>
        <v>4.68262720680058</v>
      </c>
    </row>
    <row r="95" customFormat="false" ht="15" hidden="false" customHeight="false" outlineLevel="0" collapsed="false">
      <c r="A95" s="5" t="n">
        <v>30</v>
      </c>
      <c r="B95" s="35" t="n">
        <v>0.04812</v>
      </c>
      <c r="C95" s="35" t="n">
        <v>1.06882</v>
      </c>
      <c r="D95" s="35" t="n">
        <v>-0.32505</v>
      </c>
      <c r="E95" s="35" t="n">
        <v>0.42082</v>
      </c>
      <c r="F95" s="31" t="n">
        <f aca="false">SUMPRODUCT($B$27:$E$27,B95:E95)</f>
        <v>0.04812</v>
      </c>
      <c r="G95" s="31" t="n">
        <f aca="false">SUMPRODUCT($B$28:$E$28,B95:E95)</f>
        <v>1.04691051502335</v>
      </c>
      <c r="H95" s="31" t="n">
        <f aca="false">SUMPRODUCT($B$29:$E$29,B95:E95)</f>
        <v>-0.640215776688892</v>
      </c>
      <c r="I95" s="31" t="n">
        <f aca="false">SUMPRODUCT($B$30:$E$30,B95:E95)</f>
        <v>0.518516773195203</v>
      </c>
      <c r="J95" s="31" t="n">
        <f aca="false">NORMSDIST(F95)</f>
        <v>0.519189696513553</v>
      </c>
      <c r="K95" s="31" t="n">
        <f aca="false">NORMSDIST(G95)</f>
        <v>0.852429574131817</v>
      </c>
      <c r="L95" s="31" t="n">
        <f aca="false">NORMSDIST(H95)</f>
        <v>0.261016163677279</v>
      </c>
      <c r="M95" s="31" t="n">
        <f aca="false">NORMSDIST(I95)</f>
        <v>0.697951119820963</v>
      </c>
      <c r="N95" s="28" t="n">
        <f aca="false">$C$61+J95*($E$61-$C$61)</f>
        <v>45.3837939302711</v>
      </c>
      <c r="O95" s="32" t="n">
        <f aca="false">$G$61+K95*($I$61-$G$61)</f>
        <v>1.42621478706591</v>
      </c>
      <c r="P95" s="32" t="n">
        <f aca="false">LOGINV(L95,LN($C$62),$E$62)</f>
        <v>0.907778790188371</v>
      </c>
      <c r="Q95" s="32" t="n">
        <f aca="false">$G$62+M95*($I$62-$G$62)</f>
        <v>6.64078003919434</v>
      </c>
    </row>
    <row r="96" customFormat="false" ht="15" hidden="false" customHeight="false" outlineLevel="0" collapsed="false">
      <c r="A96" s="5" t="n">
        <v>31</v>
      </c>
      <c r="B96" s="35" t="n">
        <v>1.87565</v>
      </c>
      <c r="C96" s="35" t="n">
        <v>-1.21459</v>
      </c>
      <c r="D96" s="35" t="n">
        <v>0.25752</v>
      </c>
      <c r="E96" s="35" t="n">
        <v>-0.30644</v>
      </c>
      <c r="F96" s="31" t="n">
        <f aca="false">SUMPRODUCT($B$27:$E$27,B96:E96)</f>
        <v>1.87565</v>
      </c>
      <c r="G96" s="31" t="n">
        <f aca="false">SUMPRODUCT($B$28:$E$28,B96:E96)</f>
        <v>-0.707109210617517</v>
      </c>
      <c r="H96" s="31" t="n">
        <f aca="false">SUMPRODUCT($B$29:$E$29,B96:E96)</f>
        <v>0.621174168255021</v>
      </c>
      <c r="I96" s="31" t="n">
        <f aca="false">SUMPRODUCT($B$30:$E$30,B96:E96)</f>
        <v>-0.386341341189342</v>
      </c>
      <c r="J96" s="31" t="n">
        <f aca="false">NORMSDIST(F96)</f>
        <v>0.969648322076132</v>
      </c>
      <c r="K96" s="31" t="n">
        <f aca="false">NORMSDIST(G96)</f>
        <v>0.239749306278279</v>
      </c>
      <c r="L96" s="31" t="n">
        <f aca="false">NORMSDIST(H96)</f>
        <v>0.732757483143898</v>
      </c>
      <c r="M96" s="31" t="n">
        <f aca="false">NORMSDIST(I96)</f>
        <v>0.349621943424677</v>
      </c>
      <c r="N96" s="28" t="n">
        <f aca="false">$C$61+J96*($E$61-$C$61)</f>
        <v>54.3929664415226</v>
      </c>
      <c r="O96" s="32" t="n">
        <f aca="false">$G$61+K96*($I$61-$G$61)</f>
        <v>1.11987465313914</v>
      </c>
      <c r="P96" s="32" t="n">
        <f aca="false">LOGINV(L96,LN($C$62),$E$62)</f>
        <v>1.32533125276655</v>
      </c>
      <c r="Q96" s="32" t="n">
        <f aca="false">$G$62+M96*($I$62-$G$62)</f>
        <v>5.07329874541105</v>
      </c>
    </row>
    <row r="97" customFormat="false" ht="15" hidden="false" customHeight="false" outlineLevel="0" collapsed="false">
      <c r="A97" s="5" t="n">
        <v>32</v>
      </c>
      <c r="B97" s="35" t="n">
        <v>-1.05926</v>
      </c>
      <c r="C97" s="35" t="n">
        <v>-1.02585</v>
      </c>
      <c r="D97" s="35" t="n">
        <v>-0.01529</v>
      </c>
      <c r="E97" s="35" t="n">
        <v>0.43386</v>
      </c>
      <c r="F97" s="31" t="n">
        <f aca="false">SUMPRODUCT($B$27:$E$27,B97:E97)</f>
        <v>-1.05926</v>
      </c>
      <c r="G97" s="31" t="n">
        <f aca="false">SUMPRODUCT($B$28:$E$28,B97:E97)</f>
        <v>-1.25808999142672</v>
      </c>
      <c r="H97" s="31" t="n">
        <f aca="false">SUMPRODUCT($B$29:$E$29,B97:E97)</f>
        <v>0.303310431215428</v>
      </c>
      <c r="I97" s="31" t="n">
        <f aca="false">SUMPRODUCT($B$30:$E$30,B97:E97)</f>
        <v>0.400029628269267</v>
      </c>
      <c r="J97" s="31" t="n">
        <f aca="false">NORMSDIST(F97)</f>
        <v>0.144740693211878</v>
      </c>
      <c r="K97" s="31" t="n">
        <f aca="false">NORMSDIST(G97)</f>
        <v>0.10417960626365</v>
      </c>
      <c r="L97" s="31" t="n">
        <f aca="false">NORMSDIST(H97)</f>
        <v>0.619173351279822</v>
      </c>
      <c r="M97" s="31" t="n">
        <f aca="false">NORMSDIST(I97)</f>
        <v>0.655432652752547</v>
      </c>
      <c r="N97" s="28" t="n">
        <f aca="false">$C$61+J97*($E$61-$C$61)</f>
        <v>37.8948138642376</v>
      </c>
      <c r="O97" s="32" t="n">
        <f aca="false">$G$61+K97*($I$61-$G$61)</f>
        <v>1.05208980313183</v>
      </c>
      <c r="P97" s="32" t="n">
        <f aca="false">LOGINV(L97,LN($C$62),$E$62)</f>
        <v>1.20478762809938</v>
      </c>
      <c r="Q97" s="32" t="n">
        <f aca="false">$G$62+M97*($I$62-$G$62)</f>
        <v>6.44944693738646</v>
      </c>
    </row>
    <row r="98" customFormat="false" ht="15" hidden="false" customHeight="false" outlineLevel="0" collapsed="false">
      <c r="A98" s="5" t="n">
        <v>33</v>
      </c>
      <c r="B98" s="35" t="n">
        <v>-0.53159</v>
      </c>
      <c r="C98" s="35" t="n">
        <v>0.05439</v>
      </c>
      <c r="D98" s="35" t="n">
        <v>0.72221</v>
      </c>
      <c r="E98" s="35" t="n">
        <v>0.29656</v>
      </c>
      <c r="F98" s="31" t="n">
        <f aca="false">SUMPRODUCT($B$27:$E$27,B98:E98)</f>
        <v>-0.53159</v>
      </c>
      <c r="G98" s="31" t="n">
        <f aca="false">SUMPRODUCT($B$28:$E$28,B98:E98)</f>
        <v>-0.0802346089499447</v>
      </c>
      <c r="H98" s="31" t="n">
        <f aca="false">SUMPRODUCT($B$29:$E$29,B98:E98)</f>
        <v>0.669817303939138</v>
      </c>
      <c r="I98" s="31" t="n">
        <f aca="false">SUMPRODUCT($B$30:$E$30,B98:E98)</f>
        <v>-0.0347972873464299</v>
      </c>
      <c r="J98" s="31" t="n">
        <f aca="false">NORMSDIST(F98)</f>
        <v>0.297504996133656</v>
      </c>
      <c r="K98" s="31" t="n">
        <f aca="false">NORMSDIST(G98)</f>
        <v>0.468025332459573</v>
      </c>
      <c r="L98" s="31" t="n">
        <f aca="false">NORMSDIST(H98)</f>
        <v>0.748512869321234</v>
      </c>
      <c r="M98" s="31" t="n">
        <f aca="false">NORMSDIST(I98)</f>
        <v>0.486120691853575</v>
      </c>
      <c r="N98" s="28" t="n">
        <f aca="false">$C$61+J98*($E$61-$C$61)</f>
        <v>40.9500999226731</v>
      </c>
      <c r="O98" s="32" t="n">
        <f aca="false">$G$61+K98*($I$61-$G$61)</f>
        <v>1.23401266622979</v>
      </c>
      <c r="P98" s="32" t="n">
        <f aca="false">LOGINV(L98,LN($C$62),$E$62)</f>
        <v>1.34481353934484</v>
      </c>
      <c r="Q98" s="32" t="n">
        <f aca="false">$G$62+M98*($I$62-$G$62)</f>
        <v>5.68754311334109</v>
      </c>
    </row>
    <row r="99" customFormat="false" ht="15" hidden="false" customHeight="false" outlineLevel="0" collapsed="false">
      <c r="A99" s="5" t="n">
        <v>34</v>
      </c>
      <c r="B99" s="35" t="n">
        <v>0.86867</v>
      </c>
      <c r="C99" s="35" t="n">
        <v>0.4614</v>
      </c>
      <c r="D99" s="35" t="n">
        <v>0.48801</v>
      </c>
      <c r="E99" s="35" t="n">
        <v>1.82663</v>
      </c>
      <c r="F99" s="31" t="n">
        <f aca="false">SUMPRODUCT($B$27:$E$27,B99:E99)</f>
        <v>0.86867</v>
      </c>
      <c r="G99" s="31" t="n">
        <f aca="false">SUMPRODUCT($B$28:$E$28,B99:E99)</f>
        <v>0.663916128985026</v>
      </c>
      <c r="H99" s="31" t="n">
        <f aca="false">SUMPRODUCT($B$29:$E$29,B99:E99)</f>
        <v>0.321035049825395</v>
      </c>
      <c r="I99" s="31" t="n">
        <f aca="false">SUMPRODUCT($B$30:$E$30,B99:E99)</f>
        <v>1.45180837535313</v>
      </c>
      <c r="J99" s="31" t="n">
        <f aca="false">NORMSDIST(F99)</f>
        <v>0.807486172575557</v>
      </c>
      <c r="K99" s="31" t="n">
        <f aca="false">NORMSDIST(G99)</f>
        <v>0.746628003703255</v>
      </c>
      <c r="L99" s="31" t="n">
        <f aca="false">NORMSDIST(H99)</f>
        <v>0.625908085169803</v>
      </c>
      <c r="M99" s="31" t="n">
        <f aca="false">NORMSDIST(I99)</f>
        <v>0.926722552764381</v>
      </c>
      <c r="N99" s="28" t="n">
        <f aca="false">$C$61+J99*($E$61-$C$61)</f>
        <v>51.1497234515111</v>
      </c>
      <c r="O99" s="32" t="n">
        <f aca="false">$G$61+K99*($I$61-$G$61)</f>
        <v>1.37331400185163</v>
      </c>
      <c r="P99" s="32" t="n">
        <f aca="false">LOGINV(L99,LN($C$62),$E$62)</f>
        <v>1.2112110111309</v>
      </c>
      <c r="Q99" s="32" t="n">
        <f aca="false">$G$62+M99*($I$62-$G$62)</f>
        <v>7.67025148743972</v>
      </c>
    </row>
    <row r="100" customFormat="false" ht="15" hidden="false" customHeight="false" outlineLevel="0" collapsed="false">
      <c r="A100" s="5" t="n">
        <v>35</v>
      </c>
      <c r="B100" s="35" t="n">
        <v>0.62317</v>
      </c>
      <c r="C100" s="35" t="n">
        <v>0.12947</v>
      </c>
      <c r="D100" s="35" t="n">
        <v>0.70994</v>
      </c>
      <c r="E100" s="35" t="n">
        <v>-0.91912</v>
      </c>
      <c r="F100" s="31" t="n">
        <f aca="false">SUMPRODUCT($B$27:$E$27,B100:E100)</f>
        <v>0.62317</v>
      </c>
      <c r="G100" s="31" t="n">
        <f aca="false">SUMPRODUCT($B$28:$E$28,B100:E100)</f>
        <v>0.281151288458369</v>
      </c>
      <c r="H100" s="31" t="n">
        <f aca="false">SUMPRODUCT($B$29:$E$29,B100:E100)</f>
        <v>0.634888433948035</v>
      </c>
      <c r="I100" s="31" t="n">
        <f aca="false">SUMPRODUCT($B$30:$E$30,B100:E100)</f>
        <v>-1.13249815189875</v>
      </c>
      <c r="J100" s="31" t="n">
        <f aca="false">NORMSDIST(F100)</f>
        <v>0.733413593152649</v>
      </c>
      <c r="K100" s="31" t="n">
        <f aca="false">NORMSDIST(G100)</f>
        <v>0.610702817778674</v>
      </c>
      <c r="L100" s="31" t="n">
        <f aca="false">NORMSDIST(H100)</f>
        <v>0.737249409516748</v>
      </c>
      <c r="M100" s="31" t="n">
        <f aca="false">NORMSDIST(I100)</f>
        <v>0.128712530460452</v>
      </c>
      <c r="N100" s="28" t="n">
        <f aca="false">$C$61+J100*($E$61-$C$61)</f>
        <v>49.668271863053</v>
      </c>
      <c r="O100" s="32" t="n">
        <f aca="false">$G$61+K100*($I$61-$G$61)</f>
        <v>1.30535140888934</v>
      </c>
      <c r="P100" s="32" t="n">
        <f aca="false">LOGINV(L100,LN($C$62),$E$62)</f>
        <v>1.33079526878358</v>
      </c>
      <c r="Q100" s="32" t="n">
        <f aca="false">$G$62+M100*($I$62-$G$62)</f>
        <v>4.07920638707204</v>
      </c>
    </row>
    <row r="101" customFormat="false" ht="15" hidden="false" customHeight="false" outlineLevel="0" collapsed="false">
      <c r="A101" s="5" t="n">
        <v>36</v>
      </c>
      <c r="B101" s="35" t="n">
        <v>-0.3377</v>
      </c>
      <c r="C101" s="35" t="n">
        <v>0.79322</v>
      </c>
      <c r="D101" s="35" t="n">
        <v>0.63079</v>
      </c>
      <c r="E101" s="35" t="n">
        <v>1.54836</v>
      </c>
      <c r="F101" s="31" t="n">
        <f aca="false">SUMPRODUCT($B$27:$E$27,B101:E101)</f>
        <v>-0.3377</v>
      </c>
      <c r="G101" s="31" t="n">
        <f aca="false">SUMPRODUCT($B$28:$E$28,B101:E101)</f>
        <v>0.683606962469662</v>
      </c>
      <c r="H101" s="31" t="n">
        <f aca="false">SUMPRODUCT($B$29:$E$29,B101:E101)</f>
        <v>0.353978057364823</v>
      </c>
      <c r="I101" s="31" t="n">
        <f aca="false">SUMPRODUCT($B$30:$E$30,B101:E101)</f>
        <v>1.1392942925325</v>
      </c>
      <c r="J101" s="31" t="n">
        <f aca="false">NORMSDIST(F101)</f>
        <v>0.36779463738034</v>
      </c>
      <c r="K101" s="31" t="n">
        <f aca="false">NORMSDIST(G101)</f>
        <v>0.75288830651913</v>
      </c>
      <c r="L101" s="31" t="n">
        <f aca="false">NORMSDIST(H101)</f>
        <v>0.638322336173114</v>
      </c>
      <c r="M101" s="31" t="n">
        <f aca="false">NORMSDIST(I101)</f>
        <v>0.872709785937592</v>
      </c>
      <c r="N101" s="28" t="n">
        <f aca="false">$C$61+J101*($E$61-$C$61)</f>
        <v>42.3558927476068</v>
      </c>
      <c r="O101" s="32" t="n">
        <f aca="false">$G$61+K101*($I$61-$G$61)</f>
        <v>1.37644415325956</v>
      </c>
      <c r="P101" s="32" t="n">
        <f aca="false">LOGINV(L101,LN($C$62),$E$62)</f>
        <v>1.22324063706831</v>
      </c>
      <c r="Q101" s="32" t="n">
        <f aca="false">$G$62+M101*($I$62-$G$62)</f>
        <v>7.42719403671917</v>
      </c>
    </row>
    <row r="102" customFormat="false" ht="15" hidden="false" customHeight="false" outlineLevel="0" collapsed="false">
      <c r="A102" s="5" t="n">
        <v>37</v>
      </c>
      <c r="B102" s="35" t="n">
        <v>0.01047</v>
      </c>
      <c r="C102" s="35" t="n">
        <v>-1.46233</v>
      </c>
      <c r="D102" s="35" t="n">
        <v>1.94725</v>
      </c>
      <c r="E102" s="35" t="n">
        <v>1.09289</v>
      </c>
      <c r="F102" s="31" t="n">
        <f aca="false">SUMPRODUCT($B$27:$E$27,B102:E102)</f>
        <v>0.01047</v>
      </c>
      <c r="G102" s="31" t="n">
        <f aca="false">SUMPRODUCT($B$28:$E$28,B102:E102)</f>
        <v>-1.41327743416487</v>
      </c>
      <c r="H102" s="31" t="n">
        <f aca="false">SUMPRODUCT($B$29:$E$29,B102:E102)</f>
        <v>2.30451054332621</v>
      </c>
      <c r="I102" s="31" t="n">
        <f aca="false">SUMPRODUCT($B$30:$E$30,B102:E102)</f>
        <v>0.172253774695646</v>
      </c>
      <c r="J102" s="31" t="n">
        <f aca="false">NORMSDIST(F102)</f>
        <v>0.504176849363999</v>
      </c>
      <c r="K102" s="31" t="n">
        <f aca="false">NORMSDIST(G102)</f>
        <v>0.0787870831575263</v>
      </c>
      <c r="L102" s="31" t="n">
        <f aca="false">NORMSDIST(H102)</f>
        <v>0.989402999404765</v>
      </c>
      <c r="M102" s="31" t="n">
        <f aca="false">NORMSDIST(I102)</f>
        <v>0.56838098823642</v>
      </c>
      <c r="N102" s="28" t="n">
        <f aca="false">$C$61+J102*($E$61-$C$61)</f>
        <v>45.08353698728</v>
      </c>
      <c r="O102" s="32" t="n">
        <f aca="false">$G$61+K102*($I$61-$G$61)</f>
        <v>1.03939354157876</v>
      </c>
      <c r="P102" s="32" t="n">
        <f aca="false">LOGINV(L102,LN($C$62),$E$62)</f>
        <v>2.19605669959614</v>
      </c>
      <c r="Q102" s="32" t="n">
        <f aca="false">$G$62+M102*($I$62-$G$62)</f>
        <v>6.05771444706389</v>
      </c>
    </row>
    <row r="103" customFormat="false" ht="15" hidden="false" customHeight="false" outlineLevel="0" collapsed="false">
      <c r="A103" s="5" t="n">
        <v>38</v>
      </c>
      <c r="B103" s="35" t="n">
        <v>-1.05874</v>
      </c>
      <c r="C103" s="35" t="n">
        <v>1.37582</v>
      </c>
      <c r="D103" s="35" t="n">
        <v>0.0324</v>
      </c>
      <c r="E103" s="35" t="n">
        <v>-1.81393</v>
      </c>
      <c r="F103" s="31" t="n">
        <f aca="false">SUMPRODUCT($B$27:$E$27,B103:E103)</f>
        <v>-1.05874</v>
      </c>
      <c r="G103" s="31" t="n">
        <f aca="false">SUMPRODUCT($B$28:$E$28,B103:E103)</f>
        <v>1.06744698684477</v>
      </c>
      <c r="H103" s="31" t="n">
        <f aca="false">SUMPRODUCT($B$29:$E$29,B103:E103)</f>
        <v>-0.395476667462507</v>
      </c>
      <c r="I103" s="31" t="n">
        <f aca="false">SUMPRODUCT($B$30:$E$30,B103:E103)</f>
        <v>-1.65922508877539</v>
      </c>
      <c r="J103" s="31" t="n">
        <f aca="false">NORMSDIST(F103)</f>
        <v>0.14485910280945</v>
      </c>
      <c r="K103" s="31" t="n">
        <f aca="false">NORMSDIST(G103)</f>
        <v>0.857114979780569</v>
      </c>
      <c r="L103" s="31" t="n">
        <f aca="false">NORMSDIST(H103)</f>
        <v>0.346245568919929</v>
      </c>
      <c r="M103" s="31" t="n">
        <f aca="false">NORMSDIST(I103)</f>
        <v>0.0485352219190587</v>
      </c>
      <c r="N103" s="28" t="n">
        <f aca="false">$C$61+J103*($E$61-$C$61)</f>
        <v>37.897182056189</v>
      </c>
      <c r="O103" s="32" t="n">
        <f aca="false">$G$61+K103*($I$61-$G$61)</f>
        <v>1.42855748989028</v>
      </c>
      <c r="P103" s="32" t="n">
        <f aca="false">LOGINV(L103,LN($C$62),$E$62)</f>
        <v>0.976937284968284</v>
      </c>
      <c r="Q103" s="32" t="n">
        <f aca="false">$G$62+M103*($I$62-$G$62)</f>
        <v>3.71840849863576</v>
      </c>
    </row>
    <row r="104" customFormat="false" ht="15" hidden="false" customHeight="false" outlineLevel="0" collapsed="false">
      <c r="A104" s="5" t="n">
        <v>39</v>
      </c>
      <c r="B104" s="35" t="n">
        <v>-0.42035</v>
      </c>
      <c r="C104" s="35" t="n">
        <v>-0.5089</v>
      </c>
      <c r="D104" s="35" t="n">
        <v>1.59085</v>
      </c>
      <c r="E104" s="35" t="n">
        <v>-0.79207</v>
      </c>
      <c r="F104" s="31" t="n">
        <f aca="false">SUMPRODUCT($B$27:$E$27,B104:E104)</f>
        <v>-0.42035</v>
      </c>
      <c r="G104" s="31" t="n">
        <f aca="false">SUMPRODUCT($B$28:$E$28,B104:E104)</f>
        <v>-0.597827806221239</v>
      </c>
      <c r="H104" s="31" t="n">
        <f aca="false">SUMPRODUCT($B$29:$E$29,B104:E104)</f>
        <v>1.67023981077823</v>
      </c>
      <c r="I104" s="31" t="n">
        <f aca="false">SUMPRODUCT($B$30:$E$30,B104:E104)</f>
        <v>-1.38784022365875</v>
      </c>
      <c r="J104" s="31" t="n">
        <f aca="false">NORMSDIST(F104)</f>
        <v>0.337114894311363</v>
      </c>
      <c r="K104" s="31" t="n">
        <f aca="false">NORMSDIST(G104)</f>
        <v>0.274977417483284</v>
      </c>
      <c r="L104" s="31" t="n">
        <f aca="false">NORMSDIST(H104)</f>
        <v>0.952564036841163</v>
      </c>
      <c r="M104" s="31" t="n">
        <f aca="false">NORMSDIST(I104)</f>
        <v>0.0825928517091266</v>
      </c>
      <c r="N104" s="28" t="n">
        <f aca="false">$C$61+J104*($E$61-$C$61)</f>
        <v>41.7422978862273</v>
      </c>
      <c r="O104" s="32" t="n">
        <f aca="false">$G$61+K104*($I$61-$G$61)</f>
        <v>1.13748870874164</v>
      </c>
      <c r="P104" s="32" t="n">
        <f aca="false">LOGINV(L104,LN($C$62),$E$62)</f>
        <v>1.81553850927945</v>
      </c>
      <c r="Q104" s="32" t="n">
        <f aca="false">$G$62+M104*($I$62-$G$62)</f>
        <v>3.87166783269107</v>
      </c>
    </row>
    <row r="105" customFormat="false" ht="15" hidden="false" customHeight="false" outlineLevel="0" collapsed="false">
      <c r="A105" s="5" t="n">
        <v>40</v>
      </c>
      <c r="B105" s="35" t="n">
        <v>-0.25362</v>
      </c>
      <c r="C105" s="35" t="n">
        <v>-0.27676</v>
      </c>
      <c r="D105" s="35" t="n">
        <v>-0.37897</v>
      </c>
      <c r="E105" s="35" t="n">
        <v>-0.91407</v>
      </c>
      <c r="F105" s="31" t="n">
        <f aca="false">SUMPRODUCT($B$27:$E$27,B105:E105)</f>
        <v>-0.25362</v>
      </c>
      <c r="G105" s="31" t="n">
        <f aca="false">SUMPRODUCT($B$28:$E$28,B105:E105)</f>
        <v>-0.331376717724091</v>
      </c>
      <c r="H105" s="31" t="n">
        <f aca="false">SUMPRODUCT($B$29:$E$29,B105:E105)</f>
        <v>-0.274569612957736</v>
      </c>
      <c r="I105" s="31" t="n">
        <f aca="false">SUMPRODUCT($B$30:$E$30,B105:E105)</f>
        <v>-0.669808920184788</v>
      </c>
      <c r="J105" s="31" t="n">
        <f aca="false">NORMSDIST(F105)</f>
        <v>0.399894571979974</v>
      </c>
      <c r="K105" s="31" t="n">
        <f aca="false">NORMSDIST(G105)</f>
        <v>0.370179974468899</v>
      </c>
      <c r="L105" s="31" t="n">
        <f aca="false">NORMSDIST(H105)</f>
        <v>0.391823457344304</v>
      </c>
      <c r="M105" s="31" t="n">
        <f aca="false">NORMSDIST(I105)</f>
        <v>0.251489803227213</v>
      </c>
      <c r="N105" s="28" t="n">
        <f aca="false">$C$61+J105*($E$61-$C$61)</f>
        <v>42.9978914395995</v>
      </c>
      <c r="O105" s="32" t="n">
        <f aca="false">$G$61+K105*($I$61-$G$61)</f>
        <v>1.18508998723445</v>
      </c>
      <c r="P105" s="32" t="n">
        <f aca="false">LOGINV(L105,LN($C$62),$E$62)</f>
        <v>1.0130233708385</v>
      </c>
      <c r="Q105" s="32" t="n">
        <f aca="false">$G$62+M105*($I$62-$G$62)</f>
        <v>4.63170411452246</v>
      </c>
    </row>
    <row r="106" customFormat="false" ht="15" hidden="false" customHeight="false" outlineLevel="0" collapsed="false">
      <c r="A106" s="5" t="n">
        <v>41</v>
      </c>
      <c r="B106" s="35" t="n">
        <v>0.21909</v>
      </c>
      <c r="C106" s="35" t="n">
        <v>1.0768</v>
      </c>
      <c r="D106" s="35" t="n">
        <v>0.62398</v>
      </c>
      <c r="E106" s="35" t="n">
        <v>-0.9275</v>
      </c>
      <c r="F106" s="31" t="n">
        <f aca="false">SUMPRODUCT($B$27:$E$27,B106:E106)</f>
        <v>0.21909</v>
      </c>
      <c r="G106" s="31" t="n">
        <f aca="false">SUMPRODUCT($B$28:$E$28,B106:E106)</f>
        <v>1.09737961679904</v>
      </c>
      <c r="H106" s="31" t="n">
        <f aca="false">SUMPRODUCT($B$29:$E$29,B106:E106)</f>
        <v>0.259639133895705</v>
      </c>
      <c r="I106" s="31" t="n">
        <f aca="false">SUMPRODUCT($B$30:$E$30,B106:E106)</f>
        <v>-1.10393683028913</v>
      </c>
      <c r="J106" s="31" t="n">
        <f aca="false">NORMSDIST(F106)</f>
        <v>0.586710029803045</v>
      </c>
      <c r="K106" s="31" t="n">
        <f aca="false">NORMSDIST(G106)</f>
        <v>0.863762260008204</v>
      </c>
      <c r="L106" s="31" t="n">
        <f aca="false">NORMSDIST(H106)</f>
        <v>0.602428926620348</v>
      </c>
      <c r="M106" s="31" t="n">
        <f aca="false">NORMSDIST(I106)</f>
        <v>0.13481027045375</v>
      </c>
      <c r="N106" s="28" t="n">
        <f aca="false">$C$61+J106*($E$61-$C$61)</f>
        <v>46.7342005960609</v>
      </c>
      <c r="O106" s="32" t="n">
        <f aca="false">$G$61+K106*($I$61-$G$61)</f>
        <v>1.4318811300041</v>
      </c>
      <c r="P106" s="32" t="n">
        <f aca="false">LOGINV(L106,LN($C$62),$E$62)</f>
        <v>1.18910618513358</v>
      </c>
      <c r="Q106" s="32" t="n">
        <f aca="false">$G$62+M106*($I$62-$G$62)</f>
        <v>4.10664621704188</v>
      </c>
    </row>
    <row r="107" customFormat="false" ht="15" hidden="false" customHeight="false" outlineLevel="0" collapsed="false">
      <c r="A107" s="5" t="n">
        <v>42</v>
      </c>
      <c r="B107" s="35" t="n">
        <v>-1.14982</v>
      </c>
      <c r="C107" s="35" t="n">
        <v>0.11897</v>
      </c>
      <c r="D107" s="35" t="n">
        <v>-0.70658</v>
      </c>
      <c r="E107" s="35" t="n">
        <v>-0.63017</v>
      </c>
      <c r="F107" s="31" t="n">
        <f aca="false">SUMPRODUCT($B$27:$E$27,B107:E107)</f>
        <v>-1.14982</v>
      </c>
      <c r="G107" s="31" t="n">
        <f aca="false">SUMPRODUCT($B$28:$E$28,B107:E107)</f>
        <v>-0.172262792825426</v>
      </c>
      <c r="H107" s="31" t="n">
        <f aca="false">SUMPRODUCT($B$29:$E$29,B107:E107)</f>
        <v>-0.708670101020284</v>
      </c>
      <c r="I107" s="31" t="n">
        <f aca="false">SUMPRODUCT($B$30:$E$30,B107:E107)</f>
        <v>-0.274428745227236</v>
      </c>
      <c r="J107" s="31" t="n">
        <f aca="false">NORMSDIST(F107)</f>
        <v>0.125109008002177</v>
      </c>
      <c r="K107" s="31" t="n">
        <f aca="false">NORMSDIST(G107)</f>
        <v>0.431615467033629</v>
      </c>
      <c r="L107" s="31" t="n">
        <f aca="false">NORMSDIST(H107)</f>
        <v>0.239264611561814</v>
      </c>
      <c r="M107" s="31" t="n">
        <f aca="false">NORMSDIST(I107)</f>
        <v>0.391877577567908</v>
      </c>
      <c r="N107" s="28" t="n">
        <f aca="false">$C$61+J107*($E$61-$C$61)</f>
        <v>37.5021801600435</v>
      </c>
      <c r="O107" s="32" t="n">
        <f aca="false">$G$61+K107*($I$61-$G$61)</f>
        <v>1.21580773351681</v>
      </c>
      <c r="P107" s="32" t="n">
        <f aca="false">LOGINV(L107,LN($C$62),$E$62)</f>
        <v>0.889326494486765</v>
      </c>
      <c r="Q107" s="32" t="n">
        <f aca="false">$G$62+M107*($I$62-$G$62)</f>
        <v>5.26344909905559</v>
      </c>
    </row>
    <row r="108" customFormat="false" ht="15" hidden="false" customHeight="false" outlineLevel="0" collapsed="false">
      <c r="A108" s="5" t="n">
        <v>43</v>
      </c>
      <c r="B108" s="35" t="n">
        <v>-1.67969</v>
      </c>
      <c r="C108" s="35" t="n">
        <v>1.95049</v>
      </c>
      <c r="D108" s="35" t="n">
        <v>0.91662</v>
      </c>
      <c r="E108" s="35" t="n">
        <v>-0.97391</v>
      </c>
      <c r="F108" s="31" t="n">
        <f aca="false">SUMPRODUCT($B$27:$E$27,B108:E108)</f>
        <v>-1.67969</v>
      </c>
      <c r="G108" s="31" t="n">
        <f aca="false">SUMPRODUCT($B$28:$E$28,B108:E108)</f>
        <v>1.46863132173603</v>
      </c>
      <c r="H108" s="31" t="n">
        <f aca="false">SUMPRODUCT($B$29:$E$29,B108:E108)</f>
        <v>0.267175123978008</v>
      </c>
      <c r="I108" s="31" t="n">
        <f aca="false">SUMPRODUCT($B$30:$E$30,B108:E108)</f>
        <v>-1.26915447909925</v>
      </c>
      <c r="J108" s="31" t="n">
        <f aca="false">NORMSDIST(F108)</f>
        <v>0.0465088232211069</v>
      </c>
      <c r="K108" s="31" t="n">
        <f aca="false">NORMSDIST(G108)</f>
        <v>0.929033592731896</v>
      </c>
      <c r="L108" s="31" t="n">
        <f aca="false">NORMSDIST(H108)</f>
        <v>0.605332835817062</v>
      </c>
      <c r="M108" s="31" t="n">
        <f aca="false">NORMSDIST(I108)</f>
        <v>0.102192986457167</v>
      </c>
      <c r="N108" s="28" t="n">
        <f aca="false">$C$61+J108*($E$61-$C$61)</f>
        <v>35.9301764644221</v>
      </c>
      <c r="O108" s="32" t="n">
        <f aca="false">$G$61+K108*($I$61-$G$61)</f>
        <v>1.46451679636595</v>
      </c>
      <c r="P108" s="32" t="n">
        <f aca="false">LOGINV(L108,LN($C$62),$E$62)</f>
        <v>1.19179755403202</v>
      </c>
      <c r="Q108" s="32" t="n">
        <f aca="false">$G$62+M108*($I$62-$G$62)</f>
        <v>3.95986843905725</v>
      </c>
    </row>
    <row r="109" customFormat="false" ht="15" hidden="false" customHeight="false" outlineLevel="0" collapsed="false">
      <c r="A109" s="5" t="n">
        <v>44</v>
      </c>
      <c r="B109" s="35" t="n">
        <v>0.90821</v>
      </c>
      <c r="C109" s="35" t="n">
        <v>1.34249</v>
      </c>
      <c r="D109" s="35" t="n">
        <v>-2.38955</v>
      </c>
      <c r="E109" s="35" t="n">
        <v>-0.54894</v>
      </c>
      <c r="F109" s="31" t="n">
        <f aca="false">SUMPRODUCT($B$27:$E$27,B109:E109)</f>
        <v>0.90821</v>
      </c>
      <c r="G109" s="31" t="n">
        <f aca="false">SUMPRODUCT($B$28:$E$28,B109:E109)</f>
        <v>1.5269128531125</v>
      </c>
      <c r="H109" s="31" t="n">
        <f aca="false">SUMPRODUCT($B$29:$E$29,B109:E109)</f>
        <v>-2.68791351663004</v>
      </c>
      <c r="I109" s="31" t="n">
        <f aca="false">SUMPRODUCT($B$30:$E$30,B109:E109)</f>
        <v>0.507293777294152</v>
      </c>
      <c r="J109" s="31" t="n">
        <f aca="false">NORMSDIST(F109)</f>
        <v>0.818116359134671</v>
      </c>
      <c r="K109" s="31" t="n">
        <f aca="false">NORMSDIST(G109)</f>
        <v>0.936608658480769</v>
      </c>
      <c r="L109" s="31" t="n">
        <f aca="false">NORMSDIST(H109)</f>
        <v>0.00359500078986031</v>
      </c>
      <c r="M109" s="31" t="n">
        <f aca="false">NORMSDIST(I109)</f>
        <v>0.694025647944115</v>
      </c>
      <c r="N109" s="28" t="n">
        <f aca="false">$C$61+J109*($E$61-$C$61)</f>
        <v>51.3623271826934</v>
      </c>
      <c r="O109" s="32" t="n">
        <f aca="false">$G$61+K109*($I$61-$G$61)</f>
        <v>1.46830432924038</v>
      </c>
      <c r="P109" s="32" t="n">
        <f aca="false">LOGINV(L109,LN($C$62),$E$62)</f>
        <v>0.491121427529877</v>
      </c>
      <c r="Q109" s="32" t="n">
        <f aca="false">$G$62+M109*($I$62-$G$62)</f>
        <v>6.62311541574852</v>
      </c>
    </row>
    <row r="110" customFormat="false" ht="15" hidden="false" customHeight="false" outlineLevel="0" collapsed="false">
      <c r="A110" s="5" t="n">
        <v>45</v>
      </c>
      <c r="B110" s="35" t="n">
        <v>-0.38797</v>
      </c>
      <c r="C110" s="35" t="n">
        <v>0.64825</v>
      </c>
      <c r="D110" s="35" t="n">
        <v>-0.12147</v>
      </c>
      <c r="E110" s="35" t="n">
        <v>-0.23043</v>
      </c>
      <c r="F110" s="31" t="n">
        <f aca="false">SUMPRODUCT($B$27:$E$27,B110:E110)</f>
        <v>-0.38797</v>
      </c>
      <c r="G110" s="31" t="n">
        <f aca="false">SUMPRODUCT($B$28:$E$28,B110:E110)</f>
        <v>0.53067286354474</v>
      </c>
      <c r="H110" s="31" t="n">
        <f aca="false">SUMPRODUCT($B$29:$E$29,B110:E110)</f>
        <v>-0.316345273889265</v>
      </c>
      <c r="I110" s="31" t="n">
        <f aca="false">SUMPRODUCT($B$30:$E$30,B110:E110)</f>
        <v>-0.157942903134072</v>
      </c>
      <c r="J110" s="31" t="n">
        <f aca="false">NORMSDIST(F110)</f>
        <v>0.3490191173295</v>
      </c>
      <c r="K110" s="31" t="n">
        <f aca="false">NORMSDIST(G110)</f>
        <v>0.702177253071963</v>
      </c>
      <c r="L110" s="31" t="n">
        <f aca="false">NORMSDIST(H110)</f>
        <v>0.375870225301851</v>
      </c>
      <c r="M110" s="31" t="n">
        <f aca="false">NORMSDIST(I110)</f>
        <v>0.437250895260762</v>
      </c>
      <c r="N110" s="28" t="n">
        <f aca="false">$C$61+J110*($E$61-$C$61)</f>
        <v>41.98038234659</v>
      </c>
      <c r="O110" s="32" t="n">
        <f aca="false">$G$61+K110*($I$61-$G$61)</f>
        <v>1.35108862653598</v>
      </c>
      <c r="P110" s="32" t="n">
        <f aca="false">LOGINV(L110,LN($C$62),$E$62)</f>
        <v>1.00040668030957</v>
      </c>
      <c r="Q110" s="32" t="n">
        <f aca="false">$G$62+M110*($I$62-$G$62)</f>
        <v>5.46762902867343</v>
      </c>
    </row>
    <row r="111" customFormat="false" ht="15" hidden="false" customHeight="false" outlineLevel="0" collapsed="false">
      <c r="A111" s="5" t="n">
        <v>46</v>
      </c>
      <c r="B111" s="35" t="n">
        <v>-0.05837</v>
      </c>
      <c r="C111" s="35" t="n">
        <v>1.85333</v>
      </c>
      <c r="D111" s="35" t="n">
        <v>2.15998</v>
      </c>
      <c r="E111" s="35" t="n">
        <v>-0.52483</v>
      </c>
      <c r="F111" s="31" t="n">
        <f aca="false">SUMPRODUCT($B$27:$E$27,B111:E111)</f>
        <v>-0.05837</v>
      </c>
      <c r="G111" s="31" t="n">
        <f aca="false">SUMPRODUCT($B$28:$E$28,B111:E111)</f>
        <v>1.77988655625665</v>
      </c>
      <c r="H111" s="31" t="n">
        <f aca="false">SUMPRODUCT($B$29:$E$29,B111:E111)</f>
        <v>1.47945224140297</v>
      </c>
      <c r="I111" s="31" t="n">
        <f aca="false">SUMPRODUCT($B$30:$E$30,B111:E111)</f>
        <v>-1.38483532665531</v>
      </c>
      <c r="J111" s="31" t="n">
        <f aca="false">NORMSDIST(F111)</f>
        <v>0.476726955273997</v>
      </c>
      <c r="K111" s="31" t="n">
        <f aca="false">NORMSDIST(G111)</f>
        <v>0.962452735864979</v>
      </c>
      <c r="L111" s="31" t="n">
        <f aca="false">NORMSDIST(H111)</f>
        <v>0.930490256700896</v>
      </c>
      <c r="M111" s="31" t="n">
        <f aca="false">NORMSDIST(I111)</f>
        <v>0.0830514130971518</v>
      </c>
      <c r="N111" s="28" t="n">
        <f aca="false">$C$61+J111*($E$61-$C$61)</f>
        <v>44.5345391054799</v>
      </c>
      <c r="O111" s="32" t="n">
        <f aca="false">$G$61+K111*($I$61-$G$61)</f>
        <v>1.48122636793249</v>
      </c>
      <c r="P111" s="32" t="n">
        <f aca="false">LOGINV(L111,LN($C$62),$E$62)</f>
        <v>1.71454176453603</v>
      </c>
      <c r="Q111" s="32" t="n">
        <f aca="false">$G$62+M111*($I$62-$G$62)</f>
        <v>3.87373135893718</v>
      </c>
    </row>
    <row r="112" customFormat="false" ht="15" hidden="false" customHeight="false" outlineLevel="0" collapsed="false">
      <c r="A112" s="5" t="n">
        <v>47</v>
      </c>
      <c r="B112" s="35" t="n">
        <v>-0.92624</v>
      </c>
      <c r="C112" s="35" t="n">
        <v>2.69255</v>
      </c>
      <c r="D112" s="35" t="n">
        <v>-0.97974</v>
      </c>
      <c r="E112" s="35" t="n">
        <v>-0.5734</v>
      </c>
      <c r="F112" s="31" t="n">
        <f aca="false">SUMPRODUCT($B$27:$E$27,B112:E112)</f>
        <v>-0.92624</v>
      </c>
      <c r="G112" s="31" t="n">
        <f aca="false">SUMPRODUCT($B$28:$E$28,B112:E112)</f>
        <v>2.3754903272077</v>
      </c>
      <c r="H112" s="31" t="n">
        <f aca="false">SUMPRODUCT($B$29:$E$29,B112:E112)</f>
        <v>-1.76578226253049</v>
      </c>
      <c r="I112" s="31" t="n">
        <f aca="false">SUMPRODUCT($B$30:$E$30,B112:E112)</f>
        <v>-0.108007819086228</v>
      </c>
      <c r="J112" s="31" t="n">
        <f aca="false">NORMSDIST(F112)</f>
        <v>0.177160634663395</v>
      </c>
      <c r="K112" s="31" t="n">
        <f aca="false">NORMSDIST(G112)</f>
        <v>0.991237174129315</v>
      </c>
      <c r="L112" s="31" t="n">
        <f aca="false">NORMSDIST(H112)</f>
        <v>0.0387161927060193</v>
      </c>
      <c r="M112" s="31" t="n">
        <f aca="false">NORMSDIST(I112)</f>
        <v>0.456994744881688</v>
      </c>
      <c r="N112" s="28" t="n">
        <f aca="false">$C$61+J112*($E$61-$C$61)</f>
        <v>38.5432126932679</v>
      </c>
      <c r="O112" s="32" t="n">
        <f aca="false">$G$61+K112*($I$61-$G$61)</f>
        <v>1.49561858706466</v>
      </c>
      <c r="P112" s="32" t="n">
        <f aca="false">LOGINV(L112,LN($C$62),$E$62)</f>
        <v>0.647637275778509</v>
      </c>
      <c r="Q112" s="32" t="n">
        <f aca="false">$G$62+M112*($I$62-$G$62)</f>
        <v>5.5564763519676</v>
      </c>
    </row>
    <row r="113" customFormat="false" ht="15" hidden="false" customHeight="false" outlineLevel="0" collapsed="false">
      <c r="A113" s="5" t="n">
        <v>48</v>
      </c>
      <c r="B113" s="35" t="n">
        <v>0.03658</v>
      </c>
      <c r="C113" s="35" t="n">
        <v>0.48325</v>
      </c>
      <c r="D113" s="35" t="n">
        <v>1.02904</v>
      </c>
      <c r="E113" s="35" t="n">
        <v>0.39098</v>
      </c>
      <c r="F113" s="31" t="n">
        <f aca="false">SUMPRODUCT($B$27:$E$27,B113:E113)</f>
        <v>0.03658</v>
      </c>
      <c r="G113" s="31" t="n">
        <f aca="false">SUMPRODUCT($B$28:$E$28,B113:E113)</f>
        <v>0.477049800513684</v>
      </c>
      <c r="H113" s="31" t="n">
        <f aca="false">SUMPRODUCT($B$29:$E$29,B113:E113)</f>
        <v>0.828670526553526</v>
      </c>
      <c r="I113" s="31" t="n">
        <f aca="false">SUMPRODUCT($B$30:$E$30,B113:E113)</f>
        <v>-0.078223970136288</v>
      </c>
      <c r="J113" s="31" t="n">
        <f aca="false">NORMSDIST(F113)</f>
        <v>0.514590054727927</v>
      </c>
      <c r="K113" s="31" t="n">
        <f aca="false">NORMSDIST(G113)</f>
        <v>0.683336670107605</v>
      </c>
      <c r="L113" s="31" t="n">
        <f aca="false">NORMSDIST(H113)</f>
        <v>0.796354566039195</v>
      </c>
      <c r="M113" s="31" t="n">
        <f aca="false">NORMSDIST(I113)</f>
        <v>0.468824947512121</v>
      </c>
      <c r="N113" s="28" t="n">
        <f aca="false">$C$61+J113*($E$61-$C$61)</f>
        <v>45.2918010945585</v>
      </c>
      <c r="O113" s="32" t="n">
        <f aca="false">$G$61+K113*($I$61-$G$61)</f>
        <v>1.3416683350538</v>
      </c>
      <c r="P113" s="32" t="n">
        <f aca="false">LOGINV(L113,LN($C$62),$E$62)</f>
        <v>1.41045357600491</v>
      </c>
      <c r="Q113" s="32" t="n">
        <f aca="false">$G$62+M113*($I$62-$G$62)</f>
        <v>5.60971226380454</v>
      </c>
    </row>
    <row r="114" customFormat="false" ht="15" hidden="false" customHeight="false" outlineLevel="0" collapsed="false">
      <c r="A114" s="5" t="n">
        <v>49</v>
      </c>
      <c r="B114" s="35" t="n">
        <v>-0.87238</v>
      </c>
      <c r="C114" s="35" t="n">
        <v>0.50638</v>
      </c>
      <c r="D114" s="35" t="n">
        <v>0.24992</v>
      </c>
      <c r="E114" s="35" t="n">
        <v>1.87692</v>
      </c>
      <c r="F114" s="31" t="n">
        <f aca="false">SUMPRODUCT($B$27:$E$27,B114:E114)</f>
        <v>-0.87238</v>
      </c>
      <c r="G114" s="31" t="n">
        <f aca="false">SUMPRODUCT($B$28:$E$28,B114:E114)</f>
        <v>0.272205326713128</v>
      </c>
      <c r="H114" s="31" t="n">
        <f aca="false">SUMPRODUCT($B$29:$E$29,B114:E114)</f>
        <v>0.0807251188002197</v>
      </c>
      <c r="I114" s="31" t="n">
        <f aca="false">SUMPRODUCT($B$30:$E$30,B114:E114)</f>
        <v>1.59759659628606</v>
      </c>
      <c r="J114" s="31" t="n">
        <f aca="false">NORMSDIST(F114)</f>
        <v>0.191500553784861</v>
      </c>
      <c r="K114" s="31" t="n">
        <f aca="false">NORMSDIST(G114)</f>
        <v>0.607267926846199</v>
      </c>
      <c r="L114" s="31" t="n">
        <f aca="false">NORMSDIST(H114)</f>
        <v>0.532169719954684</v>
      </c>
      <c r="M114" s="31" t="n">
        <f aca="false">NORMSDIST(I114)</f>
        <v>0.944933607780156</v>
      </c>
      <c r="N114" s="28" t="n">
        <f aca="false">$C$61+J114*($E$61-$C$61)</f>
        <v>38.8300110756972</v>
      </c>
      <c r="O114" s="32" t="n">
        <f aca="false">$G$61+K114*($I$61-$G$61)</f>
        <v>1.3036339634231</v>
      </c>
      <c r="P114" s="32" t="n">
        <f aca="false">LOGINV(L114,LN($C$62),$E$62)</f>
        <v>1.12696447795569</v>
      </c>
      <c r="Q114" s="32" t="n">
        <f aca="false">$G$62+M114*($I$62-$G$62)</f>
        <v>7.7522012350107</v>
      </c>
    </row>
    <row r="115" customFormat="false" ht="15" hidden="false" customHeight="false" outlineLevel="0" collapsed="false">
      <c r="A115" s="5" t="n">
        <v>50</v>
      </c>
      <c r="B115" s="35" t="n">
        <v>-0.015</v>
      </c>
      <c r="C115" s="35" t="n">
        <v>-1.33697</v>
      </c>
      <c r="D115" s="35" t="n">
        <v>-1.04502</v>
      </c>
      <c r="E115" s="35" t="n">
        <v>1.45015</v>
      </c>
      <c r="F115" s="31" t="n">
        <f aca="false">SUMPRODUCT($B$27:$E$27,B115:E115)</f>
        <v>-0.015</v>
      </c>
      <c r="G115" s="31" t="n">
        <f aca="false">SUMPRODUCT($B$28:$E$28,B115:E115)</f>
        <v>-1.29826563609473</v>
      </c>
      <c r="H115" s="31" t="n">
        <f aca="false">SUMPRODUCT($B$29:$E$29,B115:E115)</f>
        <v>-0.579348669719398</v>
      </c>
      <c r="I115" s="31" t="n">
        <f aca="false">SUMPRODUCT($B$30:$E$30,B115:E115)</f>
        <v>1.75521690816278</v>
      </c>
      <c r="J115" s="31" t="n">
        <f aca="false">NORMSDIST(F115)</f>
        <v>0.494016090191438</v>
      </c>
      <c r="K115" s="31" t="n">
        <f aca="false">NORMSDIST(G115)</f>
        <v>0.0970980352507514</v>
      </c>
      <c r="L115" s="31" t="n">
        <f aca="false">NORMSDIST(H115)</f>
        <v>0.281176965877926</v>
      </c>
      <c r="M115" s="31" t="n">
        <f aca="false">NORMSDIST(I115)</f>
        <v>0.960388893577719</v>
      </c>
      <c r="N115" s="28" t="n">
        <f aca="false">$C$61+J115*($E$61-$C$61)</f>
        <v>44.8803218038288</v>
      </c>
      <c r="O115" s="32" t="n">
        <f aca="false">$G$61+K115*($I$61-$G$61)</f>
        <v>1.04854901762538</v>
      </c>
      <c r="P115" s="32" t="n">
        <f aca="false">LOGINV(L115,LN($C$62),$E$62)</f>
        <v>0.924507217639856</v>
      </c>
      <c r="Q115" s="32" t="n">
        <f aca="false">$G$62+M115*($I$62-$G$62)</f>
        <v>7.82175002109974</v>
      </c>
    </row>
    <row r="116" customFormat="false" ht="15" hidden="false" customHeight="false" outlineLevel="0" collapsed="false">
      <c r="A116" s="5" t="n">
        <v>51</v>
      </c>
      <c r="B116" s="35" t="n">
        <v>-0.54013</v>
      </c>
      <c r="C116" s="35" t="n">
        <v>-2.10447</v>
      </c>
      <c r="D116" s="35" t="n">
        <v>-0.5807</v>
      </c>
      <c r="E116" s="35" t="n">
        <v>2E-005</v>
      </c>
      <c r="F116" s="31" t="n">
        <f aca="false">SUMPRODUCT($B$27:$E$27,B116:E116)</f>
        <v>-0.54013</v>
      </c>
      <c r="G116" s="31" t="n">
        <f aca="false">SUMPRODUCT($B$28:$E$28,B116:E116)</f>
        <v>-2.17267681564828</v>
      </c>
      <c r="H116" s="31" t="n">
        <f aca="false">SUMPRODUCT($B$29:$E$29,B116:E116)</f>
        <v>0.0999229239714869</v>
      </c>
      <c r="I116" s="31" t="n">
        <f aca="false">SUMPRODUCT($B$30:$E$30,B116:E116)</f>
        <v>0.244320470089144</v>
      </c>
      <c r="J116" s="31" t="n">
        <f aca="false">NORMSDIST(F116)</f>
        <v>0.294553691449005</v>
      </c>
      <c r="K116" s="31" t="n">
        <f aca="false">NORMSDIST(G116)</f>
        <v>0.0149023249567612</v>
      </c>
      <c r="L116" s="31" t="n">
        <f aca="false">NORMSDIST(H116)</f>
        <v>0.539797241633282</v>
      </c>
      <c r="M116" s="31" t="n">
        <f aca="false">NORMSDIST(I116)</f>
        <v>0.596508684531821</v>
      </c>
      <c r="N116" s="28" t="n">
        <f aca="false">$C$61+J116*($E$61-$C$61)</f>
        <v>40.8910738289801</v>
      </c>
      <c r="O116" s="32" t="n">
        <f aca="false">$G$61+K116*($I$61-$G$61)</f>
        <v>1.00745116247838</v>
      </c>
      <c r="P116" s="32" t="n">
        <f aca="false">LOGINV(L116,LN($C$62),$E$62)</f>
        <v>1.13347377794868</v>
      </c>
      <c r="Q116" s="32" t="n">
        <f aca="false">$G$62+M116*($I$62-$G$62)</f>
        <v>6.18428908039319</v>
      </c>
    </row>
    <row r="117" customFormat="false" ht="15" hidden="false" customHeight="false" outlineLevel="0" collapsed="false">
      <c r="A117" s="5" t="n">
        <v>52</v>
      </c>
      <c r="B117" s="35" t="n">
        <v>1.18883</v>
      </c>
      <c r="C117" s="35" t="n">
        <v>-1.01447</v>
      </c>
      <c r="D117" s="35" t="n">
        <v>0.66668</v>
      </c>
      <c r="E117" s="35" t="n">
        <v>0.7953</v>
      </c>
      <c r="F117" s="31" t="n">
        <f aca="false">SUMPRODUCT($B$27:$E$27,B117:E117)</f>
        <v>1.18883</v>
      </c>
      <c r="G117" s="31" t="n">
        <f aca="false">SUMPRODUCT($B$28:$E$28,B117:E117)</f>
        <v>-0.68504885380676</v>
      </c>
      <c r="H117" s="31" t="n">
        <f aca="false">SUMPRODUCT($B$29:$E$29,B117:E117)</f>
        <v>0.94819414102036</v>
      </c>
      <c r="I117" s="31" t="n">
        <f aca="false">SUMPRODUCT($B$30:$E$30,B117:E117)</f>
        <v>0.441020465224695</v>
      </c>
      <c r="J117" s="31" t="n">
        <f aca="false">NORMSDIST(F117)</f>
        <v>0.882746714906362</v>
      </c>
      <c r="K117" s="31" t="n">
        <f aca="false">NORMSDIST(G117)</f>
        <v>0.24665654666592</v>
      </c>
      <c r="L117" s="31" t="n">
        <f aca="false">NORMSDIST(H117)</f>
        <v>0.828484685341161</v>
      </c>
      <c r="M117" s="31" t="n">
        <f aca="false">NORMSDIST(I117)</f>
        <v>0.6704009093779</v>
      </c>
      <c r="N117" s="28" t="n">
        <f aca="false">$C$61+J117*($E$61-$C$61)</f>
        <v>52.6549342981272</v>
      </c>
      <c r="O117" s="32" t="n">
        <f aca="false">$G$61+K117*($I$61-$G$61)</f>
        <v>1.12332827333296</v>
      </c>
      <c r="P117" s="32" t="n">
        <f aca="false">LOGINV(L117,LN($C$62),$E$62)</f>
        <v>1.46194599586196</v>
      </c>
      <c r="Q117" s="32" t="n">
        <f aca="false">$G$62+M117*($I$62-$G$62)</f>
        <v>6.51680409220055</v>
      </c>
    </row>
    <row r="118" customFormat="false" ht="15" hidden="false" customHeight="false" outlineLevel="0" collapsed="false">
      <c r="A118" s="5" t="n">
        <v>53</v>
      </c>
      <c r="B118" s="35" t="n">
        <v>-0.69939</v>
      </c>
      <c r="C118" s="35" t="n">
        <v>-0.18759</v>
      </c>
      <c r="D118" s="35" t="n">
        <v>1.76945</v>
      </c>
      <c r="E118" s="35" t="n">
        <v>1.72048</v>
      </c>
      <c r="F118" s="31" t="n">
        <f aca="false">SUMPRODUCT($B$27:$E$27,B118:E118)</f>
        <v>-0.69939</v>
      </c>
      <c r="G118" s="31" t="n">
        <f aca="false">SUMPRODUCT($B$28:$E$28,B118:E118)</f>
        <v>-0.356480736478762</v>
      </c>
      <c r="H118" s="31" t="n">
        <f aca="false">SUMPRODUCT($B$29:$E$29,B118:E118)</f>
        <v>1.74049648992202</v>
      </c>
      <c r="I118" s="31" t="n">
        <f aca="false">SUMPRODUCT($B$30:$E$30,B118:E118)</f>
        <v>0.816403410506612</v>
      </c>
      <c r="J118" s="31" t="n">
        <f aca="false">NORMSDIST(F118)</f>
        <v>0.24215416778279</v>
      </c>
      <c r="K118" s="31" t="n">
        <f aca="false">NORMSDIST(G118)</f>
        <v>0.360740287942433</v>
      </c>
      <c r="L118" s="31" t="n">
        <f aca="false">NORMSDIST(H118)</f>
        <v>0.959114062060597</v>
      </c>
      <c r="M118" s="31" t="n">
        <f aca="false">NORMSDIST(I118)</f>
        <v>0.79286527666899</v>
      </c>
      <c r="N118" s="28" t="n">
        <f aca="false">$C$61+J118*($E$61-$C$61)</f>
        <v>39.8430833556558</v>
      </c>
      <c r="O118" s="32" t="n">
        <f aca="false">$G$61+K118*($I$61-$G$61)</f>
        <v>1.18037014397122</v>
      </c>
      <c r="P118" s="32" t="n">
        <f aca="false">LOGINV(L118,LN($C$62),$E$62)</f>
        <v>1.85421073694341</v>
      </c>
      <c r="Q118" s="32" t="n">
        <f aca="false">$G$62+M118*($I$62-$G$62)</f>
        <v>7.06789374501046</v>
      </c>
    </row>
    <row r="119" customFormat="false" ht="15" hidden="false" customHeight="false" outlineLevel="0" collapsed="false">
      <c r="A119" s="5" t="n">
        <v>54</v>
      </c>
      <c r="B119" s="35" t="n">
        <v>0.85552</v>
      </c>
      <c r="C119" s="35" t="n">
        <v>0.33195</v>
      </c>
      <c r="D119" s="35" t="n">
        <v>1.13831</v>
      </c>
      <c r="E119" s="35" t="n">
        <v>-0.14068</v>
      </c>
      <c r="F119" s="31" t="n">
        <f aca="false">SUMPRODUCT($B$27:$E$27,B119:E119)</f>
        <v>0.85552</v>
      </c>
      <c r="G119" s="31" t="n">
        <f aca="false">SUMPRODUCT($B$28:$E$28,B119:E119)</f>
        <v>0.535289205443388</v>
      </c>
      <c r="H119" s="31" t="n">
        <f aca="false">SUMPRODUCT($B$29:$E$29,B119:E119)</f>
        <v>0.97944184695074</v>
      </c>
      <c r="I119" s="31" t="n">
        <f aca="false">SUMPRODUCT($B$30:$E$30,B119:E119)</f>
        <v>-0.606515280370689</v>
      </c>
      <c r="J119" s="31" t="n">
        <f aca="false">NORMSDIST(F119)</f>
        <v>0.803868331425052</v>
      </c>
      <c r="K119" s="31" t="n">
        <f aca="false">NORMSDIST(G119)</f>
        <v>0.703775055230731</v>
      </c>
      <c r="L119" s="31" t="n">
        <f aca="false">NORMSDIST(H119)</f>
        <v>0.836319145526868</v>
      </c>
      <c r="M119" s="31" t="n">
        <f aca="false">NORMSDIST(I119)</f>
        <v>0.272086319329609</v>
      </c>
      <c r="N119" s="28" t="n">
        <f aca="false">$C$61+J119*($E$61-$C$61)</f>
        <v>51.077366628501</v>
      </c>
      <c r="O119" s="32" t="n">
        <f aca="false">$G$61+K119*($I$61-$G$61)</f>
        <v>1.35188752761537</v>
      </c>
      <c r="P119" s="32" t="n">
        <f aca="false">LOGINV(L119,LN($C$62),$E$62)</f>
        <v>1.47571517086763</v>
      </c>
      <c r="Q119" s="32" t="n">
        <f aca="false">$G$62+M119*($I$62-$G$62)</f>
        <v>4.72438843698324</v>
      </c>
    </row>
    <row r="120" customFormat="false" ht="15" hidden="false" customHeight="false" outlineLevel="0" collapsed="false">
      <c r="A120" s="5" t="n">
        <v>55</v>
      </c>
      <c r="B120" s="35" t="n">
        <v>-0.09509</v>
      </c>
      <c r="C120" s="35" t="n">
        <v>-0.86036</v>
      </c>
      <c r="D120" s="35" t="n">
        <v>0.00556</v>
      </c>
      <c r="E120" s="35" t="n">
        <v>-0.08202</v>
      </c>
      <c r="F120" s="31" t="n">
        <f aca="false">SUMPRODUCT($B$27:$E$27,B120:E120)</f>
        <v>-0.09509</v>
      </c>
      <c r="G120" s="31" t="n">
        <f aca="false">SUMPRODUCT($B$28:$E$28,B120:E120)</f>
        <v>-0.856812487935753</v>
      </c>
      <c r="H120" s="31" t="n">
        <f aca="false">SUMPRODUCT($B$29:$E$29,B120:E120)</f>
        <v>0.271859183790758</v>
      </c>
      <c r="I120" s="31" t="n">
        <f aca="false">SUMPRODUCT($B$30:$E$30,B120:E120)</f>
        <v>-0.0767475183970748</v>
      </c>
      <c r="J120" s="31" t="n">
        <f aca="false">NORMSDIST(F120)</f>
        <v>0.462121670463872</v>
      </c>
      <c r="K120" s="31" t="n">
        <f aca="false">NORMSDIST(G120)</f>
        <v>0.195774261498668</v>
      </c>
      <c r="L120" s="31" t="n">
        <f aca="false">NORMSDIST(H120)</f>
        <v>0.607134851903505</v>
      </c>
      <c r="M120" s="31" t="n">
        <f aca="false">NORMSDIST(I120)</f>
        <v>0.469412200887293</v>
      </c>
      <c r="N120" s="28" t="n">
        <f aca="false">$C$61+J120*($E$61-$C$61)</f>
        <v>44.2424334092774</v>
      </c>
      <c r="O120" s="32" t="n">
        <f aca="false">$G$61+K120*($I$61-$G$61)</f>
        <v>1.09788713074933</v>
      </c>
      <c r="P120" s="32" t="n">
        <f aca="false">LOGINV(L120,LN($C$62),$E$62)</f>
        <v>1.19347346657577</v>
      </c>
      <c r="Q120" s="32" t="n">
        <f aca="false">$G$62+M120*($I$62-$G$62)</f>
        <v>5.61235490399282</v>
      </c>
    </row>
    <row r="121" customFormat="false" ht="15" hidden="false" customHeight="false" outlineLevel="0" collapsed="false">
      <c r="A121" s="5" t="n">
        <v>56</v>
      </c>
      <c r="B121" s="35" t="n">
        <v>2.77363</v>
      </c>
      <c r="C121" s="35" t="n">
        <v>-0.19284</v>
      </c>
      <c r="D121" s="35" t="n">
        <v>1.27082</v>
      </c>
      <c r="E121" s="35" t="n">
        <v>1.3205</v>
      </c>
      <c r="F121" s="31" t="n">
        <f aca="false">SUMPRODUCT($B$27:$E$27,B121:E121)</f>
        <v>2.77363</v>
      </c>
      <c r="G121" s="31" t="n">
        <f aca="false">SUMPRODUCT($B$28:$E$28,B121:E121)</f>
        <v>0.50669097287934</v>
      </c>
      <c r="H121" s="31" t="n">
        <f aca="false">SUMPRODUCT($B$29:$E$29,B121:E121)</f>
        <v>1.26803115109714</v>
      </c>
      <c r="I121" s="31" t="n">
        <f aca="false">SUMPRODUCT($B$30:$E$30,B121:E121)</f>
        <v>0.663317431366888</v>
      </c>
      <c r="J121" s="31" t="n">
        <f aca="false">NORMSDIST(F121)</f>
        <v>0.997228265657543</v>
      </c>
      <c r="K121" s="31" t="n">
        <f aca="false">NORMSDIST(G121)</f>
        <v>0.693814167271492</v>
      </c>
      <c r="L121" s="31" t="n">
        <f aca="false">NORMSDIST(H121)</f>
        <v>0.897606586837126</v>
      </c>
      <c r="M121" s="31" t="n">
        <f aca="false">NORMSDIST(I121)</f>
        <v>0.746436362574398</v>
      </c>
      <c r="N121" s="28" t="n">
        <f aca="false">$C$61+J121*($E$61-$C$61)</f>
        <v>54.9445653131509</v>
      </c>
      <c r="O121" s="32" t="n">
        <f aca="false">$G$61+K121*($I$61-$G$61)</f>
        <v>1.34690708363575</v>
      </c>
      <c r="P121" s="32" t="n">
        <f aca="false">LOGINV(L121,LN($C$62),$E$62)</f>
        <v>1.60917162046337</v>
      </c>
      <c r="Q121" s="32" t="n">
        <f aca="false">$G$62+M121*($I$62-$G$62)</f>
        <v>6.85896363158479</v>
      </c>
    </row>
    <row r="122" customFormat="false" ht="15" hidden="false" customHeight="false" outlineLevel="0" collapsed="false">
      <c r="A122" s="5" t="n">
        <v>57</v>
      </c>
      <c r="B122" s="35" t="n">
        <v>-0.18648</v>
      </c>
      <c r="C122" s="35" t="n">
        <v>1.1694</v>
      </c>
      <c r="D122" s="35" t="n">
        <v>-2.17681</v>
      </c>
      <c r="E122" s="35" t="n">
        <v>0.09493</v>
      </c>
      <c r="F122" s="31" t="n">
        <f aca="false">SUMPRODUCT($B$27:$E$27,B122:E122)</f>
        <v>-0.18648</v>
      </c>
      <c r="G122" s="31" t="n">
        <f aca="false">SUMPRODUCT($B$28:$E$28,B122:E122)</f>
        <v>1.08564668126374</v>
      </c>
      <c r="H122" s="31" t="n">
        <f aca="false">SUMPRODUCT($B$29:$E$29,B122:E122)</f>
        <v>-2.43201265873533</v>
      </c>
      <c r="I122" s="31" t="n">
        <f aca="false">SUMPRODUCT($B$30:$E$30,B122:E122)</f>
        <v>1.00191118941988</v>
      </c>
      <c r="J122" s="31" t="n">
        <f aca="false">NORMSDIST(F122)</f>
        <v>0.42603418072723</v>
      </c>
      <c r="K122" s="31" t="n">
        <f aca="false">NORMSDIST(G122)</f>
        <v>0.861182330754555</v>
      </c>
      <c r="L122" s="31" t="n">
        <f aca="false">NORMSDIST(H122)</f>
        <v>0.00750759126593872</v>
      </c>
      <c r="M122" s="31" t="n">
        <f aca="false">NORMSDIST(I122)</f>
        <v>0.841806756040854</v>
      </c>
      <c r="N122" s="28" t="n">
        <f aca="false">$C$61+J122*($E$61-$C$61)</f>
        <v>43.5206836145446</v>
      </c>
      <c r="O122" s="32" t="n">
        <f aca="false">$G$61+K122*($I$61-$G$61)</f>
        <v>1.43059116537728</v>
      </c>
      <c r="P122" s="32" t="n">
        <f aca="false">LOGINV(L122,LN($C$62),$E$62)</f>
        <v>0.530309957548665</v>
      </c>
      <c r="Q122" s="32" t="n">
        <f aca="false">$G$62+M122*($I$62-$G$62)</f>
        <v>7.28813040218385</v>
      </c>
    </row>
    <row r="123" customFormat="false" ht="15" hidden="false" customHeight="false" outlineLevel="0" collapsed="false">
      <c r="A123" s="5" t="n">
        <v>58</v>
      </c>
      <c r="B123" s="35" t="n">
        <v>0.85726</v>
      </c>
      <c r="C123" s="35" t="n">
        <v>-2.39787</v>
      </c>
      <c r="D123" s="35" t="n">
        <v>-1.15917</v>
      </c>
      <c r="E123" s="35" t="n">
        <v>1.05607</v>
      </c>
      <c r="F123" s="31" t="n">
        <f aca="false">SUMPRODUCT($B$27:$E$27,B123:E123)</f>
        <v>0.85726</v>
      </c>
      <c r="G123" s="31" t="n">
        <f aca="false">SUMPRODUCT($B$28:$E$28,B123:E123)</f>
        <v>-2.1074126440926</v>
      </c>
      <c r="H123" s="31" t="n">
        <f aca="false">SUMPRODUCT($B$29:$E$29,B123:E123)</f>
        <v>-0.359173408166893</v>
      </c>
      <c r="I123" s="31" t="n">
        <f aca="false">SUMPRODUCT($B$30:$E$30,B123:E123)</f>
        <v>1.44573144760703</v>
      </c>
      <c r="J123" s="31" t="n">
        <f aca="false">NORMSDIST(F123)</f>
        <v>0.804349395228747</v>
      </c>
      <c r="K123" s="31" t="n">
        <f aca="false">NORMSDIST(G123)</f>
        <v>0.017540913273268</v>
      </c>
      <c r="L123" s="31" t="n">
        <f aca="false">NORMSDIST(H123)</f>
        <v>0.359732684189749</v>
      </c>
      <c r="M123" s="31" t="n">
        <f aca="false">NORMSDIST(I123)</f>
        <v>0.925873729859577</v>
      </c>
      <c r="N123" s="28" t="n">
        <f aca="false">$C$61+J123*($E$61-$C$61)</f>
        <v>51.0869879045749</v>
      </c>
      <c r="O123" s="32" t="n">
        <f aca="false">$G$61+K123*($I$61-$G$61)</f>
        <v>1.00877045663663</v>
      </c>
      <c r="P123" s="32" t="n">
        <f aca="false">LOGINV(L123,LN($C$62),$E$62)</f>
        <v>0.987635237076045</v>
      </c>
      <c r="Q123" s="32" t="n">
        <f aca="false">$G$62+M123*($I$62-$G$62)</f>
        <v>7.6664317843681</v>
      </c>
    </row>
    <row r="124" customFormat="false" ht="15" hidden="false" customHeight="false" outlineLevel="0" collapsed="false">
      <c r="A124" s="5" t="n">
        <v>59</v>
      </c>
      <c r="B124" s="35" t="n">
        <v>-0.25701</v>
      </c>
      <c r="C124" s="35" t="n">
        <v>-1.0982</v>
      </c>
      <c r="D124" s="35" t="n">
        <v>-0.3736</v>
      </c>
      <c r="E124" s="35" t="n">
        <v>-0.54259</v>
      </c>
      <c r="F124" s="31" t="n">
        <f aca="false">SUMPRODUCT($B$27:$E$27,B124:E124)</f>
        <v>-0.25701</v>
      </c>
      <c r="G124" s="31" t="n">
        <f aca="false">SUMPRODUCT($B$28:$E$28,B124:E124)</f>
        <v>-1.12758007770125</v>
      </c>
      <c r="H124" s="31" t="n">
        <f aca="false">SUMPRODUCT($B$29:$E$29,B124:E124)</f>
        <v>-0.014950000051454</v>
      </c>
      <c r="I124" s="31" t="n">
        <f aca="false">SUMPRODUCT($B$30:$E$30,B124:E124)</f>
        <v>-0.335062052427581</v>
      </c>
      <c r="J124" s="31" t="n">
        <f aca="false">NORMSDIST(F124)</f>
        <v>0.39858552671525</v>
      </c>
      <c r="K124" s="31" t="n">
        <f aca="false">NORMSDIST(G124)</f>
        <v>0.129748652127383</v>
      </c>
      <c r="L124" s="31" t="n">
        <f aca="false">NORMSDIST(H124)</f>
        <v>0.49403603504848</v>
      </c>
      <c r="M124" s="31" t="n">
        <f aca="false">NORMSDIST(I124)</f>
        <v>0.368789138845294</v>
      </c>
      <c r="N124" s="28" t="n">
        <f aca="false">$C$61+J124*($E$61-$C$61)</f>
        <v>42.971710534305</v>
      </c>
      <c r="O124" s="32" t="n">
        <f aca="false">$G$61+K124*($I$61-$G$61)</f>
        <v>1.06487432606369</v>
      </c>
      <c r="P124" s="32" t="n">
        <f aca="false">LOGINV(L124,LN($C$62),$E$62)</f>
        <v>1.09507754683563</v>
      </c>
      <c r="Q124" s="32" t="n">
        <f aca="false">$G$62+M124*($I$62-$G$62)</f>
        <v>5.15955112480382</v>
      </c>
    </row>
    <row r="125" customFormat="false" ht="15" hidden="false" customHeight="false" outlineLevel="0" collapsed="false">
      <c r="A125" s="5" t="n">
        <v>60</v>
      </c>
      <c r="B125" s="35" t="n">
        <v>0.72445</v>
      </c>
      <c r="C125" s="35" t="n">
        <v>0.45389</v>
      </c>
      <c r="D125" s="35" t="n">
        <v>-0.28023</v>
      </c>
      <c r="E125" s="35" t="n">
        <v>-0.66534</v>
      </c>
      <c r="F125" s="31" t="n">
        <f aca="false">SUMPRODUCT($B$27:$E$27,B125:E125)</f>
        <v>0.72445</v>
      </c>
      <c r="G125" s="31" t="n">
        <f aca="false">SUMPRODUCT($B$28:$E$28,B125:E125)</f>
        <v>0.620589602752521</v>
      </c>
      <c r="H125" s="31" t="n">
        <f aca="false">SUMPRODUCT($B$29:$E$29,B125:E125)</f>
        <v>-0.407072315242074</v>
      </c>
      <c r="I125" s="31" t="n">
        <f aca="false">SUMPRODUCT($B$30:$E$30,B125:E125)</f>
        <v>-0.485701704342031</v>
      </c>
      <c r="J125" s="31" t="n">
        <f aca="false">NORMSDIST(F125)</f>
        <v>0.765605243520487</v>
      </c>
      <c r="K125" s="31" t="n">
        <f aca="false">NORMSDIST(G125)</f>
        <v>0.732565158818702</v>
      </c>
      <c r="L125" s="31" t="n">
        <f aca="false">NORMSDIST(H125)</f>
        <v>0.34197743805845</v>
      </c>
      <c r="M125" s="31" t="n">
        <f aca="false">NORMSDIST(I125)</f>
        <v>0.313589337545361</v>
      </c>
      <c r="N125" s="28" t="n">
        <f aca="false">$C$61+J125*($E$61-$C$61)</f>
        <v>50.3121048704097</v>
      </c>
      <c r="O125" s="32" t="n">
        <f aca="false">$G$61+K125*($I$61-$G$61)</f>
        <v>1.36628257940935</v>
      </c>
      <c r="P125" s="32" t="n">
        <f aca="false">LOGINV(L125,LN($C$62),$E$62)</f>
        <v>0.97354472303471</v>
      </c>
      <c r="Q125" s="32" t="n">
        <f aca="false">$G$62+M125*($I$62-$G$62)</f>
        <v>4.91115201895413</v>
      </c>
    </row>
    <row r="126" customFormat="false" ht="15" hidden="false" customHeight="false" outlineLevel="0" collapsed="false">
      <c r="A126" s="5" t="n">
        <v>61</v>
      </c>
      <c r="B126" s="35" t="n">
        <v>-0.05388</v>
      </c>
      <c r="C126" s="35" t="n">
        <v>1.32516</v>
      </c>
      <c r="D126" s="35" t="n">
        <v>0.34903</v>
      </c>
      <c r="E126" s="35" t="n">
        <v>0.63895</v>
      </c>
      <c r="F126" s="31" t="n">
        <f aca="false">SUMPRODUCT($B$27:$E$27,B126:E126)</f>
        <v>-0.05388</v>
      </c>
      <c r="G126" s="31" t="n">
        <f aca="false">SUMPRODUCT($B$28:$E$28,B126:E126)</f>
        <v>1.26961065276506</v>
      </c>
      <c r="H126" s="31" t="n">
        <f aca="false">SUMPRODUCT($B$29:$E$29,B126:E126)</f>
        <v>-0.0787318732842284</v>
      </c>
      <c r="I126" s="31" t="n">
        <f aca="false">SUMPRODUCT($B$30:$E$30,B126:E126)</f>
        <v>0.432816362297795</v>
      </c>
      <c r="J126" s="31" t="n">
        <f aca="false">NORMSDIST(F126)</f>
        <v>0.478515385601944</v>
      </c>
      <c r="K126" s="31" t="n">
        <f aca="false">NORMSDIST(G126)</f>
        <v>0.897888323542475</v>
      </c>
      <c r="L126" s="31" t="n">
        <f aca="false">NORMSDIST(H126)</f>
        <v>0.468622946473363</v>
      </c>
      <c r="M126" s="31" t="n">
        <f aca="false">NORMSDIST(I126)</f>
        <v>0.667425907311386</v>
      </c>
      <c r="N126" s="28" t="n">
        <f aca="false">$C$61+J126*($E$61-$C$61)</f>
        <v>44.5703077120389</v>
      </c>
      <c r="O126" s="32" t="n">
        <f aca="false">$G$61+K126*($I$61-$G$61)</f>
        <v>1.44894416177124</v>
      </c>
      <c r="P126" s="32" t="n">
        <f aca="false">LOGINV(L126,LN($C$62),$E$62)</f>
        <v>1.07432291627597</v>
      </c>
      <c r="Q126" s="32" t="n">
        <f aca="false">$G$62+M126*($I$62-$G$62)</f>
        <v>6.50341658290124</v>
      </c>
    </row>
    <row r="127" customFormat="false" ht="15" hidden="false" customHeight="false" outlineLevel="0" collapsed="false">
      <c r="A127" s="5" t="n">
        <v>62</v>
      </c>
      <c r="B127" s="35" t="n">
        <v>-0.15068</v>
      </c>
      <c r="C127" s="35" t="n">
        <v>-1.29182</v>
      </c>
      <c r="D127" s="35" t="n">
        <v>-0.71084</v>
      </c>
      <c r="E127" s="35" t="n">
        <v>0.65124</v>
      </c>
      <c r="F127" s="31" t="n">
        <f aca="false">SUMPRODUCT($B$27:$E$27,B127:E127)</f>
        <v>-0.15068</v>
      </c>
      <c r="G127" s="31" t="n">
        <f aca="false">SUMPRODUCT($B$28:$E$28,B127:E127)</f>
        <v>-1.28846933657442</v>
      </c>
      <c r="H127" s="31" t="n">
        <f aca="false">SUMPRODUCT($B$29:$E$29,B127:E127)</f>
        <v>-0.275603168782228</v>
      </c>
      <c r="I127" s="31" t="n">
        <f aca="false">SUMPRODUCT($B$30:$E$30,B127:E127)</f>
        <v>0.889856490257071</v>
      </c>
      <c r="J127" s="31" t="n">
        <f aca="false">NORMSDIST(F127)</f>
        <v>0.440114075385489</v>
      </c>
      <c r="K127" s="31" t="n">
        <f aca="false">NORMSDIST(G127)</f>
        <v>0.0987913180747056</v>
      </c>
      <c r="L127" s="31" t="n">
        <f aca="false">NORMSDIST(H127)</f>
        <v>0.391426437781092</v>
      </c>
      <c r="M127" s="31" t="n">
        <f aca="false">NORMSDIST(I127)</f>
        <v>0.8132285253794</v>
      </c>
      <c r="N127" s="28" t="n">
        <f aca="false">$C$61+J127*($E$61-$C$61)</f>
        <v>43.8022815077098</v>
      </c>
      <c r="O127" s="32" t="n">
        <f aca="false">$G$61+K127*($I$61-$G$61)</f>
        <v>1.04939565903735</v>
      </c>
      <c r="P127" s="32" t="n">
        <f aca="false">LOGINV(L127,LN($C$62),$E$62)</f>
        <v>1.01270931466862</v>
      </c>
      <c r="Q127" s="32" t="n">
        <f aca="false">$G$62+M127*($I$62-$G$62)</f>
        <v>7.1595283642073</v>
      </c>
    </row>
    <row r="128" customFormat="false" ht="15" hidden="false" customHeight="false" outlineLevel="0" collapsed="false">
      <c r="A128" s="5" t="n">
        <v>63</v>
      </c>
      <c r="B128" s="35" t="n">
        <v>0.10322</v>
      </c>
      <c r="C128" s="35" t="n">
        <v>-0.90384</v>
      </c>
      <c r="D128" s="35" t="n">
        <v>-1.61787</v>
      </c>
      <c r="E128" s="35" t="n">
        <v>0.11068</v>
      </c>
      <c r="F128" s="31" t="n">
        <f aca="false">SUMPRODUCT($B$27:$E$27,B128:E128)</f>
        <v>0.10322</v>
      </c>
      <c r="G128" s="31" t="n">
        <f aca="false">SUMPRODUCT($B$28:$E$28,B128:E128)</f>
        <v>-0.849334316909028</v>
      </c>
      <c r="H128" s="31" t="n">
        <f aca="false">SUMPRODUCT($B$29:$E$29,B128:E128)</f>
        <v>-1.25820865409931</v>
      </c>
      <c r="I128" s="31" t="n">
        <f aca="false">SUMPRODUCT($B$30:$E$30,B128:E128)</f>
        <v>0.781051738142242</v>
      </c>
      <c r="J128" s="31" t="n">
        <f aca="false">NORMSDIST(F128)</f>
        <v>0.541105816505596</v>
      </c>
      <c r="K128" s="31" t="n">
        <f aca="false">NORMSDIST(G128)</f>
        <v>0.197847645310572</v>
      </c>
      <c r="L128" s="31" t="n">
        <f aca="false">NORMSDIST(H128)</f>
        <v>0.104158153008446</v>
      </c>
      <c r="M128" s="31" t="n">
        <f aca="false">NORMSDIST(I128)</f>
        <v>0.782613967254124</v>
      </c>
      <c r="N128" s="28" t="n">
        <f aca="false">$C$61+J128*($E$61-$C$61)</f>
        <v>45.8221163301119</v>
      </c>
      <c r="O128" s="32" t="n">
        <f aca="false">$G$61+K128*($I$61-$G$61)</f>
        <v>1.09892382265529</v>
      </c>
      <c r="P128" s="32" t="n">
        <f aca="false">LOGINV(L128,LN($C$62),$E$62)</f>
        <v>0.754158729595</v>
      </c>
      <c r="Q128" s="32" t="n">
        <f aca="false">$G$62+M128*($I$62-$G$62)</f>
        <v>7.02176285264356</v>
      </c>
    </row>
    <row r="129" customFormat="false" ht="15" hidden="false" customHeight="false" outlineLevel="0" collapsed="false">
      <c r="A129" s="5" t="n">
        <v>64</v>
      </c>
      <c r="B129" s="35" t="n">
        <v>-0.33953</v>
      </c>
      <c r="C129" s="35" t="n">
        <v>-0.35053</v>
      </c>
      <c r="D129" s="35" t="n">
        <v>-0.32945</v>
      </c>
      <c r="E129" s="35" t="n">
        <v>0.28391</v>
      </c>
      <c r="F129" s="31" t="n">
        <f aca="false">SUMPRODUCT($B$27:$E$27,B129:E129)</f>
        <v>-0.33953</v>
      </c>
      <c r="G129" s="31" t="n">
        <f aca="false">SUMPRODUCT($B$28:$E$28,B129:E129)</f>
        <v>-0.424281713086522</v>
      </c>
      <c r="H129" s="31" t="n">
        <f aca="false">SUMPRODUCT($B$29:$E$29,B129:E129)</f>
        <v>-0.204629735935781</v>
      </c>
      <c r="I129" s="31" t="n">
        <f aca="false">SUMPRODUCT($B$30:$E$30,B129:E129)</f>
        <v>0.396163340758988</v>
      </c>
      <c r="J129" s="31" t="n">
        <f aca="false">NORMSDIST(F129)</f>
        <v>0.367105250564371</v>
      </c>
      <c r="K129" s="31" t="n">
        <f aca="false">NORMSDIST(G129)</f>
        <v>0.335680187053357</v>
      </c>
      <c r="L129" s="31" t="n">
        <f aca="false">NORMSDIST(H129)</f>
        <v>0.418930710531293</v>
      </c>
      <c r="M129" s="31" t="n">
        <f aca="false">NORMSDIST(I129)</f>
        <v>0.654007733304948</v>
      </c>
      <c r="N129" s="28" t="n">
        <f aca="false">$C$61+J129*($E$61-$C$61)</f>
        <v>42.3421050112874</v>
      </c>
      <c r="O129" s="32" t="n">
        <f aca="false">$G$61+K129*($I$61-$G$61)</f>
        <v>1.16784009352668</v>
      </c>
      <c r="P129" s="32" t="n">
        <f aca="false">LOGINV(L129,LN($C$62),$E$62)</f>
        <v>1.03450314573321</v>
      </c>
      <c r="Q129" s="32" t="n">
        <f aca="false">$G$62+M129*($I$62-$G$62)</f>
        <v>6.44303479987227</v>
      </c>
    </row>
    <row r="130" customFormat="false" ht="15" hidden="false" customHeight="false" outlineLevel="0" collapsed="false">
      <c r="A130" s="5" t="n">
        <v>65</v>
      </c>
      <c r="B130" s="35" t="n">
        <v>0.29445</v>
      </c>
      <c r="C130" s="35" t="n">
        <v>0.96213</v>
      </c>
      <c r="D130" s="35" t="n">
        <v>0.92842</v>
      </c>
      <c r="E130" s="35" t="n">
        <v>1.33209</v>
      </c>
      <c r="F130" s="31" t="n">
        <f aca="false">SUMPRODUCT($B$27:$E$27,B130:E130)</f>
        <v>0.29445</v>
      </c>
      <c r="G130" s="31" t="n">
        <f aca="false">SUMPRODUCT($B$28:$E$28,B130:E130)</f>
        <v>1.00519086672164</v>
      </c>
      <c r="H130" s="31" t="n">
        <f aca="false">SUMPRODUCT($B$29:$E$29,B130:E130)</f>
        <v>0.584626581504473</v>
      </c>
      <c r="I130" s="31" t="n">
        <f aca="false">SUMPRODUCT($B$30:$E$30,B130:E130)</f>
        <v>0.817880622903119</v>
      </c>
      <c r="J130" s="31" t="n">
        <f aca="false">NORMSDIST(F130)</f>
        <v>0.615792967560165</v>
      </c>
      <c r="K130" s="31" t="n">
        <f aca="false">NORMSDIST(G130)</f>
        <v>0.842597523902324</v>
      </c>
      <c r="L130" s="31" t="n">
        <f aca="false">NORMSDIST(H130)</f>
        <v>0.720600584857285</v>
      </c>
      <c r="M130" s="31" t="n">
        <f aca="false">NORMSDIST(I130)</f>
        <v>0.79328732210381</v>
      </c>
      <c r="N130" s="28" t="n">
        <f aca="false">$C$61+J130*($E$61-$C$61)</f>
        <v>47.3158593512033</v>
      </c>
      <c r="O130" s="32" t="n">
        <f aca="false">$G$61+K130*($I$61-$G$61)</f>
        <v>1.42129876195116</v>
      </c>
      <c r="P130" s="32" t="n">
        <f aca="false">LOGINV(L130,LN($C$62),$E$62)</f>
        <v>1.31087932731463</v>
      </c>
      <c r="Q130" s="32" t="n">
        <f aca="false">$G$62+M130*($I$62-$G$62)</f>
        <v>7.06979294946714</v>
      </c>
    </row>
    <row r="131" customFormat="false" ht="15" hidden="false" customHeight="false" outlineLevel="0" collapsed="false">
      <c r="A131" s="5" t="n">
        <v>66</v>
      </c>
      <c r="B131" s="35" t="n">
        <v>0.80636</v>
      </c>
      <c r="C131" s="35" t="n">
        <v>-0.33561</v>
      </c>
      <c r="D131" s="35" t="n">
        <v>-0.05427</v>
      </c>
      <c r="E131" s="35" t="n">
        <v>0.49422</v>
      </c>
      <c r="F131" s="31" t="n">
        <f aca="false">SUMPRODUCT($B$27:$E$27,B131:E131)</f>
        <v>0.80636</v>
      </c>
      <c r="G131" s="31" t="n">
        <f aca="false">SUMPRODUCT($B$28:$E$28,B131:E131)</f>
        <v>-0.123362985205168</v>
      </c>
      <c r="H131" s="31" t="n">
        <f aca="false">SUMPRODUCT($B$29:$E$29,B131:E131)</f>
        <v>0.0523856283165548</v>
      </c>
      <c r="I131" s="31" t="n">
        <f aca="false">SUMPRODUCT($B$30:$E$30,B131:E131)</f>
        <v>0.471187130036858</v>
      </c>
      <c r="J131" s="31" t="n">
        <f aca="false">NORMSDIST(F131)</f>
        <v>0.789982348094916</v>
      </c>
      <c r="K131" s="31" t="n">
        <f aca="false">NORMSDIST(G131)</f>
        <v>0.450909833333125</v>
      </c>
      <c r="L131" s="31" t="n">
        <f aca="false">NORMSDIST(H131)</f>
        <v>0.520889287332286</v>
      </c>
      <c r="M131" s="31" t="n">
        <f aca="false">NORMSDIST(I131)</f>
        <v>0.681246445747404</v>
      </c>
      <c r="N131" s="28" t="n">
        <f aca="false">$C$61+J131*($E$61-$C$61)</f>
        <v>50.7996469618983</v>
      </c>
      <c r="O131" s="32" t="n">
        <f aca="false">$G$61+K131*($I$61-$G$61)</f>
        <v>1.22545491666656</v>
      </c>
      <c r="P131" s="32" t="n">
        <f aca="false">LOGINV(L131,LN($C$62),$E$62)</f>
        <v>1.1174238123342</v>
      </c>
      <c r="Q131" s="32" t="n">
        <f aca="false">$G$62+M131*($I$62-$G$62)</f>
        <v>6.56560900586332</v>
      </c>
    </row>
    <row r="132" customFormat="false" ht="15" hidden="false" customHeight="false" outlineLevel="0" collapsed="false">
      <c r="A132" s="5" t="n">
        <v>67</v>
      </c>
      <c r="B132" s="35" t="n">
        <v>-0.31029</v>
      </c>
      <c r="C132" s="35" t="n">
        <v>0.54944</v>
      </c>
      <c r="D132" s="35" t="n">
        <v>1.15361</v>
      </c>
      <c r="E132" s="35" t="n">
        <v>-0.80125</v>
      </c>
      <c r="F132" s="31" t="n">
        <f aca="false">SUMPRODUCT($B$27:$E$27,B132:E132)</f>
        <v>-0.31029</v>
      </c>
      <c r="G132" s="31" t="n">
        <f aca="false">SUMPRODUCT($B$28:$E$28,B132:E132)</f>
        <v>0.454420492435051</v>
      </c>
      <c r="H132" s="31" t="n">
        <f aca="false">SUMPRODUCT($B$29:$E$29,B132:E132)</f>
        <v>0.92660210904599</v>
      </c>
      <c r="I132" s="31" t="n">
        <f aca="false">SUMPRODUCT($B$30:$E$30,B132:E132)</f>
        <v>-1.21222005401426</v>
      </c>
      <c r="J132" s="31" t="n">
        <f aca="false">NORMSDIST(F132)</f>
        <v>0.37817021749294</v>
      </c>
      <c r="K132" s="31" t="n">
        <f aca="false">NORMSDIST(G132)</f>
        <v>0.67523689717228</v>
      </c>
      <c r="L132" s="31" t="n">
        <f aca="false">NORMSDIST(H132)</f>
        <v>0.822933420257771</v>
      </c>
      <c r="M132" s="31" t="n">
        <f aca="false">NORMSDIST(I132)</f>
        <v>0.112714078468395</v>
      </c>
      <c r="N132" s="28" t="n">
        <f aca="false">$C$61+J132*($E$61-$C$61)</f>
        <v>42.5634043498588</v>
      </c>
      <c r="O132" s="32" t="n">
        <f aca="false">$G$61+K132*($I$61-$G$61)</f>
        <v>1.33761844858614</v>
      </c>
      <c r="P132" s="32" t="n">
        <f aca="false">LOGINV(L132,LN($C$62),$E$62)</f>
        <v>1.4525066855449</v>
      </c>
      <c r="Q132" s="32" t="n">
        <f aca="false">$G$62+M132*($I$62-$G$62)</f>
        <v>4.00721335310778</v>
      </c>
    </row>
    <row r="133" customFormat="false" ht="15" hidden="false" customHeight="false" outlineLevel="0" collapsed="false">
      <c r="A133" s="5" t="n">
        <v>68</v>
      </c>
      <c r="B133" s="35" t="n">
        <v>-1.77038</v>
      </c>
      <c r="C133" s="35" t="n">
        <v>1.19365</v>
      </c>
      <c r="D133" s="35" t="n">
        <v>0.01776</v>
      </c>
      <c r="E133" s="35" t="n">
        <v>0.70867</v>
      </c>
      <c r="F133" s="31" t="n">
        <f aca="false">SUMPRODUCT($B$27:$E$27,B133:E133)</f>
        <v>-1.77038</v>
      </c>
      <c r="G133" s="31" t="n">
        <f aca="false">SUMPRODUCT($B$28:$E$28,B133:E133)</f>
        <v>0.713151642800121</v>
      </c>
      <c r="H133" s="31" t="n">
        <f aca="false">SUMPRODUCT($B$29:$E$29,B133:E133)</f>
        <v>-0.352952910464493</v>
      </c>
      <c r="I133" s="31" t="n">
        <f aca="false">SUMPRODUCT($B$30:$E$30,B133:E133)</f>
        <v>0.635432567833648</v>
      </c>
      <c r="J133" s="31" t="n">
        <f aca="false">NORMSDIST(F133)</f>
        <v>0.0383319295949147</v>
      </c>
      <c r="K133" s="31" t="n">
        <f aca="false">NORMSDIST(G133)</f>
        <v>0.762124037051365</v>
      </c>
      <c r="L133" s="31" t="n">
        <f aca="false">NORMSDIST(H133)</f>
        <v>0.362061871684887</v>
      </c>
      <c r="M133" s="31" t="n">
        <f aca="false">NORMSDIST(I133)</f>
        <v>0.737426833518543</v>
      </c>
      <c r="N133" s="28" t="n">
        <f aca="false">$C$61+J133*($E$61-$C$61)</f>
        <v>35.7666385918983</v>
      </c>
      <c r="O133" s="32" t="n">
        <f aca="false">$G$61+K133*($I$61-$G$61)</f>
        <v>1.38106201852568</v>
      </c>
      <c r="P133" s="32" t="n">
        <f aca="false">LOGINV(L133,LN($C$62),$E$62)</f>
        <v>0.989480032689611</v>
      </c>
      <c r="Q133" s="32" t="n">
        <f aca="false">$G$62+M133*($I$62-$G$62)</f>
        <v>6.81842075083344</v>
      </c>
    </row>
    <row r="134" customFormat="false" ht="15" hidden="false" customHeight="false" outlineLevel="0" collapsed="false">
      <c r="A134" s="5" t="n">
        <v>69</v>
      </c>
      <c r="B134" s="35" t="n">
        <v>-1.33231</v>
      </c>
      <c r="C134" s="35" t="n">
        <v>1.73299</v>
      </c>
      <c r="D134" s="35" t="n">
        <v>0.73862</v>
      </c>
      <c r="E134" s="35" t="n">
        <v>-0.12607</v>
      </c>
      <c r="F134" s="31" t="n">
        <f aca="false">SUMPRODUCT($B$27:$E$27,B134:E134)</f>
        <v>-1.33231</v>
      </c>
      <c r="G134" s="31" t="n">
        <f aca="false">SUMPRODUCT($B$28:$E$28,B134:E134)</f>
        <v>1.344882852286</v>
      </c>
      <c r="H134" s="31" t="n">
        <f aca="false">SUMPRODUCT($B$29:$E$29,B134:E134)</f>
        <v>0.16532456622819</v>
      </c>
      <c r="I134" s="31" t="n">
        <f aca="false">SUMPRODUCT($B$30:$E$30,B134:E134)</f>
        <v>-0.425110265666021</v>
      </c>
      <c r="J134" s="31" t="n">
        <f aca="false">NORMSDIST(F134)</f>
        <v>0.0913791712271729</v>
      </c>
      <c r="K134" s="31" t="n">
        <f aca="false">NORMSDIST(G134)</f>
        <v>0.910668465670072</v>
      </c>
      <c r="L134" s="31" t="n">
        <f aca="false">NORMSDIST(H134)</f>
        <v>0.565655738093149</v>
      </c>
      <c r="M134" s="31" t="n">
        <f aca="false">NORMSDIST(I134)</f>
        <v>0.335378147373199</v>
      </c>
      <c r="N134" s="28" t="n">
        <f aca="false">$C$61+J134*($E$61-$C$61)</f>
        <v>36.8275834245435</v>
      </c>
      <c r="O134" s="32" t="n">
        <f aca="false">$G$61+K134*($I$61-$G$61)</f>
        <v>1.45533423283504</v>
      </c>
      <c r="P134" s="32" t="n">
        <f aca="false">LOGINV(L134,LN($C$62),$E$62)</f>
        <v>1.15593269897169</v>
      </c>
      <c r="Q134" s="32" t="n">
        <f aca="false">$G$62+M134*($I$62-$G$62)</f>
        <v>5.0092016631794</v>
      </c>
    </row>
    <row r="135" customFormat="false" ht="15" hidden="false" customHeight="false" outlineLevel="0" collapsed="false">
      <c r="A135" s="5" t="n">
        <v>70</v>
      </c>
      <c r="B135" s="35" t="n">
        <v>-0.35199</v>
      </c>
      <c r="C135" s="35" t="n">
        <v>0.1139</v>
      </c>
      <c r="D135" s="35" t="n">
        <v>-0.16673</v>
      </c>
      <c r="E135" s="35" t="n">
        <v>-0.27869</v>
      </c>
      <c r="F135" s="31" t="n">
        <f aca="false">SUMPRODUCT($B$27:$E$27,B135:E135)</f>
        <v>-0.35199</v>
      </c>
      <c r="G135" s="31" t="n">
        <f aca="false">SUMPRODUCT($B$28:$E$28,B135:E135)</f>
        <v>0.0222857007832562</v>
      </c>
      <c r="H135" s="31" t="n">
        <f aca="false">SUMPRODUCT($B$29:$E$29,B135:E135)</f>
        <v>-0.193815698549946</v>
      </c>
      <c r="I135" s="31" t="n">
        <f aca="false">SUMPRODUCT($B$30:$E$30,B135:E135)</f>
        <v>-0.182683270485118</v>
      </c>
      <c r="J135" s="31" t="n">
        <f aca="false">NORMSDIST(F135)</f>
        <v>0.362422881014375</v>
      </c>
      <c r="K135" s="31" t="n">
        <f aca="false">NORMSDIST(G135)</f>
        <v>0.508889972413615</v>
      </c>
      <c r="L135" s="31" t="n">
        <f aca="false">NORMSDIST(H135)</f>
        <v>0.423160097213445</v>
      </c>
      <c r="M135" s="31" t="n">
        <f aca="false">NORMSDIST(I135)</f>
        <v>0.427523271536768</v>
      </c>
      <c r="N135" s="28" t="n">
        <f aca="false">$C$61+J135*($E$61-$C$61)</f>
        <v>42.2484576202875</v>
      </c>
      <c r="O135" s="32" t="n">
        <f aca="false">$G$61+K135*($I$61-$G$61)</f>
        <v>1.25444498620681</v>
      </c>
      <c r="P135" s="32" t="n">
        <f aca="false">LOGINV(L135,LN($C$62),$E$62)</f>
        <v>1.03786474235769</v>
      </c>
      <c r="Q135" s="32" t="n">
        <f aca="false">$G$62+M135*($I$62-$G$62)</f>
        <v>5.42385472191546</v>
      </c>
    </row>
    <row r="136" customFormat="false" ht="15" hidden="false" customHeight="false" outlineLevel="0" collapsed="false">
      <c r="A136" s="5" t="n">
        <v>71</v>
      </c>
      <c r="B136" s="35" t="n">
        <v>-1.1196</v>
      </c>
      <c r="C136" s="35" t="n">
        <v>1.26281</v>
      </c>
      <c r="D136" s="35" t="n">
        <v>-0.03958</v>
      </c>
      <c r="E136" s="35" t="n">
        <v>0.07464</v>
      </c>
      <c r="F136" s="31" t="n">
        <f aca="false">SUMPRODUCT($B$27:$E$27,B136:E136)</f>
        <v>-1.1196</v>
      </c>
      <c r="G136" s="31" t="n">
        <f aca="false">SUMPRODUCT($B$28:$E$28,B136:E136)</f>
        <v>0.942810524856047</v>
      </c>
      <c r="H136" s="31" t="n">
        <f aca="false">SUMPRODUCT($B$29:$E$29,B136:E136)</f>
        <v>-0.428899602349464</v>
      </c>
      <c r="I136" s="31" t="n">
        <f aca="false">SUMPRODUCT($B$30:$E$30,B136:E136)</f>
        <v>0.084364716128827</v>
      </c>
      <c r="J136" s="31" t="n">
        <f aca="false">NORMSDIST(F136)</f>
        <v>0.131442127793014</v>
      </c>
      <c r="K136" s="31" t="n">
        <f aca="false">NORMSDIST(G136)</f>
        <v>0.82711108633669</v>
      </c>
      <c r="L136" s="31" t="n">
        <f aca="false">NORMSDIST(H136)</f>
        <v>0.333998144809429</v>
      </c>
      <c r="M136" s="31" t="n">
        <f aca="false">NORMSDIST(I136)</f>
        <v>0.533616770153117</v>
      </c>
      <c r="N136" s="28" t="n">
        <f aca="false">$C$61+J136*($E$61-$C$61)</f>
        <v>37.6288425558603</v>
      </c>
      <c r="O136" s="32" t="n">
        <f aca="false">$G$61+K136*($I$61-$G$61)</f>
        <v>1.41355554316835</v>
      </c>
      <c r="P136" s="32" t="n">
        <f aca="false">LOGINV(L136,LN($C$62),$E$62)</f>
        <v>0.967190597682723</v>
      </c>
      <c r="Q136" s="32" t="n">
        <f aca="false">$G$62+M136*($I$62-$G$62)</f>
        <v>5.90127546568903</v>
      </c>
    </row>
    <row r="137" customFormat="false" ht="15" hidden="false" customHeight="false" outlineLevel="0" collapsed="false">
      <c r="A137" s="5" t="n">
        <v>72</v>
      </c>
      <c r="B137" s="35" t="n">
        <v>0.09292</v>
      </c>
      <c r="C137" s="35" t="n">
        <v>-2.35822</v>
      </c>
      <c r="D137" s="35" t="n">
        <v>0.52714</v>
      </c>
      <c r="E137" s="35" t="n">
        <v>-0.32915</v>
      </c>
      <c r="F137" s="31" t="n">
        <f aca="false">SUMPRODUCT($B$27:$E$27,B137:E137)</f>
        <v>0.09292</v>
      </c>
      <c r="G137" s="31" t="n">
        <f aca="false">SUMPRODUCT($B$28:$E$28,B137:E137)</f>
        <v>-2.26010669667331</v>
      </c>
      <c r="H137" s="31" t="n">
        <f aca="false">SUMPRODUCT($B$29:$E$29,B137:E137)</f>
        <v>1.23186673331593</v>
      </c>
      <c r="I137" s="31" t="n">
        <f aca="false">SUMPRODUCT($B$30:$E$30,B137:E137)</f>
        <v>-0.520373802273957</v>
      </c>
      <c r="J137" s="31" t="n">
        <f aca="false">NORMSDIST(F137)</f>
        <v>0.537016441607648</v>
      </c>
      <c r="K137" s="31" t="n">
        <f aca="false">NORMSDIST(G137)</f>
        <v>0.011907314813786</v>
      </c>
      <c r="L137" s="31" t="n">
        <f aca="false">NORMSDIST(H137)</f>
        <v>0.891000565009947</v>
      </c>
      <c r="M137" s="31" t="n">
        <f aca="false">NORMSDIST(I137)</f>
        <v>0.301401532915948</v>
      </c>
      <c r="N137" s="28" t="n">
        <f aca="false">$C$61+J137*($E$61-$C$61)</f>
        <v>45.740328832153</v>
      </c>
      <c r="O137" s="32" t="n">
        <f aca="false">$G$61+K137*($I$61-$G$61)</f>
        <v>1.00595365740689</v>
      </c>
      <c r="P137" s="32" t="n">
        <f aca="false">LOGINV(L137,LN($C$62),$E$62)</f>
        <v>1.59180755853617</v>
      </c>
      <c r="Q137" s="32" t="n">
        <f aca="false">$G$62+M137*($I$62-$G$62)</f>
        <v>4.85630689812176</v>
      </c>
    </row>
    <row r="138" customFormat="false" ht="15" hidden="false" customHeight="false" outlineLevel="0" collapsed="false">
      <c r="A138" s="5" t="n">
        <v>73</v>
      </c>
      <c r="B138" s="35" t="n">
        <v>-0.28923</v>
      </c>
      <c r="C138" s="35" t="n">
        <v>0.06979</v>
      </c>
      <c r="D138" s="35" t="n">
        <v>-0.97248</v>
      </c>
      <c r="E138" s="35" t="n">
        <v>0.84338</v>
      </c>
      <c r="F138" s="31" t="n">
        <f aca="false">SUMPRODUCT($B$27:$E$27,B138:E138)</f>
        <v>-0.28923</v>
      </c>
      <c r="G138" s="31" t="n">
        <f aca="false">SUMPRODUCT($B$28:$E$28,B138:E138)</f>
        <v>-0.00473362306704608</v>
      </c>
      <c r="H138" s="31" t="n">
        <f aca="false">SUMPRODUCT($B$29:$E$29,B138:E138)</f>
        <v>-0.946247069243194</v>
      </c>
      <c r="I138" s="31" t="n">
        <f aca="false">SUMPRODUCT($B$30:$E$30,B138:E138)</f>
        <v>1.17423835685967</v>
      </c>
      <c r="J138" s="31" t="n">
        <f aca="false">NORMSDIST(F138)</f>
        <v>0.38620268787884</v>
      </c>
      <c r="K138" s="31" t="n">
        <f aca="false">NORMSDIST(G138)</f>
        <v>0.498111564671495</v>
      </c>
      <c r="L138" s="31" t="n">
        <f aca="false">NORMSDIST(H138)</f>
        <v>0.172011291821866</v>
      </c>
      <c r="M138" s="31" t="n">
        <f aca="false">NORMSDIST(I138)</f>
        <v>0.879850216823082</v>
      </c>
      <c r="N138" s="28" t="n">
        <f aca="false">$C$61+J138*($E$61-$C$61)</f>
        <v>42.7240537575768</v>
      </c>
      <c r="O138" s="32" t="n">
        <f aca="false">$G$61+K138*($I$61-$G$61)</f>
        <v>1.24905578233575</v>
      </c>
      <c r="P138" s="32" t="n">
        <f aca="false">LOGINV(L138,LN($C$62),$E$62)</f>
        <v>0.828147549189221</v>
      </c>
      <c r="Q138" s="32" t="n">
        <f aca="false">$G$62+M138*($I$62-$G$62)</f>
        <v>7.45932597570387</v>
      </c>
    </row>
    <row r="139" customFormat="false" ht="15" hidden="false" customHeight="false" outlineLevel="0" collapsed="false">
      <c r="A139" s="5" t="n">
        <v>74</v>
      </c>
      <c r="B139" s="35" t="n">
        <v>-0.69586</v>
      </c>
      <c r="C139" s="35" t="n">
        <v>-0.90366</v>
      </c>
      <c r="D139" s="35" t="n">
        <v>-0.86219</v>
      </c>
      <c r="E139" s="35" t="n">
        <v>0.15875</v>
      </c>
      <c r="F139" s="31" t="n">
        <f aca="false">SUMPRODUCT($B$27:$E$27,B139:E139)</f>
        <v>-0.69586</v>
      </c>
      <c r="G139" s="31" t="n">
        <f aca="false">SUMPRODUCT($B$28:$E$28,B139:E139)</f>
        <v>-1.04893003265845</v>
      </c>
      <c r="H139" s="31" t="n">
        <f aca="false">SUMPRODUCT($B$29:$E$29,B139:E139)</f>
        <v>-0.539772083270386</v>
      </c>
      <c r="I139" s="31" t="n">
        <f aca="false">SUMPRODUCT($B$30:$E$30,B139:E139)</f>
        <v>0.506743797521151</v>
      </c>
      <c r="J139" s="31" t="n">
        <f aca="false">NORMSDIST(F139)</f>
        <v>0.243258254784791</v>
      </c>
      <c r="K139" s="31" t="n">
        <f aca="false">NORMSDIST(G139)</f>
        <v>0.147105160931018</v>
      </c>
      <c r="L139" s="31" t="n">
        <f aca="false">NORMSDIST(H139)</f>
        <v>0.294677110842637</v>
      </c>
      <c r="M139" s="31" t="n">
        <f aca="false">NORMSDIST(I139)</f>
        <v>0.693832702218828</v>
      </c>
      <c r="N139" s="28" t="n">
        <f aca="false">$C$61+J139*($E$61-$C$61)</f>
        <v>39.8651650956958</v>
      </c>
      <c r="O139" s="32" t="n">
        <f aca="false">$G$61+K139*($I$61-$G$61)</f>
        <v>1.07355258046551</v>
      </c>
      <c r="P139" s="32" t="n">
        <f aca="false">LOGINV(L139,LN($C$62),$E$62)</f>
        <v>0.935549291007833</v>
      </c>
      <c r="Q139" s="32" t="n">
        <f aca="false">$G$62+M139*($I$62-$G$62)</f>
        <v>6.62224715998472</v>
      </c>
    </row>
    <row r="140" customFormat="false" ht="15" hidden="false" customHeight="false" outlineLevel="0" collapsed="false">
      <c r="A140" s="5" t="n">
        <v>75</v>
      </c>
      <c r="B140" s="35" t="n">
        <v>0.74578</v>
      </c>
      <c r="C140" s="35" t="n">
        <v>-0.59505</v>
      </c>
      <c r="D140" s="35" t="n">
        <v>-1.51019</v>
      </c>
      <c r="E140" s="35" t="n">
        <v>1.06249</v>
      </c>
      <c r="F140" s="31" t="n">
        <f aca="false">SUMPRODUCT($B$27:$E$27,B140:E140)</f>
        <v>0.74578</v>
      </c>
      <c r="G140" s="31" t="n">
        <f aca="false">SUMPRODUCT($B$28:$E$28,B140:E140)</f>
        <v>-0.389709685040181</v>
      </c>
      <c r="H140" s="31" t="n">
        <f aca="false">SUMPRODUCT($B$29:$E$29,B140:E140)</f>
        <v>-1.25150276106464</v>
      </c>
      <c r="I140" s="31" t="n">
        <f aca="false">SUMPRODUCT($B$30:$E$30,B140:E140)</f>
        <v>1.59923088492</v>
      </c>
      <c r="J140" s="31" t="n">
        <f aca="false">NORMSDIST(F140)</f>
        <v>0.772099838275942</v>
      </c>
      <c r="K140" s="31" t="n">
        <f aca="false">NORMSDIST(G140)</f>
        <v>0.348375617017023</v>
      </c>
      <c r="L140" s="31" t="n">
        <f aca="false">NORMSDIST(H140)</f>
        <v>0.105375553471381</v>
      </c>
      <c r="M140" s="31" t="n">
        <f aca="false">NORMSDIST(I140)</f>
        <v>0.945115344909572</v>
      </c>
      <c r="N140" s="28" t="n">
        <f aca="false">$C$61+J140*($E$61-$C$61)</f>
        <v>50.4419967655188</v>
      </c>
      <c r="O140" s="32" t="n">
        <f aca="false">$G$61+K140*($I$61-$G$61)</f>
        <v>1.17418780850851</v>
      </c>
      <c r="P140" s="32" t="n">
        <f aca="false">LOGINV(L140,LN($C$62),$E$62)</f>
        <v>0.755677449069887</v>
      </c>
      <c r="Q140" s="32" t="n">
        <f aca="false">$G$62+M140*($I$62-$G$62)</f>
        <v>7.75301905209308</v>
      </c>
    </row>
    <row r="141" customFormat="false" ht="15" hidden="false" customHeight="false" outlineLevel="0" collapsed="false">
      <c r="A141" s="5" t="n">
        <v>76</v>
      </c>
      <c r="B141" s="35" t="n">
        <v>-1.06508</v>
      </c>
      <c r="C141" s="35" t="n">
        <v>1.19483</v>
      </c>
      <c r="D141" s="35" t="n">
        <v>-0.0543</v>
      </c>
      <c r="E141" s="35" t="n">
        <v>-0.69835</v>
      </c>
      <c r="F141" s="31" t="n">
        <f aca="false">SUMPRODUCT($B$27:$E$27,B141:E141)</f>
        <v>-1.06508</v>
      </c>
      <c r="G141" s="31" t="n">
        <f aca="false">SUMPRODUCT($B$28:$E$28,B141:E141)</f>
        <v>0.890619172887252</v>
      </c>
      <c r="H141" s="31" t="n">
        <f aca="false">SUMPRODUCT($B$29:$E$29,B141:E141)</f>
        <v>-0.421832385947397</v>
      </c>
      <c r="I141" s="31" t="n">
        <f aca="false">SUMPRODUCT($B$30:$E$30,B141:E141)</f>
        <v>-0.610697787306542</v>
      </c>
      <c r="J141" s="31" t="n">
        <f aca="false">NORMSDIST(F141)</f>
        <v>0.143419864495517</v>
      </c>
      <c r="K141" s="31" t="n">
        <f aca="false">NORMSDIST(G141)</f>
        <v>0.813433245085899</v>
      </c>
      <c r="L141" s="31" t="n">
        <f aca="false">NORMSDIST(H141)</f>
        <v>0.336573682516284</v>
      </c>
      <c r="M141" s="31" t="n">
        <f aca="false">NORMSDIST(I141)</f>
        <v>0.27069983558279</v>
      </c>
      <c r="N141" s="28" t="n">
        <f aca="false">$C$61+J141*($E$61-$C$61)</f>
        <v>37.8683972899103</v>
      </c>
      <c r="O141" s="32" t="n">
        <f aca="false">$G$61+K141*($I$61-$G$61)</f>
        <v>1.40671662254295</v>
      </c>
      <c r="P141" s="32" t="n">
        <f aca="false">LOGINV(L141,LN($C$62),$E$62)</f>
        <v>0.96924337660546</v>
      </c>
      <c r="Q141" s="32" t="n">
        <f aca="false">$G$62+M141*($I$62-$G$62)</f>
        <v>4.71814926012255</v>
      </c>
    </row>
    <row r="142" customFormat="false" ht="15" hidden="false" customHeight="false" outlineLevel="0" collapsed="false">
      <c r="A142" s="5" t="n">
        <v>77</v>
      </c>
      <c r="B142" s="35" t="n">
        <v>-0.64004</v>
      </c>
      <c r="C142" s="35" t="n">
        <v>0.46187</v>
      </c>
      <c r="D142" s="35" t="n">
        <v>0.88937</v>
      </c>
      <c r="E142" s="35" t="n">
        <v>-0.19817</v>
      </c>
      <c r="F142" s="31" t="n">
        <f aca="false">SUMPRODUCT($B$27:$E$27,B142:E142)</f>
        <v>-0.64004</v>
      </c>
      <c r="G142" s="31" t="n">
        <f aca="false">SUMPRODUCT($B$28:$E$28,B142:E142)</f>
        <v>0.287193704528205</v>
      </c>
      <c r="H142" s="31" t="n">
        <f aca="false">SUMPRODUCT($B$29:$E$29,B142:E142)</f>
        <v>0.70249815725818</v>
      </c>
      <c r="I142" s="31" t="n">
        <f aca="false">SUMPRODUCT($B$30:$E$30,B142:E142)</f>
        <v>-0.553940268490929</v>
      </c>
      <c r="J142" s="31" t="n">
        <f aca="false">NORMSDIST(F142)</f>
        <v>0.261073297368732</v>
      </c>
      <c r="K142" s="31" t="n">
        <f aca="false">NORMSDIST(G142)</f>
        <v>0.613017996782479</v>
      </c>
      <c r="L142" s="31" t="n">
        <f aca="false">NORMSDIST(H142)</f>
        <v>0.758815724745163</v>
      </c>
      <c r="M142" s="31" t="n">
        <f aca="false">NORMSDIST(I142)</f>
        <v>0.289809862579465</v>
      </c>
      <c r="N142" s="28" t="n">
        <f aca="false">$C$61+J142*($E$61-$C$61)</f>
        <v>40.2214659473746</v>
      </c>
      <c r="O142" s="32" t="n">
        <f aca="false">$G$61+K142*($I$61-$G$61)</f>
        <v>1.30650899839124</v>
      </c>
      <c r="P142" s="32" t="n">
        <f aca="false">LOGINV(L142,LN($C$62),$E$62)</f>
        <v>1.35806328134826</v>
      </c>
      <c r="Q142" s="32" t="n">
        <f aca="false">$G$62+M142*($I$62-$G$62)</f>
        <v>4.80414438160759</v>
      </c>
    </row>
    <row r="143" customFormat="false" ht="15" hidden="false" customHeight="false" outlineLevel="0" collapsed="false">
      <c r="A143" s="5" t="n">
        <v>78</v>
      </c>
      <c r="B143" s="35" t="n">
        <v>0.94693</v>
      </c>
      <c r="C143" s="35" t="n">
        <v>2.08698</v>
      </c>
      <c r="D143" s="35" t="n">
        <v>-0.20831</v>
      </c>
      <c r="E143" s="35" t="n">
        <v>-1.14945</v>
      </c>
      <c r="F143" s="31" t="n">
        <f aca="false">SUMPRODUCT($B$27:$E$27,B143:E143)</f>
        <v>0.94693</v>
      </c>
      <c r="G143" s="31" t="n">
        <f aca="false">SUMPRODUCT($B$28:$E$28,B143:E143)</f>
        <v>2.25744219596699</v>
      </c>
      <c r="H143" s="31" t="n">
        <f aca="false">SUMPRODUCT($B$29:$E$29,B143:E143)</f>
        <v>-0.84468598969611</v>
      </c>
      <c r="I143" s="31" t="n">
        <f aca="false">SUMPRODUCT($B$30:$E$30,B143:E143)</f>
        <v>-0.95514246984966</v>
      </c>
      <c r="J143" s="31" t="n">
        <f aca="false">NORMSDIST(F143)</f>
        <v>0.828162775130917</v>
      </c>
      <c r="K143" s="31" t="n">
        <f aca="false">NORMSDIST(G143)</f>
        <v>0.988009771209318</v>
      </c>
      <c r="L143" s="31" t="n">
        <f aca="false">NORMSDIST(H143)</f>
        <v>0.199143091946396</v>
      </c>
      <c r="M143" s="31" t="n">
        <f aca="false">NORMSDIST(I143)</f>
        <v>0.169752827147873</v>
      </c>
      <c r="N143" s="28" t="n">
        <f aca="false">$C$61+J143*($E$61-$C$61)</f>
        <v>51.5632555026183</v>
      </c>
      <c r="O143" s="32" t="n">
        <f aca="false">$G$61+K143*($I$61-$G$61)</f>
        <v>1.49400488560466</v>
      </c>
      <c r="P143" s="32" t="n">
        <f aca="false">LOGINV(L143,LN($C$62),$E$62)</f>
        <v>0.853768143227737</v>
      </c>
      <c r="Q143" s="32" t="n">
        <f aca="false">$G$62+M143*($I$62-$G$62)</f>
        <v>4.26388772216543</v>
      </c>
    </row>
    <row r="144" customFormat="false" ht="15" hidden="false" customHeight="false" outlineLevel="0" collapsed="false">
      <c r="A144" s="5" t="n">
        <v>79</v>
      </c>
      <c r="B144" s="35" t="n">
        <v>-1.0544</v>
      </c>
      <c r="C144" s="35" t="n">
        <v>-1.39034</v>
      </c>
      <c r="D144" s="35" t="n">
        <v>-0.63967</v>
      </c>
      <c r="E144" s="35" t="n">
        <v>-0.72378</v>
      </c>
      <c r="F144" s="31" t="n">
        <f aca="false">SUMPRODUCT($B$27:$E$27,B144:E144)</f>
        <v>-1.0544</v>
      </c>
      <c r="G144" s="31" t="n">
        <f aca="false">SUMPRODUCT($B$28:$E$28,B144:E144)</f>
        <v>-1.60979091639151</v>
      </c>
      <c r="H144" s="31" t="n">
        <f aca="false">SUMPRODUCT($B$29:$E$29,B144:E144)</f>
        <v>-0.177410199725606</v>
      </c>
      <c r="I144" s="31" t="n">
        <f aca="false">SUMPRODUCT($B$30:$E$30,B144:E144)</f>
        <v>-0.387500831505266</v>
      </c>
      <c r="J144" s="31" t="n">
        <f aca="false">NORMSDIST(F144)</f>
        <v>0.145849911137287</v>
      </c>
      <c r="K144" s="31" t="n">
        <f aca="false">NORMSDIST(G144)</f>
        <v>0.0537217544620254</v>
      </c>
      <c r="L144" s="31" t="n">
        <f aca="false">NORMSDIST(H144)</f>
        <v>0.429593098087935</v>
      </c>
      <c r="M144" s="31" t="n">
        <f aca="false">NORMSDIST(I144)</f>
        <v>0.349192734733462</v>
      </c>
      <c r="N144" s="28" t="n">
        <f aca="false">$C$61+J144*($E$61-$C$61)</f>
        <v>37.9169982227458</v>
      </c>
      <c r="O144" s="32" t="n">
        <f aca="false">$G$61+K144*($I$61-$G$61)</f>
        <v>1.02686087723101</v>
      </c>
      <c r="P144" s="32" t="n">
        <f aca="false">LOGINV(L144,LN($C$62),$E$62)</f>
        <v>1.04298533955737</v>
      </c>
      <c r="Q144" s="32" t="n">
        <f aca="false">$G$62+M144*($I$62-$G$62)</f>
        <v>5.07136730630058</v>
      </c>
    </row>
    <row r="145" customFormat="false" ht="15" hidden="false" customHeight="false" outlineLevel="0" collapsed="false">
      <c r="A145" s="5" t="n">
        <v>80</v>
      </c>
      <c r="B145" s="35" t="n">
        <v>-1.3251</v>
      </c>
      <c r="C145" s="35" t="n">
        <v>0.53018</v>
      </c>
      <c r="D145" s="35" t="n">
        <v>-2.61134</v>
      </c>
      <c r="E145" s="35" t="n">
        <v>-1.3208</v>
      </c>
      <c r="F145" s="31" t="n">
        <f aca="false">SUMPRODUCT($B$27:$E$27,B145:E145)</f>
        <v>-1.3251</v>
      </c>
      <c r="G145" s="31" t="n">
        <f aca="false">SUMPRODUCT($B$28:$E$28,B145:E145)</f>
        <v>0.182069577623062</v>
      </c>
      <c r="H145" s="31" t="n">
        <f aca="false">SUMPRODUCT($B$29:$E$29,B145:E145)</f>
        <v>-2.6471039931471</v>
      </c>
      <c r="I145" s="31" t="n">
        <f aca="false">SUMPRODUCT($B$30:$E$30,B145:E145)</f>
        <v>-0.0996285882666026</v>
      </c>
      <c r="J145" s="31" t="n">
        <f aca="false">NORMSDIST(F145)</f>
        <v>0.0925689930742233</v>
      </c>
      <c r="K145" s="31" t="n">
        <f aca="false">NORMSDIST(G145)</f>
        <v>0.572235938399279</v>
      </c>
      <c r="L145" s="31" t="n">
        <f aca="false">NORMSDIST(H145)</f>
        <v>0.00405921914847119</v>
      </c>
      <c r="M145" s="31" t="n">
        <f aca="false">NORMSDIST(I145)</f>
        <v>0.460319598291264</v>
      </c>
      <c r="N145" s="28" t="n">
        <f aca="false">$C$61+J145*($E$61-$C$61)</f>
        <v>36.8513798614845</v>
      </c>
      <c r="O145" s="32" t="n">
        <f aca="false">$G$61+K145*($I$61-$G$61)</f>
        <v>1.28611796919964</v>
      </c>
      <c r="P145" s="32" t="n">
        <f aca="false">LOGINV(L145,LN($C$62),$E$62)</f>
        <v>0.497171114118638</v>
      </c>
      <c r="Q145" s="32" t="n">
        <f aca="false">$G$62+M145*($I$62-$G$62)</f>
        <v>5.57143819231069</v>
      </c>
    </row>
    <row r="146" customFormat="false" ht="15" hidden="false" customHeight="false" outlineLevel="0" collapsed="false">
      <c r="A146" s="5" t="n">
        <v>81</v>
      </c>
      <c r="B146" s="35" t="n">
        <v>2.01525</v>
      </c>
      <c r="C146" s="35" t="n">
        <v>1.0378</v>
      </c>
      <c r="D146" s="35" t="n">
        <v>0.52279</v>
      </c>
      <c r="E146" s="35" t="n">
        <v>0.45726</v>
      </c>
      <c r="F146" s="31" t="n">
        <f aca="false">SUMPRODUCT($B$27:$E$27,B146:E146)</f>
        <v>2.01525</v>
      </c>
      <c r="G146" s="31" t="n">
        <f aca="false">SUMPRODUCT($B$28:$E$28,B146:E146)</f>
        <v>1.50865802917351</v>
      </c>
      <c r="H146" s="31" t="n">
        <f aca="false">SUMPRODUCT($B$29:$E$29,B146:E146)</f>
        <v>0.175512488260189</v>
      </c>
      <c r="I146" s="31" t="n">
        <f aca="false">SUMPRODUCT($B$30:$E$30,B146:E146)</f>
        <v>0.194886112340585</v>
      </c>
      <c r="J146" s="31" t="n">
        <f aca="false">NORMSDIST(F146)</f>
        <v>0.978060769513406</v>
      </c>
      <c r="K146" s="31" t="n">
        <f aca="false">NORMSDIST(G146)</f>
        <v>0.93430690177715</v>
      </c>
      <c r="L146" s="31" t="n">
        <f aca="false">NORMSDIST(H146)</f>
        <v>0.569661520562715</v>
      </c>
      <c r="M146" s="31" t="n">
        <f aca="false">NORMSDIST(I146)</f>
        <v>0.577258946757311</v>
      </c>
      <c r="N146" s="28" t="n">
        <f aca="false">$C$61+J146*($E$61-$C$61)</f>
        <v>54.5612153902681</v>
      </c>
      <c r="O146" s="32" t="n">
        <f aca="false">$G$61+K146*($I$61-$G$61)</f>
        <v>1.46715345088857</v>
      </c>
      <c r="P146" s="32" t="n">
        <f aca="false">LOGINV(L146,LN($C$62),$E$62)</f>
        <v>1.15947106917661</v>
      </c>
      <c r="Q146" s="32" t="n">
        <f aca="false">$G$62+M146*($I$62-$G$62)</f>
        <v>6.0976652604079</v>
      </c>
    </row>
    <row r="147" customFormat="false" ht="15" hidden="false" customHeight="false" outlineLevel="0" collapsed="false">
      <c r="A147" s="5" t="n">
        <v>82</v>
      </c>
      <c r="B147" s="35" t="n">
        <v>1.77094</v>
      </c>
      <c r="C147" s="35" t="n">
        <v>0.53563</v>
      </c>
      <c r="D147" s="35" t="n">
        <v>0.07758</v>
      </c>
      <c r="E147" s="35" t="n">
        <v>-1.23016</v>
      </c>
      <c r="F147" s="31" t="n">
        <f aca="false">SUMPRODUCT($B$27:$E$27,B147:E147)</f>
        <v>1.77094</v>
      </c>
      <c r="G147" s="31" t="n">
        <f aca="false">SUMPRODUCT($B$28:$E$28,B147:E147)</f>
        <v>0.96135651743227</v>
      </c>
      <c r="H147" s="31" t="n">
        <f aca="false">SUMPRODUCT($B$29:$E$29,B147:E147)</f>
        <v>-0.0921966636378235</v>
      </c>
      <c r="I147" s="31" t="n">
        <f aca="false">SUMPRODUCT($B$30:$E$30,B147:E147)</f>
        <v>-1.14863727578454</v>
      </c>
      <c r="J147" s="31" t="n">
        <f aca="false">NORMSDIST(F147)</f>
        <v>0.961714660122508</v>
      </c>
      <c r="K147" s="31" t="n">
        <f aca="false">NORMSDIST(G147)</f>
        <v>0.831813530191319</v>
      </c>
      <c r="L147" s="31" t="n">
        <f aca="false">NORMSDIST(H147)</f>
        <v>0.463270894393872</v>
      </c>
      <c r="M147" s="31" t="n">
        <f aca="false">NORMSDIST(I147)</f>
        <v>0.125352789900977</v>
      </c>
      <c r="N147" s="28" t="n">
        <f aca="false">$C$61+J147*($E$61-$C$61)</f>
        <v>54.2342932024502</v>
      </c>
      <c r="O147" s="32" t="n">
        <f aca="false">$G$61+K147*($I$61-$G$61)</f>
        <v>1.41590676509566</v>
      </c>
      <c r="P147" s="32" t="n">
        <f aca="false">LOGINV(L147,LN($C$62),$E$62)</f>
        <v>1.06999200952574</v>
      </c>
      <c r="Q147" s="32" t="n">
        <f aca="false">$G$62+M147*($I$62-$G$62)</f>
        <v>4.0640875545544</v>
      </c>
    </row>
    <row r="148" customFormat="false" ht="15" hidden="false" customHeight="false" outlineLevel="0" collapsed="false">
      <c r="A148" s="5" t="n">
        <v>83</v>
      </c>
      <c r="B148" s="35" t="n">
        <v>-0.07367</v>
      </c>
      <c r="C148" s="35" t="n">
        <v>-0.73388</v>
      </c>
      <c r="D148" s="35" t="n">
        <v>-0.70618</v>
      </c>
      <c r="E148" s="35" t="n">
        <v>-0.71424</v>
      </c>
      <c r="F148" s="31" t="n">
        <f aca="false">SUMPRODUCT($B$27:$E$27,B148:E148)</f>
        <v>-0.07367</v>
      </c>
      <c r="G148" s="31" t="n">
        <f aca="false">SUMPRODUCT($B$28:$E$28,B148:E148)</f>
        <v>-0.728993754528675</v>
      </c>
      <c r="H148" s="31" t="n">
        <f aca="false">SUMPRODUCT($B$29:$E$29,B148:E148)</f>
        <v>-0.444043877616876</v>
      </c>
      <c r="I148" s="31" t="n">
        <f aca="false">SUMPRODUCT($B$30:$E$30,B148:E148)</f>
        <v>-0.350865191930092</v>
      </c>
      <c r="J148" s="31" t="n">
        <f aca="false">NORMSDIST(F148)</f>
        <v>0.470636485217035</v>
      </c>
      <c r="K148" s="31" t="n">
        <f aca="false">NORMSDIST(G148)</f>
        <v>0.233002741425659</v>
      </c>
      <c r="L148" s="31" t="n">
        <f aca="false">NORMSDIST(H148)</f>
        <v>0.328505430562793</v>
      </c>
      <c r="M148" s="31" t="n">
        <f aca="false">NORMSDIST(I148)</f>
        <v>0.36284474309546</v>
      </c>
      <c r="N148" s="28" t="n">
        <f aca="false">$C$61+J148*($E$61-$C$61)</f>
        <v>44.4127297043407</v>
      </c>
      <c r="O148" s="32" t="n">
        <f aca="false">$G$61+K148*($I$61-$G$61)</f>
        <v>1.11650137071283</v>
      </c>
      <c r="P148" s="32" t="n">
        <f aca="false">LOGINV(L148,LN($C$62),$E$62)</f>
        <v>0.962806344480546</v>
      </c>
      <c r="Q148" s="32" t="n">
        <f aca="false">$G$62+M148*($I$62-$G$62)</f>
        <v>5.13280134392957</v>
      </c>
    </row>
    <row r="149" customFormat="false" ht="15" hidden="false" customHeight="false" outlineLevel="0" collapsed="false">
      <c r="A149" s="5" t="n">
        <v>84</v>
      </c>
      <c r="B149" s="35" t="n">
        <v>-0.04465</v>
      </c>
      <c r="C149" s="35" t="n">
        <v>-0.32971</v>
      </c>
      <c r="D149" s="35" t="n">
        <v>0.87111</v>
      </c>
      <c r="E149" s="35" t="n">
        <v>-1.32618</v>
      </c>
      <c r="F149" s="31" t="n">
        <f aca="false">SUMPRODUCT($B$27:$E$27,B149:E149)</f>
        <v>-0.04465</v>
      </c>
      <c r="G149" s="31" t="n">
        <f aca="false">SUMPRODUCT($B$28:$E$28,B149:E149)</f>
        <v>-0.330402834769512</v>
      </c>
      <c r="H149" s="31" t="n">
        <f aca="false">SUMPRODUCT($B$29:$E$29,B149:E149)</f>
        <v>0.930398840028944</v>
      </c>
      <c r="I149" s="31" t="n">
        <f aca="false">SUMPRODUCT($B$30:$E$30,B149:E149)</f>
        <v>-1.56958704159873</v>
      </c>
      <c r="J149" s="31" t="n">
        <f aca="false">NORMSDIST(F149)</f>
        <v>0.482193144068008</v>
      </c>
      <c r="K149" s="31" t="n">
        <f aca="false">NORMSDIST(G149)</f>
        <v>0.37054779993037</v>
      </c>
      <c r="L149" s="31" t="n">
        <f aca="false">NORMSDIST(H149)</f>
        <v>0.823917690529959</v>
      </c>
      <c r="M149" s="31" t="n">
        <f aca="false">NORMSDIST(I149)</f>
        <v>0.0582556075777642</v>
      </c>
      <c r="N149" s="28" t="n">
        <f aca="false">$C$61+J149*($E$61-$C$61)</f>
        <v>44.6438628813602</v>
      </c>
      <c r="O149" s="32" t="n">
        <f aca="false">$G$61+K149*($I$61-$G$61)</f>
        <v>1.18527389996519</v>
      </c>
      <c r="P149" s="32" t="n">
        <f aca="false">LOGINV(L149,LN($C$62),$E$62)</f>
        <v>1.45416206125916</v>
      </c>
      <c r="Q149" s="32" t="n">
        <f aca="false">$G$62+M149*($I$62-$G$62)</f>
        <v>3.76215023409994</v>
      </c>
    </row>
    <row r="150" customFormat="false" ht="15" hidden="false" customHeight="false" outlineLevel="0" collapsed="false">
      <c r="A150" s="5" t="n">
        <v>85</v>
      </c>
      <c r="B150" s="35" t="n">
        <v>-0.16947</v>
      </c>
      <c r="C150" s="35" t="n">
        <v>1.8595</v>
      </c>
      <c r="D150" s="35" t="n">
        <v>0.0389</v>
      </c>
      <c r="E150" s="35" t="n">
        <v>1.19862</v>
      </c>
      <c r="F150" s="31" t="n">
        <f aca="false">SUMPRODUCT($B$27:$E$27,B150:E150)</f>
        <v>-0.16947</v>
      </c>
      <c r="G150" s="31" t="n">
        <f aca="false">SUMPRODUCT($B$28:$E$28,B150:E150)</f>
        <v>1.75808563306817</v>
      </c>
      <c r="H150" s="31" t="n">
        <f aca="false">SUMPRODUCT($B$29:$E$29,B150:E150)</f>
        <v>-0.539159304805513</v>
      </c>
      <c r="I150" s="31" t="n">
        <f aca="false">SUMPRODUCT($B$30:$E$30,B150:E150)</f>
        <v>1.07102073546845</v>
      </c>
      <c r="J150" s="31" t="n">
        <f aca="false">NORMSDIST(F150)</f>
        <v>0.432713483781934</v>
      </c>
      <c r="K150" s="31" t="n">
        <f aca="false">NORMSDIST(G150)</f>
        <v>0.960633530036033</v>
      </c>
      <c r="L150" s="31" t="n">
        <f aca="false">NORMSDIST(H150)</f>
        <v>0.294888468829028</v>
      </c>
      <c r="M150" s="31" t="n">
        <f aca="false">NORMSDIST(I150)</f>
        <v>0.857919946856104</v>
      </c>
      <c r="N150" s="28" t="n">
        <f aca="false">$C$61+J150*($E$61-$C$61)</f>
        <v>43.6542696756387</v>
      </c>
      <c r="O150" s="32" t="n">
        <f aca="false">$G$61+K150*($I$61-$G$61)</f>
        <v>1.48031676501802</v>
      </c>
      <c r="P150" s="32" t="n">
        <f aca="false">LOGINV(L150,LN($C$62),$E$62)</f>
        <v>0.935721292154645</v>
      </c>
      <c r="Q150" s="32" t="n">
        <f aca="false">$G$62+M150*($I$62-$G$62)</f>
        <v>7.36063976085247</v>
      </c>
    </row>
    <row r="151" customFormat="false" ht="15" hidden="false" customHeight="false" outlineLevel="0" collapsed="false">
      <c r="A151" s="5" t="n">
        <v>86</v>
      </c>
      <c r="B151" s="35" t="n">
        <v>1.13686</v>
      </c>
      <c r="C151" s="35" t="n">
        <v>1.31665</v>
      </c>
      <c r="D151" s="35" t="n">
        <v>0.73812</v>
      </c>
      <c r="E151" s="35" t="n">
        <v>-1.38045</v>
      </c>
      <c r="F151" s="31" t="n">
        <f aca="false">SUMPRODUCT($B$27:$E$27,B151:E151)</f>
        <v>1.13686</v>
      </c>
      <c r="G151" s="31" t="n">
        <f aca="false">SUMPRODUCT($B$28:$E$28,B151:E151)</f>
        <v>1.559055880696</v>
      </c>
      <c r="H151" s="31" t="n">
        <f aca="false">SUMPRODUCT($B$29:$E$29,B151:E151)</f>
        <v>0.293847402564029</v>
      </c>
      <c r="I151" s="31" t="n">
        <f aca="false">SUMPRODUCT($B$30:$E$30,B151:E151)</f>
        <v>-1.56287138264975</v>
      </c>
      <c r="J151" s="31" t="n">
        <f aca="false">NORMSDIST(F151)</f>
        <v>0.872201591972122</v>
      </c>
      <c r="K151" s="31" t="n">
        <f aca="false">NORMSDIST(G151)</f>
        <v>0.940508422648026</v>
      </c>
      <c r="L151" s="31" t="n">
        <f aca="false">NORMSDIST(H151)</f>
        <v>0.615562744401065</v>
      </c>
      <c r="M151" s="31" t="n">
        <f aca="false">NORMSDIST(I151)</f>
        <v>0.0590414249856428</v>
      </c>
      <c r="N151" s="28" t="n">
        <f aca="false">$C$61+J151*($E$61-$C$61)</f>
        <v>52.4440318394424</v>
      </c>
      <c r="O151" s="32" t="n">
        <f aca="false">$G$61+K151*($I$61-$G$61)</f>
        <v>1.47025421132401</v>
      </c>
      <c r="P151" s="32" t="n">
        <f aca="false">LOGINV(L151,LN($C$62),$E$62)</f>
        <v>1.20137219648925</v>
      </c>
      <c r="Q151" s="32" t="n">
        <f aca="false">$G$62+M151*($I$62-$G$62)</f>
        <v>3.76568641243539</v>
      </c>
    </row>
    <row r="152" customFormat="false" ht="15" hidden="false" customHeight="false" outlineLevel="0" collapsed="false">
      <c r="A152" s="5" t="n">
        <v>87</v>
      </c>
      <c r="B152" s="35" t="n">
        <v>-0.26739</v>
      </c>
      <c r="C152" s="35" t="n">
        <v>-0.38034</v>
      </c>
      <c r="D152" s="35" t="n">
        <v>-1.54886</v>
      </c>
      <c r="E152" s="35" t="n">
        <v>-0.46388</v>
      </c>
      <c r="F152" s="31" t="n">
        <f aca="false">SUMPRODUCT($B$27:$E$27,B152:E152)</f>
        <v>-0.26739</v>
      </c>
      <c r="G152" s="31" t="n">
        <f aca="false">SUMPRODUCT($B$28:$E$28,B152:E152)</f>
        <v>-0.435110121474132</v>
      </c>
      <c r="H152" s="31" t="n">
        <f aca="false">SUMPRODUCT($B$29:$E$29,B152:E152)</f>
        <v>-1.35479523767851</v>
      </c>
      <c r="I152" s="31" t="n">
        <f aca="false">SUMPRODUCT($B$30:$E$30,B152:E152)</f>
        <v>0.230779127913029</v>
      </c>
      <c r="J152" s="31" t="n">
        <f aca="false">NORMSDIST(F152)</f>
        <v>0.394584449039272</v>
      </c>
      <c r="K152" s="31" t="n">
        <f aca="false">NORMSDIST(G152)</f>
        <v>0.331741248518828</v>
      </c>
      <c r="L152" s="31" t="n">
        <f aca="false">NORMSDIST(H152)</f>
        <v>0.0877414021678509</v>
      </c>
      <c r="M152" s="31" t="n">
        <f aca="false">NORMSDIST(I152)</f>
        <v>0.591256801455794</v>
      </c>
      <c r="N152" s="28" t="n">
        <f aca="false">$C$61+J152*($E$61-$C$61)</f>
        <v>42.8916889807854</v>
      </c>
      <c r="O152" s="32" t="n">
        <f aca="false">$G$61+K152*($I$61-$G$61)</f>
        <v>1.16587062425941</v>
      </c>
      <c r="P152" s="32" t="n">
        <f aca="false">LOGINV(L152,LN($C$62),$E$62)</f>
        <v>0.732619807675211</v>
      </c>
      <c r="Q152" s="32" t="n">
        <f aca="false">$G$62+M152*($I$62-$G$62)</f>
        <v>6.16065560655107</v>
      </c>
    </row>
    <row r="153" customFormat="false" ht="15" hidden="false" customHeight="false" outlineLevel="0" collapsed="false">
      <c r="A153" s="5" t="n">
        <v>88</v>
      </c>
      <c r="B153" s="35" t="n">
        <v>-1.25008</v>
      </c>
      <c r="C153" s="35" t="n">
        <v>-1.66555</v>
      </c>
      <c r="D153" s="35" t="n">
        <v>0.2109</v>
      </c>
      <c r="E153" s="35" t="n">
        <v>-0.04359</v>
      </c>
      <c r="F153" s="31" t="n">
        <f aca="false">SUMPRODUCT($B$27:$E$27,B153:E153)</f>
        <v>-1.25008</v>
      </c>
      <c r="G153" s="31" t="n">
        <f aca="false">SUMPRODUCT($B$28:$E$28,B153:E153)</f>
        <v>-1.92518185306894</v>
      </c>
      <c r="H153" s="31" t="n">
        <f aca="false">SUMPRODUCT($B$29:$E$29,B153:E153)</f>
        <v>0.716573223856669</v>
      </c>
      <c r="I153" s="31" t="n">
        <f aca="false">SUMPRODUCT($B$30:$E$30,B153:E153)</f>
        <v>-0.128271073003308</v>
      </c>
      <c r="J153" s="31" t="n">
        <f aca="false">NORMSDIST(F153)</f>
        <v>0.105635162470612</v>
      </c>
      <c r="K153" s="31" t="n">
        <f aca="false">NORMSDIST(G153)</f>
        <v>0.0271033057707289</v>
      </c>
      <c r="L153" s="31" t="n">
        <f aca="false">NORMSDIST(H153)</f>
        <v>0.763181264450875</v>
      </c>
      <c r="M153" s="31" t="n">
        <f aca="false">NORMSDIST(I153)</f>
        <v>0.44896722818515</v>
      </c>
      <c r="N153" s="28" t="n">
        <f aca="false">$C$61+J153*($E$61-$C$61)</f>
        <v>37.1127032494122</v>
      </c>
      <c r="O153" s="32" t="n">
        <f aca="false">$G$61+K153*($I$61-$G$61)</f>
        <v>1.01355165288536</v>
      </c>
      <c r="P153" s="32" t="n">
        <f aca="false">LOGINV(L153,LN($C$62),$E$62)</f>
        <v>1.36380985465926</v>
      </c>
      <c r="Q153" s="32" t="n">
        <f aca="false">$G$62+M153*($I$62-$G$62)</f>
        <v>5.52035252683317</v>
      </c>
    </row>
    <row r="154" customFormat="false" ht="15" hidden="false" customHeight="false" outlineLevel="0" collapsed="false">
      <c r="A154" s="5" t="n">
        <v>89</v>
      </c>
      <c r="B154" s="35" t="n">
        <v>-0.68781</v>
      </c>
      <c r="C154" s="35" t="n">
        <v>-0.95059</v>
      </c>
      <c r="D154" s="35" t="n">
        <v>-0.54127</v>
      </c>
      <c r="E154" s="35" t="n">
        <v>-0.39409</v>
      </c>
      <c r="F154" s="31" t="n">
        <f aca="false">SUMPRODUCT($B$27:$E$27,B154:E154)</f>
        <v>-0.68781</v>
      </c>
      <c r="G154" s="31" t="n">
        <f aca="false">SUMPRODUCT($B$28:$E$28,B154:E154)</f>
        <v>-1.09235730976783</v>
      </c>
      <c r="H154" s="31" t="n">
        <f aca="false">SUMPRODUCT($B$29:$E$29,B154:E154)</f>
        <v>-0.220104101886618</v>
      </c>
      <c r="I154" s="31" t="n">
        <f aca="false">SUMPRODUCT($B$30:$E$30,B154:E154)</f>
        <v>-0.12980379802355</v>
      </c>
      <c r="J154" s="31" t="n">
        <f aca="false">NORMSDIST(F154)</f>
        <v>0.245786218990058</v>
      </c>
      <c r="K154" s="31" t="n">
        <f aca="false">NORMSDIST(G154)</f>
        <v>0.137338039690234</v>
      </c>
      <c r="L154" s="31" t="n">
        <f aca="false">NORMSDIST(H154)</f>
        <v>0.41289504015011</v>
      </c>
      <c r="M154" s="31" t="n">
        <f aca="false">NORMSDIST(I154)</f>
        <v>0.448360828976202</v>
      </c>
      <c r="N154" s="28" t="n">
        <f aca="false">$C$61+J154*($E$61-$C$61)</f>
        <v>39.9157243798012</v>
      </c>
      <c r="O154" s="32" t="n">
        <f aca="false">$G$61+K154*($I$61-$G$61)</f>
        <v>1.06866901984512</v>
      </c>
      <c r="P154" s="32" t="n">
        <f aca="false">LOGINV(L154,LN($C$62),$E$62)</f>
        <v>1.02971179173655</v>
      </c>
      <c r="Q154" s="32" t="n">
        <f aca="false">$G$62+M154*($I$62-$G$62)</f>
        <v>5.51762373039291</v>
      </c>
    </row>
    <row r="155" customFormat="false" ht="15" hidden="false" customHeight="false" outlineLevel="0" collapsed="false">
      <c r="A155" s="5" t="n">
        <v>90</v>
      </c>
      <c r="B155" s="35" t="n">
        <v>-0.40811</v>
      </c>
      <c r="C155" s="35" t="n">
        <v>-0.05271</v>
      </c>
      <c r="D155" s="35" t="n">
        <v>-0.43554</v>
      </c>
      <c r="E155" s="35" t="n">
        <v>0.38697</v>
      </c>
      <c r="F155" s="31" t="n">
        <f aca="false">SUMPRODUCT($B$27:$E$27,B155:E155)</f>
        <v>-0.40811</v>
      </c>
      <c r="G155" s="31" t="n">
        <f aca="false">SUMPRODUCT($B$28:$E$28,B155:E155)</f>
        <v>-0.153063738044648</v>
      </c>
      <c r="H155" s="31" t="n">
        <f aca="false">SUMPRODUCT($B$29:$E$29,B155:E155)</f>
        <v>-0.397775108439874</v>
      </c>
      <c r="I155" s="31" t="n">
        <f aca="false">SUMPRODUCT($B$30:$E$30,B155:E155)</f>
        <v>0.534291601345482</v>
      </c>
      <c r="J155" s="31" t="n">
        <f aca="false">NORMSDIST(F155)</f>
        <v>0.341596459357831</v>
      </c>
      <c r="K155" s="31" t="n">
        <f aca="false">NORMSDIST(G155)</f>
        <v>0.439174005851606</v>
      </c>
      <c r="L155" s="31" t="n">
        <f aca="false">NORMSDIST(H155)</f>
        <v>0.345397983546354</v>
      </c>
      <c r="M155" s="31" t="n">
        <f aca="false">NORMSDIST(I155)</f>
        <v>0.703430098996553</v>
      </c>
      <c r="N155" s="28" t="n">
        <f aca="false">$C$61+J155*($E$61-$C$61)</f>
        <v>41.8319291871566</v>
      </c>
      <c r="O155" s="32" t="n">
        <f aca="false">$G$61+K155*($I$61-$G$61)</f>
        <v>1.2195870029258</v>
      </c>
      <c r="P155" s="32" t="n">
        <f aca="false">LOGINV(L155,LN($C$62),$E$62)</f>
        <v>0.976263887353239</v>
      </c>
      <c r="Q155" s="32" t="n">
        <f aca="false">$G$62+M155*($I$62-$G$62)</f>
        <v>6.66543544548449</v>
      </c>
    </row>
    <row r="156" customFormat="false" ht="15" hidden="false" customHeight="false" outlineLevel="0" collapsed="false">
      <c r="A156" s="5" t="n">
        <v>91</v>
      </c>
      <c r="B156" s="35" t="n">
        <v>0.52287</v>
      </c>
      <c r="C156" s="35" t="n">
        <v>0.35787</v>
      </c>
      <c r="D156" s="35" t="n">
        <v>-0.6631</v>
      </c>
      <c r="E156" s="35" t="n">
        <v>-0.61651</v>
      </c>
      <c r="F156" s="31" t="n">
        <f aca="false">SUMPRODUCT($B$27:$E$27,B156:E156)</f>
        <v>0.52287</v>
      </c>
      <c r="G156" s="31" t="n">
        <f aca="false">SUMPRODUCT($B$28:$E$28,B156:E156)</f>
        <v>0.477223637526812</v>
      </c>
      <c r="H156" s="31" t="n">
        <f aca="false">SUMPRODUCT($B$29:$E$29,B156:E156)</f>
        <v>-0.741350246668382</v>
      </c>
      <c r="I156" s="31" t="n">
        <f aca="false">SUMPRODUCT($B$30:$E$30,B156:E156)</f>
        <v>-0.280328589221199</v>
      </c>
      <c r="J156" s="31" t="n">
        <f aca="false">NORMSDIST(F156)</f>
        <v>0.699467638634796</v>
      </c>
      <c r="K156" s="31" t="n">
        <f aca="false">NORMSDIST(G156)</f>
        <v>0.683398559567915</v>
      </c>
      <c r="L156" s="31" t="n">
        <f aca="false">NORMSDIST(H156)</f>
        <v>0.22924055150916</v>
      </c>
      <c r="M156" s="31" t="n">
        <f aca="false">NORMSDIST(I156)</f>
        <v>0.38961270935207</v>
      </c>
      <c r="N156" s="28" t="n">
        <f aca="false">$C$61+J156*($E$61-$C$61)</f>
        <v>48.9893527726959</v>
      </c>
      <c r="O156" s="32" t="n">
        <f aca="false">$G$61+K156*($I$61-$G$61)</f>
        <v>1.34169927978396</v>
      </c>
      <c r="P156" s="32" t="n">
        <f aca="false">LOGINV(L156,LN($C$62),$E$62)</f>
        <v>0.880650100048576</v>
      </c>
      <c r="Q156" s="32" t="n">
        <f aca="false">$G$62+M156*($I$62-$G$62)</f>
        <v>5.25325719208432</v>
      </c>
    </row>
    <row r="157" customFormat="false" ht="15" hidden="false" customHeight="false" outlineLevel="0" collapsed="false">
      <c r="A157" s="5" t="n">
        <v>92</v>
      </c>
      <c r="B157" s="35" t="n">
        <v>0.43486</v>
      </c>
      <c r="C157" s="35" t="n">
        <v>-0.19704</v>
      </c>
      <c r="D157" s="35" t="n">
        <v>-0.04315</v>
      </c>
      <c r="E157" s="35" t="n">
        <v>-2.492</v>
      </c>
      <c r="F157" s="31" t="n">
        <f aca="false">SUMPRODUCT($B$27:$E$27,B157:E157)</f>
        <v>0.43486</v>
      </c>
      <c r="G157" s="31" t="n">
        <f aca="false">SUMPRODUCT($B$28:$E$28,B157:E157)</f>
        <v>-0.0820681596341774</v>
      </c>
      <c r="H157" s="31" t="n">
        <f aca="false">SUMPRODUCT($B$29:$E$29,B157:E157)</f>
        <v>0.0200240594364725</v>
      </c>
      <c r="I157" s="31" t="n">
        <f aca="false">SUMPRODUCT($B$30:$E$30,B157:E157)</f>
        <v>-2.24258495131625</v>
      </c>
      <c r="J157" s="31" t="n">
        <f aca="false">NORMSDIST(F157)</f>
        <v>0.668167974825219</v>
      </c>
      <c r="K157" s="31" t="n">
        <f aca="false">NORMSDIST(G157)</f>
        <v>0.467296256309647</v>
      </c>
      <c r="L157" s="31" t="n">
        <f aca="false">NORMSDIST(H157)</f>
        <v>0.50798791012157</v>
      </c>
      <c r="M157" s="31" t="n">
        <f aca="false">NORMSDIST(I157)</f>
        <v>0.0124617957808557</v>
      </c>
      <c r="N157" s="28" t="n">
        <f aca="false">$C$61+J157*($E$61-$C$61)</f>
        <v>48.3633594965044</v>
      </c>
      <c r="O157" s="32" t="n">
        <f aca="false">$G$61+K157*($I$61-$G$61)</f>
        <v>1.23364812815482</v>
      </c>
      <c r="P157" s="32" t="n">
        <f aca="false">LOGINV(L157,LN($C$62),$E$62)</f>
        <v>1.10662782708322</v>
      </c>
      <c r="Q157" s="32" t="n">
        <f aca="false">$G$62+M157*($I$62-$G$62)</f>
        <v>3.55607808101385</v>
      </c>
    </row>
    <row r="158" customFormat="false" ht="15" hidden="false" customHeight="false" outlineLevel="0" collapsed="false">
      <c r="A158" s="5" t="n">
        <v>93</v>
      </c>
      <c r="B158" s="35" t="n">
        <v>-2.7001</v>
      </c>
      <c r="C158" s="35" t="n">
        <v>0.33715</v>
      </c>
      <c r="D158" s="35" t="n">
        <v>0.32956</v>
      </c>
      <c r="E158" s="35" t="n">
        <v>1.39343</v>
      </c>
      <c r="F158" s="31" t="n">
        <f aca="false">SUMPRODUCT($B$27:$E$27,B158:E158)</f>
        <v>-2.7001</v>
      </c>
      <c r="G158" s="31" t="n">
        <f aca="false">SUMPRODUCT($B$28:$E$28,B158:E158)</f>
        <v>-0.348580916206542</v>
      </c>
      <c r="H158" s="31" t="n">
        <f aca="false">SUMPRODUCT($B$29:$E$29,B158:E158)</f>
        <v>0.208879964115613</v>
      </c>
      <c r="I158" s="31" t="n">
        <f aca="false">SUMPRODUCT($B$30:$E$30,B158:E158)</f>
        <v>1.12547046534661</v>
      </c>
      <c r="J158" s="31" t="n">
        <f aca="false">NORMSDIST(F158)</f>
        <v>0.00346593185023092</v>
      </c>
      <c r="K158" s="31" t="n">
        <f aca="false">NORMSDIST(G158)</f>
        <v>0.363701978402697</v>
      </c>
      <c r="L158" s="31" t="n">
        <f aca="false">NORMSDIST(H158)</f>
        <v>0.582729027260513</v>
      </c>
      <c r="M158" s="31" t="n">
        <f aca="false">NORMSDIST(I158)</f>
        <v>0.869805137104606</v>
      </c>
      <c r="N158" s="28" t="n">
        <f aca="false">$C$61+J158*($E$61-$C$61)</f>
        <v>35.0693186370046</v>
      </c>
      <c r="O158" s="32" t="n">
        <f aca="false">$G$61+K158*($I$61-$G$61)</f>
        <v>1.18185098920135</v>
      </c>
      <c r="P158" s="32" t="n">
        <f aca="false">LOGINV(L158,LN($C$62),$E$62)</f>
        <v>1.1711359427501</v>
      </c>
      <c r="Q158" s="32" t="n">
        <f aca="false">$G$62+M158*($I$62-$G$62)</f>
        <v>7.41412311697073</v>
      </c>
    </row>
    <row r="159" customFormat="false" ht="15" hidden="false" customHeight="false" outlineLevel="0" collapsed="false">
      <c r="A159" s="5" t="n">
        <v>94</v>
      </c>
      <c r="B159" s="35" t="n">
        <v>0.72116</v>
      </c>
      <c r="C159" s="35" t="n">
        <v>0.22174</v>
      </c>
      <c r="D159" s="35" t="n">
        <v>0.01636</v>
      </c>
      <c r="E159" s="35" t="n">
        <v>-1.42674</v>
      </c>
      <c r="F159" s="31" t="n">
        <f aca="false">SUMPRODUCT($B$27:$E$27,B159:E159)</f>
        <v>0.72116</v>
      </c>
      <c r="G159" s="31" t="n">
        <f aca="false">SUMPRODUCT($B$28:$E$28,B159:E159)</f>
        <v>0.394988831797008</v>
      </c>
      <c r="H159" s="31" t="n">
        <f aca="false">SUMPRODUCT($B$29:$E$29,B159:E159)</f>
        <v>-0.0531487157477852</v>
      </c>
      <c r="I159" s="31" t="n">
        <f aca="false">SUMPRODUCT($B$30:$E$30,B159:E159)</f>
        <v>-1.30121888021445</v>
      </c>
      <c r="J159" s="31" t="n">
        <f aca="false">NORMSDIST(F159)</f>
        <v>0.764594460516289</v>
      </c>
      <c r="K159" s="31" t="n">
        <f aca="false">NORMSDIST(G159)</f>
        <v>0.653574434906387</v>
      </c>
      <c r="L159" s="31" t="n">
        <f aca="false">NORMSDIST(H159)</f>
        <v>0.478806708360776</v>
      </c>
      <c r="M159" s="31" t="n">
        <f aca="false">NORMSDIST(I159)</f>
        <v>0.096591772251722</v>
      </c>
      <c r="N159" s="28" t="n">
        <f aca="false">$C$61+J159*($E$61-$C$61)</f>
        <v>50.2918892103258</v>
      </c>
      <c r="O159" s="32" t="n">
        <f aca="false">$G$61+K159*($I$61-$G$61)</f>
        <v>1.32678721745319</v>
      </c>
      <c r="P159" s="32" t="n">
        <f aca="false">LOGINV(L159,LN($C$62),$E$62)</f>
        <v>1.08260001050041</v>
      </c>
      <c r="Q159" s="32" t="n">
        <f aca="false">$G$62+M159*($I$62-$G$62)</f>
        <v>3.93466297513275</v>
      </c>
    </row>
    <row r="160" customFormat="false" ht="15" hidden="false" customHeight="false" outlineLevel="0" collapsed="false">
      <c r="A160" s="5" t="n">
        <v>95</v>
      </c>
      <c r="B160" s="35" t="n">
        <v>0.88318</v>
      </c>
      <c r="C160" s="35" t="n">
        <v>-0.60359</v>
      </c>
      <c r="D160" s="35" t="n">
        <v>0.50248</v>
      </c>
      <c r="E160" s="35" t="n">
        <v>0.20004</v>
      </c>
      <c r="F160" s="31" t="n">
        <f aca="false">SUMPRODUCT($B$27:$E$27,B160:E160)</f>
        <v>0.88318</v>
      </c>
      <c r="G160" s="31" t="n">
        <f aca="false">SUMPRODUCT($B$28:$E$28,B160:E160)</f>
        <v>-0.363628504484334</v>
      </c>
      <c r="H160" s="31" t="n">
        <f aca="false">SUMPRODUCT($B$29:$E$29,B160:E160)</f>
        <v>0.664768051477058</v>
      </c>
      <c r="I160" s="31" t="n">
        <f aca="false">SUMPRODUCT($B$30:$E$30,B160:E160)</f>
        <v>-0.0299189664979149</v>
      </c>
      <c r="J160" s="31" t="n">
        <f aca="false">NORMSDIST(F160)</f>
        <v>0.811430487131035</v>
      </c>
      <c r="K160" s="31" t="n">
        <f aca="false">NORMSDIST(G160)</f>
        <v>0.358067719188462</v>
      </c>
      <c r="L160" s="31" t="n">
        <f aca="false">NORMSDIST(H160)</f>
        <v>0.746900569977937</v>
      </c>
      <c r="M160" s="31" t="n">
        <f aca="false">NORMSDIST(I160)</f>
        <v>0.488065839771052</v>
      </c>
      <c r="N160" s="28" t="n">
        <f aca="false">$C$61+J160*($E$61-$C$61)</f>
        <v>51.2286097426207</v>
      </c>
      <c r="O160" s="32" t="n">
        <f aca="false">$G$61+K160*($I$61-$G$61)</f>
        <v>1.17903385959423</v>
      </c>
      <c r="P160" s="32" t="n">
        <f aca="false">LOGINV(L160,LN($C$62),$E$62)</f>
        <v>1.34277799051168</v>
      </c>
      <c r="Q160" s="32" t="n">
        <f aca="false">$G$62+M160*($I$62-$G$62)</f>
        <v>5.69629627896973</v>
      </c>
    </row>
    <row r="161" customFormat="false" ht="15" hidden="false" customHeight="false" outlineLevel="0" collapsed="false">
      <c r="A161" s="5" t="n">
        <v>96</v>
      </c>
      <c r="B161" s="35" t="n">
        <v>0.2721</v>
      </c>
      <c r="C161" s="35" t="n">
        <v>0.89268</v>
      </c>
      <c r="D161" s="35" t="n">
        <v>-0.48987</v>
      </c>
      <c r="E161" s="35" t="n">
        <v>-0.38724</v>
      </c>
      <c r="F161" s="31" t="n">
        <f aca="false">SUMPRODUCT($B$27:$E$27,B161:E161)</f>
        <v>0.2721</v>
      </c>
      <c r="G161" s="31" t="n">
        <f aca="false">SUMPRODUCT($B$28:$E$28,B161:E161)</f>
        <v>0.932358693373109</v>
      </c>
      <c r="H161" s="31" t="n">
        <f aca="false">SUMPRODUCT($B$29:$E$29,B161:E161)</f>
        <v>-0.74234986079141</v>
      </c>
      <c r="I161" s="31" t="n">
        <f aca="false">SUMPRODUCT($B$30:$E$30,B161:E161)</f>
        <v>-0.145213631835795</v>
      </c>
      <c r="J161" s="31" t="n">
        <f aca="false">NORMSDIST(F161)</f>
        <v>0.607227435227654</v>
      </c>
      <c r="K161" s="31" t="n">
        <f aca="false">NORMSDIST(G161)</f>
        <v>0.824424407785714</v>
      </c>
      <c r="L161" s="31" t="n">
        <f aca="false">NORMSDIST(H161)</f>
        <v>0.228937694727946</v>
      </c>
      <c r="M161" s="31" t="n">
        <f aca="false">NORMSDIST(I161)</f>
        <v>0.442271101683759</v>
      </c>
      <c r="N161" s="28" t="n">
        <f aca="false">$C$61+J161*($E$61-$C$61)</f>
        <v>47.1445487045531</v>
      </c>
      <c r="O161" s="32" t="n">
        <f aca="false">$G$61+K161*($I$61-$G$61)</f>
        <v>1.41221220389286</v>
      </c>
      <c r="P161" s="32" t="n">
        <f aca="false">LOGINV(L161,LN($C$62),$E$62)</f>
        <v>0.880386046560058</v>
      </c>
      <c r="Q161" s="32" t="n">
        <f aca="false">$G$62+M161*($I$62-$G$62)</f>
        <v>5.49021995757692</v>
      </c>
    </row>
    <row r="162" customFormat="false" ht="15" hidden="false" customHeight="false" outlineLevel="0" collapsed="false">
      <c r="A162" s="5" t="n">
        <v>97</v>
      </c>
      <c r="B162" s="35" t="n">
        <v>-0.85586</v>
      </c>
      <c r="C162" s="35" t="n">
        <v>-0.37715</v>
      </c>
      <c r="D162" s="35" t="n">
        <v>1.66594</v>
      </c>
      <c r="E162" s="35" t="n">
        <v>-0.36332</v>
      </c>
      <c r="F162" s="31" t="n">
        <f aca="false">SUMPRODUCT($B$27:$E$27,B162:E162)</f>
        <v>-0.85586</v>
      </c>
      <c r="G162" s="31" t="n">
        <f aca="false">SUMPRODUCT($B$28:$E$28,B162:E162)</f>
        <v>-0.579138917255532</v>
      </c>
      <c r="H162" s="31" t="n">
        <f aca="false">SUMPRODUCT($B$29:$E$29,B162:E162)</f>
        <v>1.70081332327636</v>
      </c>
      <c r="I162" s="31" t="n">
        <f aca="false">SUMPRODUCT($B$30:$E$30,B162:E162)</f>
        <v>-1.03046953074089</v>
      </c>
      <c r="J162" s="31" t="n">
        <f aca="false">NORMSDIST(F162)</f>
        <v>0.196037611253875</v>
      </c>
      <c r="K162" s="31" t="n">
        <f aca="false">NORMSDIST(G162)</f>
        <v>0.281247721208069</v>
      </c>
      <c r="L162" s="31" t="n">
        <f aca="false">NORMSDIST(H162)</f>
        <v>0.955510976680122</v>
      </c>
      <c r="M162" s="31" t="n">
        <f aca="false">NORMSDIST(I162)</f>
        <v>0.151394824109202</v>
      </c>
      <c r="N162" s="28" t="n">
        <f aca="false">$C$61+J162*($E$61-$C$61)</f>
        <v>38.9207522250775</v>
      </c>
      <c r="O162" s="32" t="n">
        <f aca="false">$G$61+K162*($I$61-$G$61)</f>
        <v>1.14062386060403</v>
      </c>
      <c r="P162" s="32" t="n">
        <f aca="false">LOGINV(L162,LN($C$62),$E$62)</f>
        <v>1.83226732760314</v>
      </c>
      <c r="Q162" s="32" t="n">
        <f aca="false">$G$62+M162*($I$62-$G$62)</f>
        <v>4.18127670849141</v>
      </c>
    </row>
    <row r="163" customFormat="false" ht="15" hidden="false" customHeight="false" outlineLevel="0" collapsed="false">
      <c r="A163" s="5" t="n">
        <v>98</v>
      </c>
      <c r="B163" s="35" t="n">
        <v>1.18562</v>
      </c>
      <c r="C163" s="35" t="n">
        <v>0.82601</v>
      </c>
      <c r="D163" s="35" t="n">
        <v>0.72928</v>
      </c>
      <c r="E163" s="35" t="n">
        <v>0.80302</v>
      </c>
      <c r="F163" s="31" t="n">
        <f aca="false">SUMPRODUCT($B$27:$E$27,B163:E163)</f>
        <v>1.18562</v>
      </c>
      <c r="G163" s="31" t="n">
        <f aca="false">SUMPRODUCT($B$28:$E$28,B163:E163)</f>
        <v>1.0961857434502</v>
      </c>
      <c r="H163" s="31" t="n">
        <f aca="false">SUMPRODUCT($B$29:$E$29,B163:E163)</f>
        <v>0.43746167043275</v>
      </c>
      <c r="I163" s="31" t="n">
        <f aca="false">SUMPRODUCT($B$30:$E$30,B163:E163)</f>
        <v>0.421688018565128</v>
      </c>
      <c r="J163" s="31" t="n">
        <f aca="false">NORMSDIST(F163)</f>
        <v>0.882113799826301</v>
      </c>
      <c r="K163" s="31" t="n">
        <f aca="false">NORMSDIST(G163)</f>
        <v>0.863501251352481</v>
      </c>
      <c r="L163" s="31" t="n">
        <f aca="false">NORMSDIST(H163)</f>
        <v>0.669111716135787</v>
      </c>
      <c r="M163" s="31" t="n">
        <f aca="false">NORMSDIST(I163)</f>
        <v>0.663373624519075</v>
      </c>
      <c r="N163" s="28" t="n">
        <f aca="false">$C$61+J163*($E$61-$C$61)</f>
        <v>52.642275996526</v>
      </c>
      <c r="O163" s="32" t="n">
        <f aca="false">$G$61+K163*($I$61-$G$61)</f>
        <v>1.43175062567624</v>
      </c>
      <c r="P163" s="32" t="n">
        <f aca="false">LOGINV(L163,LN($C$62),$E$62)</f>
        <v>1.25426366707471</v>
      </c>
      <c r="Q163" s="32" t="n">
        <f aca="false">$G$62+M163*($I$62-$G$62)</f>
        <v>6.48518131033584</v>
      </c>
    </row>
    <row r="164" customFormat="false" ht="15" hidden="false" customHeight="false" outlineLevel="0" collapsed="false">
      <c r="A164" s="5" t="n">
        <v>99</v>
      </c>
      <c r="B164" s="35" t="n">
        <v>-1.01428</v>
      </c>
      <c r="C164" s="35" t="n">
        <v>0.37345</v>
      </c>
      <c r="D164" s="35" t="n">
        <v>1.58841</v>
      </c>
      <c r="E164" s="35" t="n">
        <v>-0.6958</v>
      </c>
      <c r="F164" s="31" t="n">
        <f aca="false">SUMPRODUCT($B$27:$E$27,B164:E164)</f>
        <v>-1.01428</v>
      </c>
      <c r="G164" s="31" t="n">
        <f aca="false">SUMPRODUCT($B$28:$E$28,B164:E164)</f>
        <v>0.10802140766029</v>
      </c>
      <c r="H164" s="31" t="n">
        <f aca="false">SUMPRODUCT($B$29:$E$29,B164:E164)</f>
        <v>1.39453373682009</v>
      </c>
      <c r="I164" s="31" t="n">
        <f aca="false">SUMPRODUCT($B$30:$E$30,B164:E164)</f>
        <v>-1.2994777226133</v>
      </c>
      <c r="J164" s="31" t="n">
        <f aca="false">NORMSDIST(F164)</f>
        <v>0.155224582290747</v>
      </c>
      <c r="K164" s="31" t="n">
        <f aca="false">NORMSDIST(G164)</f>
        <v>0.543010644642938</v>
      </c>
      <c r="L164" s="31" t="n">
        <f aca="false">NORMSDIST(H164)</f>
        <v>0.918421755425949</v>
      </c>
      <c r="M164" s="31" t="n">
        <f aca="false">NORMSDIST(I164)</f>
        <v>0.0968900169129791</v>
      </c>
      <c r="N164" s="28" t="n">
        <f aca="false">$C$61+J164*($E$61-$C$61)</f>
        <v>38.1044916458149</v>
      </c>
      <c r="O164" s="32" t="n">
        <f aca="false">$G$61+K164*($I$61-$G$61)</f>
        <v>1.27150532232147</v>
      </c>
      <c r="P164" s="32" t="n">
        <f aca="false">LOGINV(L164,LN($C$62),$E$62)</f>
        <v>1.67141454502927</v>
      </c>
      <c r="Q164" s="32" t="n">
        <f aca="false">$G$62+M164*($I$62-$G$62)</f>
        <v>3.93600507610841</v>
      </c>
    </row>
    <row r="165" customFormat="false" ht="15" hidden="false" customHeight="false" outlineLevel="0" collapsed="false">
      <c r="A165" s="5" t="n">
        <v>100</v>
      </c>
      <c r="B165" s="35" t="n">
        <v>-0.04711</v>
      </c>
      <c r="C165" s="35" t="n">
        <v>-0.68916</v>
      </c>
      <c r="D165" s="35" t="n">
        <v>0.31701</v>
      </c>
      <c r="E165" s="35" t="n">
        <v>-1.07853</v>
      </c>
      <c r="F165" s="31" t="n">
        <f aca="false">SUMPRODUCT($B$27:$E$27,B165:E165)</f>
        <v>-0.04711</v>
      </c>
      <c r="G165" s="31" t="n">
        <f aca="false">SUMPRODUCT($B$28:$E$28,B165:E165)</f>
        <v>-0.679053800718076</v>
      </c>
      <c r="H165" s="31" t="n">
        <f aca="false">SUMPRODUCT($B$29:$E$29,B165:E165)</f>
        <v>0.514938083378003</v>
      </c>
      <c r="I165" s="31" t="n">
        <f aca="false">SUMPRODUCT($B$30:$E$30,B165:E165)</f>
        <v>-1.11180774775353</v>
      </c>
      <c r="J165" s="31" t="n">
        <f aca="false">NORMSDIST(F165)</f>
        <v>0.481212778670371</v>
      </c>
      <c r="K165" s="31" t="n">
        <f aca="false">NORMSDIST(G165)</f>
        <v>0.24855188678223</v>
      </c>
      <c r="L165" s="31" t="n">
        <f aca="false">NORMSDIST(H165)</f>
        <v>0.696701856269755</v>
      </c>
      <c r="M165" s="31" t="n">
        <f aca="false">NORMSDIST(I165)</f>
        <v>0.13311040996474</v>
      </c>
      <c r="N165" s="28" t="n">
        <f aca="false">$C$61+J165*($E$61-$C$61)</f>
        <v>44.6242555734074</v>
      </c>
      <c r="O165" s="32" t="n">
        <f aca="false">$G$61+K165*($I$61-$G$61)</f>
        <v>1.12427594339112</v>
      </c>
      <c r="P165" s="32" t="n">
        <f aca="false">LOGINV(L165,LN($C$62),$E$62)</f>
        <v>1.28375785985673</v>
      </c>
      <c r="Q165" s="32" t="n">
        <f aca="false">$G$62+M165*($I$62-$G$62)</f>
        <v>4.09899684484133</v>
      </c>
    </row>
    <row r="166" customFormat="false" ht="15" hidden="false" customHeight="false" outlineLevel="0" collapsed="false">
      <c r="A166" s="5" t="n">
        <v>101</v>
      </c>
      <c r="B166" s="35" t="n">
        <v>1.60968</v>
      </c>
      <c r="C166" s="35" t="n">
        <v>-0.37683</v>
      </c>
      <c r="D166" s="35" t="n">
        <v>-1.54266</v>
      </c>
      <c r="E166" s="35" t="n">
        <v>1.79079</v>
      </c>
      <c r="F166" s="31" t="n">
        <f aca="false">SUMPRODUCT($B$27:$E$27,B166:E166)</f>
        <v>1.60968</v>
      </c>
      <c r="G166" s="31" t="n">
        <f aca="false">SUMPRODUCT($B$28:$E$28,B166:E166)</f>
        <v>0.0375559214121647</v>
      </c>
      <c r="H166" s="31" t="n">
        <f aca="false">SUMPRODUCT($B$29:$E$29,B166:E166)</f>
        <v>-1.34998787869742</v>
      </c>
      <c r="I166" s="31" t="n">
        <f aca="false">SUMPRODUCT($B$30:$E$30,B166:E166)</f>
        <v>2.27360367622283</v>
      </c>
      <c r="J166" s="31" t="n">
        <f aca="false">NORMSDIST(F166)</f>
        <v>0.946266133327999</v>
      </c>
      <c r="K166" s="31" t="n">
        <f aca="false">NORMSDIST(G166)</f>
        <v>0.51497912363742</v>
      </c>
      <c r="L166" s="31" t="n">
        <f aca="false">NORMSDIST(H166)</f>
        <v>0.0885099355081473</v>
      </c>
      <c r="M166" s="31" t="n">
        <f aca="false">NORMSDIST(I166)</f>
        <v>0.988505086881994</v>
      </c>
      <c r="N166" s="28" t="n">
        <f aca="false">$C$61+J166*($E$61-$C$61)</f>
        <v>53.92532266656</v>
      </c>
      <c r="O166" s="32" t="n">
        <f aca="false">$G$61+K166*($I$61-$G$61)</f>
        <v>1.25748956181871</v>
      </c>
      <c r="P166" s="32" t="n">
        <f aca="false">LOGINV(L166,LN($C$62),$E$62)</f>
        <v>0.733677159876326</v>
      </c>
      <c r="Q166" s="32" t="n">
        <f aca="false">$G$62+M166*($I$62-$G$62)</f>
        <v>7.94827289096897</v>
      </c>
    </row>
    <row r="167" customFormat="false" ht="15" hidden="false" customHeight="false" outlineLevel="0" collapsed="false">
      <c r="A167" s="5" t="n">
        <v>102</v>
      </c>
      <c r="B167" s="35" t="n">
        <v>0.97052</v>
      </c>
      <c r="C167" s="35" t="n">
        <v>0.51851</v>
      </c>
      <c r="D167" s="35" t="n">
        <v>0.53259</v>
      </c>
      <c r="E167" s="35" t="n">
        <v>-0.3578</v>
      </c>
      <c r="F167" s="31" t="n">
        <f aca="false">SUMPRODUCT($B$27:$E$27,B167:E167)</f>
        <v>0.97052</v>
      </c>
      <c r="G167" s="31" t="n">
        <f aca="false">SUMPRODUCT($B$28:$E$28,B167:E167)</f>
        <v>0.744675148710502</v>
      </c>
      <c r="H167" s="31" t="n">
        <f aca="false">SUMPRODUCT($B$29:$E$29,B167:E167)</f>
        <v>0.345726343638373</v>
      </c>
      <c r="I167" s="31" t="n">
        <f aca="false">SUMPRODUCT($B$30:$E$30,B167:E167)</f>
        <v>-0.548657867286217</v>
      </c>
      <c r="J167" s="31" t="n">
        <f aca="false">NORMSDIST(F167)</f>
        <v>0.834106319630707</v>
      </c>
      <c r="K167" s="31" t="n">
        <f aca="false">NORMSDIST(G167)</f>
        <v>0.77176593698919</v>
      </c>
      <c r="L167" s="31" t="n">
        <f aca="false">NORMSDIST(H167)</f>
        <v>0.63522580781637</v>
      </c>
      <c r="M167" s="31" t="n">
        <f aca="false">NORMSDIST(I167)</f>
        <v>0.291620132740424</v>
      </c>
      <c r="N167" s="28" t="n">
        <f aca="false">$C$61+J167*($E$61-$C$61)</f>
        <v>51.6821263926141</v>
      </c>
      <c r="O167" s="32" t="n">
        <f aca="false">$G$61+K167*($I$61-$G$61)</f>
        <v>1.3858829684946</v>
      </c>
      <c r="P167" s="32" t="n">
        <f aca="false">LOGINV(L167,LN($C$62),$E$62)</f>
        <v>1.22021623262408</v>
      </c>
      <c r="Q167" s="32" t="n">
        <f aca="false">$G$62+M167*($I$62-$G$62)</f>
        <v>4.81229059733191</v>
      </c>
    </row>
    <row r="168" customFormat="false" ht="15" hidden="false" customHeight="false" outlineLevel="0" collapsed="false">
      <c r="A168" s="5" t="n">
        <v>103</v>
      </c>
      <c r="B168" s="35" t="n">
        <v>-0.2233</v>
      </c>
      <c r="C168" s="35" t="n">
        <v>0.72402</v>
      </c>
      <c r="D168" s="35" t="n">
        <v>0.91762</v>
      </c>
      <c r="E168" s="35" t="n">
        <v>0.93261</v>
      </c>
      <c r="F168" s="31" t="n">
        <f aca="false">SUMPRODUCT($B$27:$E$27,B168:E168)</f>
        <v>-0.2233</v>
      </c>
      <c r="G168" s="31" t="n">
        <f aca="false">SUMPRODUCT($B$28:$E$28,B168:E168)</f>
        <v>0.645204350580274</v>
      </c>
      <c r="H168" s="31" t="n">
        <f aca="false">SUMPRODUCT($B$29:$E$29,B168:E168)</f>
        <v>0.648133743893769</v>
      </c>
      <c r="I168" s="31" t="n">
        <f aca="false">SUMPRODUCT($B$30:$E$30,B168:E168)</f>
        <v>0.460016619463938</v>
      </c>
      <c r="J168" s="31" t="n">
        <f aca="false">NORMSDIST(F168)</f>
        <v>0.411651013632593</v>
      </c>
      <c r="K168" s="31" t="n">
        <f aca="false">NORMSDIST(G168)</f>
        <v>0.74060261639031</v>
      </c>
      <c r="L168" s="31" t="n">
        <f aca="false">NORMSDIST(H168)</f>
        <v>0.74155077467071</v>
      </c>
      <c r="M168" s="31" t="n">
        <f aca="false">NORMSDIST(I168)</f>
        <v>0.677247854291102</v>
      </c>
      <c r="N168" s="28" t="n">
        <f aca="false">$C$61+J168*($E$61-$C$61)</f>
        <v>43.2330202726519</v>
      </c>
      <c r="O168" s="32" t="n">
        <f aca="false">$G$61+K168*($I$61-$G$61)</f>
        <v>1.37030130819515</v>
      </c>
      <c r="P168" s="32" t="n">
        <f aca="false">LOGINV(L168,LN($C$62),$E$62)</f>
        <v>1.33609382771291</v>
      </c>
      <c r="Q168" s="32" t="n">
        <f aca="false">$G$62+M168*($I$62-$G$62)</f>
        <v>6.54761534430996</v>
      </c>
    </row>
    <row r="169" customFormat="false" ht="15" hidden="false" customHeight="false" outlineLevel="0" collapsed="false">
      <c r="A169" s="5" t="n">
        <v>104</v>
      </c>
      <c r="B169" s="35" t="n">
        <v>0.21255</v>
      </c>
      <c r="C169" s="35" t="n">
        <v>-0.46639</v>
      </c>
      <c r="D169" s="35" t="n">
        <v>-0.19209</v>
      </c>
      <c r="E169" s="35" t="n">
        <v>1.1096</v>
      </c>
      <c r="F169" s="31" t="n">
        <f aca="false">SUMPRODUCT($B$27:$E$27,B169:E169)</f>
        <v>0.21255</v>
      </c>
      <c r="G169" s="31" t="n">
        <f aca="false">SUMPRODUCT($B$28:$E$28,B169:E169)</f>
        <v>-0.398442675709419</v>
      </c>
      <c r="H169" s="31" t="n">
        <f aca="false">SUMPRODUCT($B$29:$E$29,B169:E169)</f>
        <v>-0.0381314308128311</v>
      </c>
      <c r="I169" s="31" t="n">
        <f aca="false">SUMPRODUCT($B$30:$E$30,B169:E169)</f>
        <v>1.08744016155879</v>
      </c>
      <c r="J169" s="31" t="n">
        <f aca="false">NORMSDIST(F169)</f>
        <v>0.584161012797256</v>
      </c>
      <c r="K169" s="31" t="n">
        <f aca="false">NORMSDIST(G169)</f>
        <v>0.345151952859924</v>
      </c>
      <c r="L169" s="31" t="n">
        <f aca="false">NORMSDIST(H169)</f>
        <v>0.484791445680751</v>
      </c>
      <c r="M169" s="31" t="n">
        <f aca="false">NORMSDIST(I169)</f>
        <v>0.861578834900642</v>
      </c>
      <c r="N169" s="28" t="n">
        <f aca="false">$C$61+J169*($E$61-$C$61)</f>
        <v>46.6832202559451</v>
      </c>
      <c r="O169" s="32" t="n">
        <f aca="false">$G$61+K169*($I$61-$G$61)</f>
        <v>1.17257597642996</v>
      </c>
      <c r="P169" s="32" t="n">
        <f aca="false">LOGINV(L169,LN($C$62),$E$62)</f>
        <v>1.08748832746815</v>
      </c>
      <c r="Q169" s="32" t="n">
        <f aca="false">$G$62+M169*($I$62-$G$62)</f>
        <v>7.37710475705289</v>
      </c>
    </row>
    <row r="170" customFormat="false" ht="15" hidden="false" customHeight="false" outlineLevel="0" collapsed="false">
      <c r="A170" s="5" t="n">
        <v>105</v>
      </c>
      <c r="B170" s="35" t="n">
        <v>1.43992</v>
      </c>
      <c r="C170" s="35" t="n">
        <v>-0.34131</v>
      </c>
      <c r="D170" s="35" t="n">
        <v>-0.4773</v>
      </c>
      <c r="E170" s="35" t="n">
        <v>1.24755</v>
      </c>
      <c r="F170" s="31" t="n">
        <f aca="false">SUMPRODUCT($B$27:$E$27,B170:E170)</f>
        <v>1.43992</v>
      </c>
      <c r="G170" s="31" t="n">
        <f aca="false">SUMPRODUCT($B$28:$E$28,B170:E170)</f>
        <v>0.0295080135264866</v>
      </c>
      <c r="H170" s="31" t="n">
        <f aca="false">SUMPRODUCT($B$29:$E$29,B170:E170)</f>
        <v>-0.348060623676272</v>
      </c>
      <c r="I170" s="31" t="n">
        <f aca="false">SUMPRODUCT($B$30:$E$30,B170:E170)</f>
        <v>1.33257692300214</v>
      </c>
      <c r="J170" s="31" t="n">
        <f aca="false">NORMSDIST(F170)</f>
        <v>0.925054983016595</v>
      </c>
      <c r="K170" s="31" t="n">
        <f aca="false">NORMSDIST(G170)</f>
        <v>0.511770286072061</v>
      </c>
      <c r="L170" s="31" t="n">
        <f aca="false">NORMSDIST(H170)</f>
        <v>0.363897327654041</v>
      </c>
      <c r="M170" s="31" t="n">
        <f aca="false">NORMSDIST(I170)</f>
        <v>0.908664658790401</v>
      </c>
      <c r="N170" s="28" t="n">
        <f aca="false">$C$61+J170*($E$61-$C$61)</f>
        <v>53.5010996603319</v>
      </c>
      <c r="O170" s="32" t="n">
        <f aca="false">$G$61+K170*($I$61-$G$61)</f>
        <v>1.25588514303603</v>
      </c>
      <c r="P170" s="32" t="n">
        <f aca="false">LOGINV(L170,LN($C$62),$E$62)</f>
        <v>0.990933344959132</v>
      </c>
      <c r="Q170" s="32" t="n">
        <f aca="false">$G$62+M170*($I$62-$G$62)</f>
        <v>7.5889909645568</v>
      </c>
    </row>
    <row r="171" customFormat="false" ht="15" hidden="false" customHeight="false" outlineLevel="0" collapsed="false">
      <c r="A171" s="5" t="n">
        <v>106</v>
      </c>
      <c r="B171" s="35" t="n">
        <v>0.72365</v>
      </c>
      <c r="C171" s="35" t="n">
        <v>0.69726</v>
      </c>
      <c r="D171" s="35" t="n">
        <v>-1.31233</v>
      </c>
      <c r="E171" s="35" t="n">
        <v>-0.37376</v>
      </c>
      <c r="F171" s="31" t="n">
        <f aca="false">SUMPRODUCT($B$27:$E$27,B171:E171)</f>
        <v>0.72365</v>
      </c>
      <c r="G171" s="31" t="n">
        <f aca="false">SUMPRODUCT($B$28:$E$28,B171:E171)</f>
        <v>0.856031591994146</v>
      </c>
      <c r="H171" s="31" t="n">
        <f aca="false">SUMPRODUCT($B$29:$E$29,B171:E171)</f>
        <v>-1.46378722930382</v>
      </c>
      <c r="I171" s="31" t="n">
        <f aca="false">SUMPRODUCT($B$30:$E$30,B171:E171)</f>
        <v>0.213026924492705</v>
      </c>
      <c r="J171" s="31" t="n">
        <f aca="false">NORMSDIST(F171)</f>
        <v>0.765359681638516</v>
      </c>
      <c r="K171" s="31" t="n">
        <f aca="false">NORMSDIST(G171)</f>
        <v>0.804009847424118</v>
      </c>
      <c r="L171" s="31" t="n">
        <f aca="false">NORMSDIST(H171)</f>
        <v>0.0716260464275635</v>
      </c>
      <c r="M171" s="31" t="n">
        <f aca="false">NORMSDIST(I171)</f>
        <v>0.58434701902861</v>
      </c>
      <c r="N171" s="28" t="n">
        <f aca="false">$C$61+J171*($E$61-$C$61)</f>
        <v>50.3071936327703</v>
      </c>
      <c r="O171" s="32" t="n">
        <f aca="false">$G$61+K171*($I$61-$G$61)</f>
        <v>1.40200492371206</v>
      </c>
      <c r="P171" s="32" t="n">
        <f aca="false">LOGINV(L171,LN($C$62),$E$62)</f>
        <v>0.709052300224301</v>
      </c>
      <c r="Q171" s="32" t="n">
        <f aca="false">$G$62+M171*($I$62-$G$62)</f>
        <v>6.12956158562875</v>
      </c>
    </row>
    <row r="172" customFormat="false" ht="15" hidden="false" customHeight="false" outlineLevel="0" collapsed="false">
      <c r="A172" s="5" t="n">
        <v>107</v>
      </c>
      <c r="B172" s="35" t="n">
        <v>-0.515</v>
      </c>
      <c r="C172" s="35" t="n">
        <v>0.2079</v>
      </c>
      <c r="D172" s="35" t="n">
        <v>-1.68494</v>
      </c>
      <c r="E172" s="35" t="n">
        <v>1.27175</v>
      </c>
      <c r="F172" s="31" t="n">
        <f aca="false">SUMPRODUCT($B$27:$E$27,B172:E172)</f>
        <v>-0.515</v>
      </c>
      <c r="G172" s="31" t="n">
        <f aca="false">SUMPRODUCT($B$28:$E$28,B172:E172)</f>
        <v>0.0725483094191305</v>
      </c>
      <c r="H172" s="31" t="n">
        <f aca="false">SUMPRODUCT($B$29:$E$29,B172:E172)</f>
        <v>-1.6664381225412</v>
      </c>
      <c r="I172" s="31" t="n">
        <f aca="false">SUMPRODUCT($B$30:$E$30,B172:E172)</f>
        <v>1.86258908956737</v>
      </c>
      <c r="J172" s="31" t="n">
        <f aca="false">NORMSDIST(F172)</f>
        <v>0.30327651000214</v>
      </c>
      <c r="K172" s="31" t="n">
        <f aca="false">NORMSDIST(G172)</f>
        <v>0.528917219316374</v>
      </c>
      <c r="L172" s="31" t="n">
        <f aca="false">NORMSDIST(H172)</f>
        <v>0.0478130915187985</v>
      </c>
      <c r="M172" s="31" t="n">
        <f aca="false">NORMSDIST(I172)</f>
        <v>0.968739949731047</v>
      </c>
      <c r="N172" s="28" t="n">
        <f aca="false">$C$61+J172*($E$61-$C$61)</f>
        <v>41.0655302000428</v>
      </c>
      <c r="O172" s="32" t="n">
        <f aca="false">$G$61+K172*($I$61-$G$61)</f>
        <v>1.26445860965819</v>
      </c>
      <c r="P172" s="32" t="n">
        <f aca="false">LOGINV(L172,LN($C$62),$E$62)</f>
        <v>0.667229471528454</v>
      </c>
      <c r="Q172" s="32" t="n">
        <f aca="false">$G$62+M172*($I$62-$G$62)</f>
        <v>7.85932977378971</v>
      </c>
    </row>
    <row r="173" customFormat="false" ht="15" hidden="false" customHeight="false" outlineLevel="0" collapsed="false">
      <c r="A173" s="5" t="n">
        <v>108</v>
      </c>
      <c r="B173" s="35" t="n">
        <v>0.30013</v>
      </c>
      <c r="C173" s="35" t="n">
        <v>0.43484</v>
      </c>
      <c r="D173" s="35" t="n">
        <v>-1.18414</v>
      </c>
      <c r="E173" s="35" t="n">
        <v>-0.02642</v>
      </c>
      <c r="F173" s="31" t="n">
        <f aca="false">SUMPRODUCT($B$27:$E$27,B173:E173)</f>
        <v>0.30013</v>
      </c>
      <c r="G173" s="31" t="n">
        <f aca="false">SUMPRODUCT($B$28:$E$28,B173:E173)</f>
        <v>0.496064519566208</v>
      </c>
      <c r="H173" s="31" t="n">
        <f aca="false">SUMPRODUCT($B$29:$E$29,B173:E173)</f>
        <v>-1.26059770551134</v>
      </c>
      <c r="I173" s="31" t="n">
        <f aca="false">SUMPRODUCT($B$30:$E$30,B173:E173)</f>
        <v>0.474203261690819</v>
      </c>
      <c r="J173" s="31" t="n">
        <f aca="false">NORMSDIST(F173)</f>
        <v>0.617961001638017</v>
      </c>
      <c r="K173" s="31" t="n">
        <f aca="false">NORMSDIST(G173)</f>
        <v>0.690075554558874</v>
      </c>
      <c r="L173" s="31" t="n">
        <f aca="false">NORMSDIST(H173)</f>
        <v>0.103726912875079</v>
      </c>
      <c r="M173" s="31" t="n">
        <f aca="false">NORMSDIST(I173)</f>
        <v>0.682322516160615</v>
      </c>
      <c r="N173" s="28" t="n">
        <f aca="false">$C$61+J173*($E$61-$C$61)</f>
        <v>47.3592200327604</v>
      </c>
      <c r="O173" s="32" t="n">
        <f aca="false">$G$61+K173*($I$61-$G$61)</f>
        <v>1.34503777727944</v>
      </c>
      <c r="P173" s="32" t="n">
        <f aca="false">LOGINV(L173,LN($C$62),$E$62)</f>
        <v>0.753618406053888</v>
      </c>
      <c r="Q173" s="32" t="n">
        <f aca="false">$G$62+M173*($I$62-$G$62)</f>
        <v>6.57045132272277</v>
      </c>
    </row>
    <row r="174" customFormat="false" ht="15" hidden="false" customHeight="false" outlineLevel="0" collapsed="false">
      <c r="A174" s="5" t="n">
        <v>109</v>
      </c>
      <c r="B174" s="35" t="n">
        <v>1.33465</v>
      </c>
      <c r="C174" s="35" t="n">
        <v>-1.5697</v>
      </c>
      <c r="D174" s="35" t="n">
        <v>0.30577</v>
      </c>
      <c r="E174" s="35" t="n">
        <v>0.6988</v>
      </c>
      <c r="F174" s="31" t="n">
        <f aca="false">SUMPRODUCT($B$27:$E$27,B174:E174)</f>
        <v>1.33465</v>
      </c>
      <c r="G174" s="31" t="n">
        <f aca="false">SUMPRODUCT($B$28:$E$28,B174:E174)</f>
        <v>-1.18619298963545</v>
      </c>
      <c r="H174" s="31" t="n">
        <f aca="false">SUMPRODUCT($B$29:$E$29,B174:E174)</f>
        <v>0.777076553831416</v>
      </c>
      <c r="I174" s="31" t="n">
        <f aca="false">SUMPRODUCT($B$30:$E$30,B174:E174)</f>
        <v>0.505311802438936</v>
      </c>
      <c r="J174" s="31" t="n">
        <f aca="false">NORMSDIST(F174)</f>
        <v>0.909004537367893</v>
      </c>
      <c r="K174" s="31" t="n">
        <f aca="false">NORMSDIST(G174)</f>
        <v>0.117773047048297</v>
      </c>
      <c r="L174" s="31" t="n">
        <f aca="false">NORMSDIST(H174)</f>
        <v>0.781443197021435</v>
      </c>
      <c r="M174" s="31" t="n">
        <f aca="false">NORMSDIST(I174)</f>
        <v>0.693330072753414</v>
      </c>
      <c r="N174" s="28" t="n">
        <f aca="false">$C$61+J174*($E$61-$C$61)</f>
        <v>53.1800907473579</v>
      </c>
      <c r="O174" s="32" t="n">
        <f aca="false">$G$61+K174*($I$61-$G$61)</f>
        <v>1.05888652352415</v>
      </c>
      <c r="P174" s="32" t="n">
        <f aca="false">LOGINV(L174,LN($C$62),$E$62)</f>
        <v>1.38879039096743</v>
      </c>
      <c r="Q174" s="32" t="n">
        <f aca="false">$G$62+M174*($I$62-$G$62)</f>
        <v>6.61998532739036</v>
      </c>
    </row>
    <row r="175" customFormat="false" ht="15" hidden="false" customHeight="false" outlineLevel="0" collapsed="false">
      <c r="A175" s="5" t="n">
        <v>110</v>
      </c>
      <c r="B175" s="35" t="n">
        <v>-0.69195</v>
      </c>
      <c r="C175" s="35" t="n">
        <v>0.81474</v>
      </c>
      <c r="D175" s="35" t="n">
        <v>-0.33007</v>
      </c>
      <c r="E175" s="35" t="n">
        <v>1.22977</v>
      </c>
      <c r="F175" s="31" t="n">
        <f aca="false">SUMPRODUCT($B$27:$E$27,B175:E175)</f>
        <v>-0.69195</v>
      </c>
      <c r="G175" s="31" t="n">
        <f aca="false">SUMPRODUCT($B$28:$E$28,B175:E175)</f>
        <v>0.615881112872258</v>
      </c>
      <c r="H175" s="31" t="n">
        <f aca="false">SUMPRODUCT($B$29:$E$29,B175:E175)</f>
        <v>-0.566264929513061</v>
      </c>
      <c r="I175" s="31" t="n">
        <f aca="false">SUMPRODUCT($B$30:$E$30,B175:E175)</f>
        <v>1.25450680977841</v>
      </c>
      <c r="J175" s="31" t="n">
        <f aca="false">NORMSDIST(F175)</f>
        <v>0.244484364637452</v>
      </c>
      <c r="K175" s="31" t="n">
        <f aca="false">NORMSDIST(G175)</f>
        <v>0.731013506067395</v>
      </c>
      <c r="L175" s="31" t="n">
        <f aca="false">NORMSDIST(H175)</f>
        <v>0.285606848613655</v>
      </c>
      <c r="M175" s="31" t="n">
        <f aca="false">NORMSDIST(I175)</f>
        <v>0.895171073936129</v>
      </c>
      <c r="N175" s="28" t="n">
        <f aca="false">$C$61+J175*($E$61-$C$61)</f>
        <v>39.889687292749</v>
      </c>
      <c r="O175" s="32" t="n">
        <f aca="false">$G$61+K175*($I$61-$G$61)</f>
        <v>1.3655067530337</v>
      </c>
      <c r="P175" s="32" t="n">
        <f aca="false">LOGINV(L175,LN($C$62),$E$62)</f>
        <v>0.928143152391946</v>
      </c>
      <c r="Q175" s="32" t="n">
        <f aca="false">$G$62+M175*($I$62-$G$62)</f>
        <v>7.52826983271258</v>
      </c>
    </row>
    <row r="176" customFormat="false" ht="15" hidden="false" customHeight="false" outlineLevel="0" collapsed="false">
      <c r="A176" s="5" t="n">
        <v>111</v>
      </c>
      <c r="B176" s="35" t="n">
        <v>0.52751</v>
      </c>
      <c r="C176" s="35" t="n">
        <v>0.22437</v>
      </c>
      <c r="D176" s="35" t="n">
        <v>2.00892</v>
      </c>
      <c r="E176" s="35" t="n">
        <v>0.8319</v>
      </c>
      <c r="F176" s="31" t="n">
        <f aca="false">SUMPRODUCT($B$27:$E$27,B176:E176)</f>
        <v>0.52751</v>
      </c>
      <c r="G176" s="31" t="n">
        <f aca="false">SUMPRODUCT($B$28:$E$28,B176:E176)</f>
        <v>0.34912281834714</v>
      </c>
      <c r="H176" s="31" t="n">
        <f aca="false">SUMPRODUCT($B$29:$E$29,B176:E176)</f>
        <v>1.84054082915128</v>
      </c>
      <c r="I176" s="31" t="n">
        <f aca="false">SUMPRODUCT($B$30:$E$30,B176:E176)</f>
        <v>-0.0904606871427607</v>
      </c>
      <c r="J176" s="31" t="n">
        <f aca="false">NORMSDIST(F176)</f>
        <v>0.701080263036975</v>
      </c>
      <c r="K176" s="31" t="n">
        <f aca="false">NORMSDIST(G176)</f>
        <v>0.636501446737575</v>
      </c>
      <c r="L176" s="31" t="n">
        <f aca="false">NORMSDIST(H176)</f>
        <v>0.967155562136085</v>
      </c>
      <c r="M176" s="31" t="n">
        <f aca="false">NORMSDIST(I176)</f>
        <v>0.463960566471093</v>
      </c>
      <c r="N176" s="28" t="n">
        <f aca="false">$C$61+J176*($E$61-$C$61)</f>
        <v>49.0216052607395</v>
      </c>
      <c r="O176" s="32" t="n">
        <f aca="false">$G$61+K176*($I$61-$G$61)</f>
        <v>1.31825072336879</v>
      </c>
      <c r="P176" s="32" t="n">
        <f aca="false">LOGINV(L176,LN($C$62),$E$62)</f>
        <v>1.91070527637938</v>
      </c>
      <c r="Q176" s="32" t="n">
        <f aca="false">$G$62+M176*($I$62-$G$62)</f>
        <v>5.58782254911992</v>
      </c>
    </row>
    <row r="177" customFormat="false" ht="15" hidden="false" customHeight="false" outlineLevel="0" collapsed="false">
      <c r="A177" s="5" t="n">
        <v>112</v>
      </c>
      <c r="B177" s="35" t="n">
        <v>1.30864</v>
      </c>
      <c r="C177" s="35" t="n">
        <v>-1.18952</v>
      </c>
      <c r="D177" s="35" t="n">
        <v>-0.64661</v>
      </c>
      <c r="E177" s="35" t="n">
        <v>0.83657</v>
      </c>
      <c r="F177" s="31" t="n">
        <f aca="false">SUMPRODUCT($B$27:$E$27,B177:E177)</f>
        <v>1.30864</v>
      </c>
      <c r="G177" s="31" t="n">
        <f aca="false">SUMPRODUCT($B$28:$E$28,B177:E177)</f>
        <v>-0.824587787495162</v>
      </c>
      <c r="H177" s="31" t="n">
        <f aca="false">SUMPRODUCT($B$29:$E$29,B177:E177)</f>
        <v>-0.246230477645123</v>
      </c>
      <c r="I177" s="31" t="n">
        <f aca="false">SUMPRODUCT($B$30:$E$30,B177:E177)</f>
        <v>1.03096579671157</v>
      </c>
      <c r="J177" s="31" t="n">
        <f aca="false">NORMSDIST(F177)</f>
        <v>0.904671837639923</v>
      </c>
      <c r="K177" s="31" t="n">
        <f aca="false">NORMSDIST(G177)</f>
        <v>0.204802828585937</v>
      </c>
      <c r="L177" s="31" t="n">
        <f aca="false">NORMSDIST(H177)</f>
        <v>0.402751911974185</v>
      </c>
      <c r="M177" s="31" t="n">
        <f aca="false">NORMSDIST(I177)</f>
        <v>0.848721570244975</v>
      </c>
      <c r="N177" s="28" t="n">
        <f aca="false">$C$61+J177*($E$61-$C$61)</f>
        <v>53.0934367527985</v>
      </c>
      <c r="O177" s="32" t="n">
        <f aca="false">$G$61+K177*($I$61-$G$61)</f>
        <v>1.10240141429297</v>
      </c>
      <c r="P177" s="32" t="n">
        <f aca="false">LOGINV(L177,LN($C$62),$E$62)</f>
        <v>1.02167254718311</v>
      </c>
      <c r="Q177" s="32" t="n">
        <f aca="false">$G$62+M177*($I$62-$G$62)</f>
        <v>7.31924706610239</v>
      </c>
    </row>
    <row r="178" customFormat="false" ht="15" hidden="false" customHeight="false" outlineLevel="0" collapsed="false">
      <c r="A178" s="5" t="n">
        <v>113</v>
      </c>
      <c r="B178" s="35" t="n">
        <v>0.90561</v>
      </c>
      <c r="C178" s="35" t="n">
        <v>-0.05574</v>
      </c>
      <c r="D178" s="35" t="n">
        <v>0.77973</v>
      </c>
      <c r="E178" s="35" t="n">
        <v>-1.05835</v>
      </c>
      <c r="F178" s="31" t="n">
        <f aca="false">SUMPRODUCT($B$27:$E$27,B178:E178)</f>
        <v>0.90561</v>
      </c>
      <c r="G178" s="31" t="n">
        <f aca="false">SUMPRODUCT($B$28:$E$28,B178:E178)</f>
        <v>0.1724324770706</v>
      </c>
      <c r="H178" s="31" t="n">
        <f aca="false">SUMPRODUCT($B$29:$E$29,B178:E178)</f>
        <v>0.758629228085904</v>
      </c>
      <c r="I178" s="31" t="n">
        <f aca="false">SUMPRODUCT($B$30:$E$30,B178:E178)</f>
        <v>-1.28816825209343</v>
      </c>
      <c r="J178" s="31" t="n">
        <f aca="false">NORMSDIST(F178)</f>
        <v>0.817428843021398</v>
      </c>
      <c r="K178" s="31" t="n">
        <f aca="false">NORMSDIST(G178)</f>
        <v>0.568451229230457</v>
      </c>
      <c r="L178" s="31" t="n">
        <f aca="false">NORMSDIST(H178)</f>
        <v>0.775962808314288</v>
      </c>
      <c r="M178" s="31" t="n">
        <f aca="false">NORMSDIST(I178)</f>
        <v>0.098843700424807</v>
      </c>
      <c r="N178" s="28" t="n">
        <f aca="false">$C$61+J178*($E$61-$C$61)</f>
        <v>51.348576860428</v>
      </c>
      <c r="O178" s="32" t="n">
        <f aca="false">$G$61+K178*($I$61-$G$61)</f>
        <v>1.28422561461523</v>
      </c>
      <c r="P178" s="32" t="n">
        <f aca="false">LOGINV(L178,LN($C$62),$E$62)</f>
        <v>1.38112577864934</v>
      </c>
      <c r="Q178" s="32" t="n">
        <f aca="false">$G$62+M178*($I$62-$G$62)</f>
        <v>3.94479665191163</v>
      </c>
    </row>
    <row r="179" customFormat="false" ht="15" hidden="false" customHeight="false" outlineLevel="0" collapsed="false">
      <c r="A179" s="5" t="n">
        <v>114</v>
      </c>
      <c r="B179" s="35" t="n">
        <v>0.21384</v>
      </c>
      <c r="C179" s="35" t="n">
        <v>-1.14728</v>
      </c>
      <c r="D179" s="35" t="n">
        <v>0.34057</v>
      </c>
      <c r="E179" s="35" t="n">
        <v>-0.48617</v>
      </c>
      <c r="F179" s="31" t="n">
        <f aca="false">SUMPRODUCT($B$27:$E$27,B179:E179)</f>
        <v>0.21384</v>
      </c>
      <c r="G179" s="31" t="n">
        <f aca="false">SUMPRODUCT($B$28:$E$28,B179:E179)</f>
        <v>-1.05738908335921</v>
      </c>
      <c r="H179" s="31" t="n">
        <f aca="false">SUMPRODUCT($B$29:$E$29,B179:E179)</f>
        <v>0.67928196610105</v>
      </c>
      <c r="I179" s="31" t="n">
        <f aca="false">SUMPRODUCT($B$30:$E$30,B179:E179)</f>
        <v>-0.584331498559963</v>
      </c>
      <c r="J179" s="31" t="n">
        <f aca="false">NORMSDIST(F179)</f>
        <v>0.584664084567324</v>
      </c>
      <c r="K179" s="31" t="n">
        <f aca="false">NORMSDIST(G179)</f>
        <v>0.145167025831368</v>
      </c>
      <c r="L179" s="31" t="n">
        <f aca="false">NORMSDIST(H179)</f>
        <v>0.751520389619971</v>
      </c>
      <c r="M179" s="31" t="n">
        <f aca="false">NORMSDIST(I179)</f>
        <v>0.279498652057999</v>
      </c>
      <c r="N179" s="28" t="n">
        <f aca="false">$C$61+J179*($E$61-$C$61)</f>
        <v>46.6932816913465</v>
      </c>
      <c r="O179" s="32" t="n">
        <f aca="false">$G$61+K179*($I$61-$G$61)</f>
        <v>1.07258351291568</v>
      </c>
      <c r="P179" s="32" t="n">
        <f aca="false">LOGINV(L179,LN($C$62),$E$62)</f>
        <v>1.3486374272931</v>
      </c>
      <c r="Q179" s="32" t="n">
        <f aca="false">$G$62+M179*($I$62-$G$62)</f>
        <v>4.75774393426099</v>
      </c>
    </row>
    <row r="180" customFormat="false" ht="15" hidden="false" customHeight="false" outlineLevel="0" collapsed="false">
      <c r="A180" s="5" t="n">
        <v>115</v>
      </c>
      <c r="B180" s="35" t="n">
        <v>-0.641</v>
      </c>
      <c r="C180" s="35" t="n">
        <v>0.0563</v>
      </c>
      <c r="D180" s="35" t="n">
        <v>1.81746</v>
      </c>
      <c r="E180" s="35" t="n">
        <v>-1.01176</v>
      </c>
      <c r="F180" s="31" t="n">
        <f aca="false">SUMPRODUCT($B$27:$E$27,B180:E180)</f>
        <v>-0.641</v>
      </c>
      <c r="G180" s="31" t="n">
        <f aca="false">SUMPRODUCT($B$28:$E$28,B180:E180)</f>
        <v>-0.105737759402131</v>
      </c>
      <c r="H180" s="31" t="n">
        <f aca="false">SUMPRODUCT($B$29:$E$29,B180:E180)</f>
        <v>1.71057732415313</v>
      </c>
      <c r="I180" s="31" t="n">
        <f aca="false">SUMPRODUCT($B$30:$E$30,B180:E180)</f>
        <v>-1.68247817309241</v>
      </c>
      <c r="J180" s="31" t="n">
        <f aca="false">NORMSDIST(F180)</f>
        <v>0.260761341480666</v>
      </c>
      <c r="K180" s="31" t="n">
        <f aca="false">NORMSDIST(G180)</f>
        <v>0.457895210299604</v>
      </c>
      <c r="L180" s="31" t="n">
        <f aca="false">NORMSDIST(H180)</f>
        <v>0.956420416024092</v>
      </c>
      <c r="M180" s="31" t="n">
        <f aca="false">NORMSDIST(I180)</f>
        <v>0.0462380769644371</v>
      </c>
      <c r="N180" s="28" t="n">
        <f aca="false">$C$61+J180*($E$61-$C$61)</f>
        <v>40.2152268296133</v>
      </c>
      <c r="O180" s="32" t="n">
        <f aca="false">$G$61+K180*($I$61-$G$61)</f>
        <v>1.2289476051498</v>
      </c>
      <c r="P180" s="32" t="n">
        <f aca="false">LOGINV(L180,LN($C$62),$E$62)</f>
        <v>1.83764227384489</v>
      </c>
      <c r="Q180" s="32" t="n">
        <f aca="false">$G$62+M180*($I$62-$G$62)</f>
        <v>3.70807134633997</v>
      </c>
    </row>
    <row r="181" customFormat="false" ht="15" hidden="false" customHeight="false" outlineLevel="0" collapsed="false">
      <c r="A181" s="5" t="n">
        <v>116</v>
      </c>
      <c r="B181" s="35" t="n">
        <v>-0.60175</v>
      </c>
      <c r="C181" s="35" t="n">
        <v>1.06766</v>
      </c>
      <c r="D181" s="35" t="n">
        <v>-0.42357</v>
      </c>
      <c r="E181" s="35" t="n">
        <v>1.76926</v>
      </c>
      <c r="F181" s="31" t="n">
        <f aca="false">SUMPRODUCT($B$27:$E$27,B181:E181)</f>
        <v>-0.60175</v>
      </c>
      <c r="G181" s="31" t="n">
        <f aca="false">SUMPRODUCT($B$28:$E$28,B181:E181)</f>
        <v>0.883319849852953</v>
      </c>
      <c r="H181" s="31" t="n">
        <f aca="false">SUMPRODUCT($B$29:$E$29,B181:E181)</f>
        <v>-0.733528110490439</v>
      </c>
      <c r="I181" s="31" t="n">
        <f aca="false">SUMPRODUCT($B$30:$E$30,B181:E181)</f>
        <v>1.78326699424426</v>
      </c>
      <c r="J181" s="31" t="n">
        <f aca="false">NORMSDIST(F181)</f>
        <v>0.273670281035404</v>
      </c>
      <c r="K181" s="31" t="n">
        <f aca="false">NORMSDIST(G181)</f>
        <v>0.811468259037831</v>
      </c>
      <c r="L181" s="31" t="n">
        <f aca="false">NORMSDIST(H181)</f>
        <v>0.231618194646329</v>
      </c>
      <c r="M181" s="31" t="n">
        <f aca="false">NORMSDIST(I181)</f>
        <v>0.962728574257834</v>
      </c>
      <c r="N181" s="28" t="n">
        <f aca="false">$C$61+J181*($E$61-$C$61)</f>
        <v>40.4734056207081</v>
      </c>
      <c r="O181" s="32" t="n">
        <f aca="false">$G$61+K181*($I$61-$G$61)</f>
        <v>1.40573412951892</v>
      </c>
      <c r="P181" s="32" t="n">
        <f aca="false">LOGINV(L181,LN($C$62),$E$62)</f>
        <v>0.882719096196881</v>
      </c>
      <c r="Q181" s="32" t="n">
        <f aca="false">$G$62+M181*($I$62-$G$62)</f>
        <v>7.83227858416025</v>
      </c>
    </row>
    <row r="182" customFormat="false" ht="15" hidden="false" customHeight="false" outlineLevel="0" collapsed="false">
      <c r="A182" s="5" t="n">
        <v>117</v>
      </c>
      <c r="B182" s="35" t="n">
        <v>0.22253</v>
      </c>
      <c r="C182" s="35" t="n">
        <v>0.09063</v>
      </c>
      <c r="D182" s="35" t="n">
        <v>0.35688</v>
      </c>
      <c r="E182" s="35" t="n">
        <v>1.74118</v>
      </c>
      <c r="F182" s="31" t="n">
        <f aca="false">SUMPRODUCT($B$27:$E$27,B182:E182)</f>
        <v>0.22253</v>
      </c>
      <c r="G182" s="31" t="n">
        <f aca="false">SUMPRODUCT($B$28:$E$28,B182:E182)</f>
        <v>0.143384620166695</v>
      </c>
      <c r="H182" s="31" t="n">
        <f aca="false">SUMPRODUCT($B$29:$E$29,B182:E182)</f>
        <v>0.311236951942722</v>
      </c>
      <c r="I182" s="31" t="n">
        <f aca="false">SUMPRODUCT($B$30:$E$30,B182:E182)</f>
        <v>1.429455081811</v>
      </c>
      <c r="J182" s="31" t="n">
        <f aca="false">NORMSDIST(F182)</f>
        <v>0.58804933897955</v>
      </c>
      <c r="K182" s="31" t="n">
        <f aca="false">NORMSDIST(G182)</f>
        <v>0.557006785602558</v>
      </c>
      <c r="L182" s="31" t="n">
        <f aca="false">NORMSDIST(H182)</f>
        <v>0.622189753268193</v>
      </c>
      <c r="M182" s="31" t="n">
        <f aca="false">NORMSDIST(I182)</f>
        <v>0.9235632617521</v>
      </c>
      <c r="N182" s="28" t="n">
        <f aca="false">$C$61+J182*($E$61-$C$61)</f>
        <v>46.760986779591</v>
      </c>
      <c r="O182" s="32" t="n">
        <f aca="false">$G$61+K182*($I$61-$G$61)</f>
        <v>1.27850339280128</v>
      </c>
      <c r="P182" s="32" t="n">
        <f aca="false">LOGINV(L182,LN($C$62),$E$62)</f>
        <v>1.20765596937458</v>
      </c>
      <c r="Q182" s="32" t="n">
        <f aca="false">$G$62+M182*($I$62-$G$62)</f>
        <v>7.65603467788445</v>
      </c>
    </row>
    <row r="183" customFormat="false" ht="15" hidden="false" customHeight="false" outlineLevel="0" collapsed="false">
      <c r="A183" s="5" t="n">
        <v>118</v>
      </c>
      <c r="B183" s="35" t="n">
        <v>0.65536</v>
      </c>
      <c r="C183" s="35" t="n">
        <v>0.51671</v>
      </c>
      <c r="D183" s="35" t="n">
        <v>0.25186</v>
      </c>
      <c r="E183" s="35" t="n">
        <v>-1.56242</v>
      </c>
      <c r="F183" s="31" t="n">
        <f aca="false">SUMPRODUCT($B$27:$E$27,B183:E183)</f>
        <v>0.65536</v>
      </c>
      <c r="G183" s="31" t="n">
        <f aca="false">SUMPRODUCT($B$28:$E$28,B183:E183)</f>
        <v>0.664142306204709</v>
      </c>
      <c r="H183" s="31" t="n">
        <f aca="false">SUMPRODUCT($B$29:$E$29,B183:E183)</f>
        <v>0.0793690163059994</v>
      </c>
      <c r="I183" s="31" t="n">
        <f aca="false">SUMPRODUCT($B$30:$E$30,B183:E183)</f>
        <v>-1.52338314722053</v>
      </c>
      <c r="J183" s="31" t="n">
        <f aca="false">NORMSDIST(F183)</f>
        <v>0.743882000641926</v>
      </c>
      <c r="K183" s="31" t="n">
        <f aca="false">NORMSDIST(G183)</f>
        <v>0.746700382465309</v>
      </c>
      <c r="L183" s="31" t="n">
        <f aca="false">NORMSDIST(H183)</f>
        <v>0.53163044385962</v>
      </c>
      <c r="M183" s="31" t="n">
        <f aca="false">NORMSDIST(I183)</f>
        <v>0.0638314379103804</v>
      </c>
      <c r="N183" s="28" t="n">
        <f aca="false">$C$61+J183*($E$61-$C$61)</f>
        <v>49.8776400128385</v>
      </c>
      <c r="O183" s="32" t="n">
        <f aca="false">$G$61+K183*($I$61-$G$61)</f>
        <v>1.37335019123265</v>
      </c>
      <c r="P183" s="32" t="n">
        <f aca="false">LOGINV(L183,LN($C$62),$E$62)</f>
        <v>1.12650608740386</v>
      </c>
      <c r="Q183" s="32" t="n">
        <f aca="false">$G$62+M183*($I$62-$G$62)</f>
        <v>3.78724147059671</v>
      </c>
    </row>
    <row r="184" customFormat="false" ht="15" hidden="false" customHeight="false" outlineLevel="0" collapsed="false">
      <c r="A184" s="5" t="n">
        <v>119</v>
      </c>
      <c r="B184" s="35" t="n">
        <v>-0.88527</v>
      </c>
      <c r="C184" s="35" t="n">
        <v>1.48334</v>
      </c>
      <c r="D184" s="35" t="n">
        <v>0.82188</v>
      </c>
      <c r="E184" s="35" t="n">
        <v>0.50606</v>
      </c>
      <c r="F184" s="31" t="n">
        <f aca="false">SUMPRODUCT($B$27:$E$27,B184:E184)</f>
        <v>-0.88527</v>
      </c>
      <c r="G184" s="31" t="n">
        <f aca="false">SUMPRODUCT($B$28:$E$28,B184:E184)</f>
        <v>1.21492027919083</v>
      </c>
      <c r="H184" s="31" t="n">
        <f aca="false">SUMPRODUCT($B$29:$E$29,B184:E184)</f>
        <v>0.321838493907975</v>
      </c>
      <c r="I184" s="31" t="n">
        <f aca="false">SUMPRODUCT($B$30:$E$30,B184:E184)</f>
        <v>0.113329283213578</v>
      </c>
      <c r="J184" s="31" t="n">
        <f aca="false">NORMSDIST(F184)</f>
        <v>0.18800551309725</v>
      </c>
      <c r="K184" s="31" t="n">
        <f aca="false">NORMSDIST(G184)</f>
        <v>0.88780175077292</v>
      </c>
      <c r="L184" s="31" t="n">
        <f aca="false">NORMSDIST(H184)</f>
        <v>0.626212474701053</v>
      </c>
      <c r="M184" s="31" t="n">
        <f aca="false">NORMSDIST(I184)</f>
        <v>0.545115248929973</v>
      </c>
      <c r="N184" s="28" t="n">
        <f aca="false">$C$61+J184*($E$61-$C$61)</f>
        <v>38.760110261945</v>
      </c>
      <c r="O184" s="32" t="n">
        <f aca="false">$G$61+K184*($I$61-$G$61)</f>
        <v>1.44390087538646</v>
      </c>
      <c r="P184" s="32" t="n">
        <f aca="false">LOGINV(L184,LN($C$62),$E$62)</f>
        <v>1.21150298841349</v>
      </c>
      <c r="Q184" s="32" t="n">
        <f aca="false">$G$62+M184*($I$62-$G$62)</f>
        <v>5.95301862018488</v>
      </c>
    </row>
    <row r="185" customFormat="false" ht="15" hidden="false" customHeight="false" outlineLevel="0" collapsed="false">
      <c r="A185" s="5" t="n">
        <v>120</v>
      </c>
      <c r="B185" s="35" t="n">
        <v>0.63706</v>
      </c>
      <c r="C185" s="35" t="n">
        <v>-0.54359</v>
      </c>
      <c r="D185" s="35" t="n">
        <v>0.33796</v>
      </c>
      <c r="E185" s="35" t="n">
        <v>-0.90079</v>
      </c>
      <c r="F185" s="31" t="n">
        <f aca="false">SUMPRODUCT($B$27:$E$27,B185:E185)</f>
        <v>0.63706</v>
      </c>
      <c r="G185" s="31" t="n">
        <f aca="false">SUMPRODUCT($B$28:$E$28,B185:E185)</f>
        <v>-0.367063754291223</v>
      </c>
      <c r="H185" s="31" t="n">
        <f aca="false">SUMPRODUCT($B$29:$E$29,B185:E185)</f>
        <v>0.489753901128442</v>
      </c>
      <c r="I185" s="31" t="n">
        <f aca="false">SUMPRODUCT($B$30:$E$30,B185:E185)</f>
        <v>-0.959376043941861</v>
      </c>
      <c r="J185" s="31" t="n">
        <f aca="false">NORMSDIST(F185)</f>
        <v>0.737957118958626</v>
      </c>
      <c r="K185" s="31" t="n">
        <f aca="false">NORMSDIST(G185)</f>
        <v>0.35678573145444</v>
      </c>
      <c r="L185" s="31" t="n">
        <f aca="false">NORMSDIST(H185)</f>
        <v>0.687845972508166</v>
      </c>
      <c r="M185" s="31" t="n">
        <f aca="false">NORMSDIST(I185)</f>
        <v>0.168684669502985</v>
      </c>
      <c r="N185" s="28" t="n">
        <f aca="false">$C$61+J185*($E$61-$C$61)</f>
        <v>49.7591423791725</v>
      </c>
      <c r="O185" s="32" t="n">
        <f aca="false">$G$61+K185*($I$61-$G$61)</f>
        <v>1.17839286572722</v>
      </c>
      <c r="P185" s="32" t="n">
        <f aca="false">LOGINV(L185,LN($C$62),$E$62)</f>
        <v>1.2740952898364</v>
      </c>
      <c r="Q185" s="32" t="n">
        <f aca="false">$G$62+M185*($I$62-$G$62)</f>
        <v>4.25908101276343</v>
      </c>
    </row>
    <row r="186" customFormat="false" ht="15" hidden="false" customHeight="false" outlineLevel="0" collapsed="false">
      <c r="A186" s="5" t="n">
        <v>121</v>
      </c>
      <c r="B186" s="35" t="n">
        <v>0.39136</v>
      </c>
      <c r="C186" s="35" t="n">
        <v>-0.71414</v>
      </c>
      <c r="D186" s="35" t="n">
        <v>-0.21382</v>
      </c>
      <c r="E186" s="35" t="n">
        <v>0.45341</v>
      </c>
      <c r="F186" s="31" t="n">
        <f aca="false">SUMPRODUCT($B$27:$E$27,B186:E186)</f>
        <v>0.39136</v>
      </c>
      <c r="G186" s="31" t="n">
        <f aca="false">SUMPRODUCT($B$28:$E$28,B186:E186)</f>
        <v>-0.593623081715141</v>
      </c>
      <c r="H186" s="31" t="n">
        <f aca="false">SUMPRODUCT($B$29:$E$29,B186:E186)</f>
        <v>0.0179704509681501</v>
      </c>
      <c r="I186" s="31" t="n">
        <f aca="false">SUMPRODUCT($B$30:$E$30,B186:E186)</f>
        <v>0.501287554781808</v>
      </c>
      <c r="J186" s="31" t="n">
        <f aca="false">NORMSDIST(F186)</f>
        <v>0.65223442270458</v>
      </c>
      <c r="K186" s="31" t="n">
        <f aca="false">NORMSDIST(G186)</f>
        <v>0.276382119741915</v>
      </c>
      <c r="L186" s="31" t="n">
        <f aca="false">NORMSDIST(H186)</f>
        <v>0.507168786842451</v>
      </c>
      <c r="M186" s="31" t="n">
        <f aca="false">NORMSDIST(I186)</f>
        <v>0.691915618661879</v>
      </c>
      <c r="N186" s="28" t="n">
        <f aca="false">$C$61+J186*($E$61-$C$61)</f>
        <v>48.0446884540916</v>
      </c>
      <c r="O186" s="32" t="n">
        <f aca="false">$G$61+K186*($I$61-$G$61)</f>
        <v>1.13819105987096</v>
      </c>
      <c r="P186" s="32" t="n">
        <f aca="false">LOGINV(L186,LN($C$62),$E$62)</f>
        <v>1.10594626297156</v>
      </c>
      <c r="Q186" s="32" t="n">
        <f aca="false">$G$62+M186*($I$62-$G$62)</f>
        <v>6.61362028397845</v>
      </c>
    </row>
    <row r="187" customFormat="false" ht="15" hidden="false" customHeight="false" outlineLevel="0" collapsed="false">
      <c r="A187" s="5" t="n">
        <v>122</v>
      </c>
      <c r="B187" s="35" t="n">
        <v>-0.32679</v>
      </c>
      <c r="C187" s="35" t="n">
        <v>0.64758</v>
      </c>
      <c r="D187" s="35" t="n">
        <v>0.45604</v>
      </c>
      <c r="E187" s="35" t="n">
        <v>0.35946</v>
      </c>
      <c r="F187" s="31" t="n">
        <f aca="false">SUMPRODUCT($B$27:$E$27,B187:E187)</f>
        <v>-0.32679</v>
      </c>
      <c r="G187" s="31" t="n">
        <f aca="false">SUMPRODUCT($B$28:$E$28,B187:E187)</f>
        <v>0.54531913883425</v>
      </c>
      <c r="H187" s="31" t="n">
        <f aca="false">SUMPRODUCT($B$29:$E$29,B187:E187)</f>
        <v>0.232952557678569</v>
      </c>
      <c r="I187" s="31" t="n">
        <f aca="false">SUMPRODUCT($B$30:$E$30,B187:E187)</f>
        <v>0.134244049589514</v>
      </c>
      <c r="J187" s="31" t="n">
        <f aca="false">NORMSDIST(F187)</f>
        <v>0.371913361701357</v>
      </c>
      <c r="K187" s="31" t="n">
        <f aca="false">NORMSDIST(G187)</f>
        <v>0.707232978371643</v>
      </c>
      <c r="L187" s="31" t="n">
        <f aca="false">NORMSDIST(H187)</f>
        <v>0.592100877113103</v>
      </c>
      <c r="M187" s="31" t="n">
        <f aca="false">NORMSDIST(I187)</f>
        <v>0.553395202702359</v>
      </c>
      <c r="N187" s="28" t="n">
        <f aca="false">$C$61+J187*($E$61-$C$61)</f>
        <v>42.4382672340271</v>
      </c>
      <c r="O187" s="32" t="n">
        <f aca="false">$G$61+K187*($I$61-$G$61)</f>
        <v>1.35361648918582</v>
      </c>
      <c r="P187" s="32" t="n">
        <f aca="false">LOGINV(L187,LN($C$62),$E$62)</f>
        <v>1.17962424002511</v>
      </c>
      <c r="Q187" s="32" t="n">
        <f aca="false">$G$62+M187*($I$62-$G$62)</f>
        <v>5.99027841216062</v>
      </c>
    </row>
    <row r="188" customFormat="false" ht="15" hidden="false" customHeight="false" outlineLevel="0" collapsed="false">
      <c r="A188" s="5" t="n">
        <v>123</v>
      </c>
      <c r="B188" s="35" t="n">
        <v>1.32441</v>
      </c>
      <c r="C188" s="35" t="n">
        <v>-1.47388</v>
      </c>
      <c r="D188" s="35" t="n">
        <v>-1.59628</v>
      </c>
      <c r="E188" s="35" t="n">
        <v>0.61624</v>
      </c>
      <c r="F188" s="31" t="n">
        <f aca="false">SUMPRODUCT($B$27:$E$27,B188:E188)</f>
        <v>1.32441</v>
      </c>
      <c r="G188" s="31" t="n">
        <f aca="false">SUMPRODUCT($B$28:$E$28,B188:E188)</f>
        <v>-1.09597567357705</v>
      </c>
      <c r="H188" s="31" t="n">
        <f aca="false">SUMPRODUCT($B$29:$E$29,B188:E188)</f>
        <v>-1.06106068230512</v>
      </c>
      <c r="I188" s="31" t="n">
        <f aca="false">SUMPRODUCT($B$30:$E$30,B188:E188)</f>
        <v>1.2306119556262</v>
      </c>
      <c r="J188" s="31" t="n">
        <f aca="false">NORMSDIST(F188)</f>
        <v>0.907316542375058</v>
      </c>
      <c r="K188" s="31" t="n">
        <f aca="false">NORMSDIST(G188)</f>
        <v>0.136544710199112</v>
      </c>
      <c r="L188" s="31" t="n">
        <f aca="false">NORMSDIST(H188)</f>
        <v>0.144331162278622</v>
      </c>
      <c r="M188" s="31" t="n">
        <f aca="false">NORMSDIST(I188)</f>
        <v>0.890765984223145</v>
      </c>
      <c r="N188" s="28" t="n">
        <f aca="false">$C$61+J188*($E$61-$C$61)</f>
        <v>53.1463308475012</v>
      </c>
      <c r="O188" s="32" t="n">
        <f aca="false">$G$61+K188*($I$61-$G$61)</f>
        <v>1.06827235509956</v>
      </c>
      <c r="P188" s="32" t="n">
        <f aca="false">LOGINV(L188,LN($C$62),$E$62)</f>
        <v>0.800108428488895</v>
      </c>
      <c r="Q188" s="32" t="n">
        <f aca="false">$G$62+M188*($I$62-$G$62)</f>
        <v>7.50844692900415</v>
      </c>
    </row>
    <row r="189" customFormat="false" ht="15" hidden="false" customHeight="false" outlineLevel="0" collapsed="false">
      <c r="A189" s="5" t="n">
        <v>124</v>
      </c>
      <c r="B189" s="35" t="n">
        <v>0.94079</v>
      </c>
      <c r="C189" s="35" t="n">
        <v>2.01164</v>
      </c>
      <c r="D189" s="35" t="n">
        <v>0.75626</v>
      </c>
      <c r="E189" s="35" t="n">
        <v>0.83021</v>
      </c>
      <c r="F189" s="31" t="n">
        <f aca="false">SUMPRODUCT($B$27:$E$27,B189:E189)</f>
        <v>0.94079</v>
      </c>
      <c r="G189" s="31" t="n">
        <f aca="false">SUMPRODUCT($B$28:$E$28,B189:E189)</f>
        <v>2.18295955464117</v>
      </c>
      <c r="H189" s="31" t="n">
        <f aca="false">SUMPRODUCT($B$29:$E$29,B189:E189)</f>
        <v>0.0957599420085693</v>
      </c>
      <c r="I189" s="31" t="n">
        <f aca="false">SUMPRODUCT($B$30:$E$30,B189:E189)</f>
        <v>0.435004170442926</v>
      </c>
      <c r="J189" s="31" t="n">
        <f aca="false">NORMSDIST(F189)</f>
        <v>0.826593756751571</v>
      </c>
      <c r="K189" s="31" t="n">
        <f aca="false">NORMSDIST(G189)</f>
        <v>0.985480605682836</v>
      </c>
      <c r="L189" s="31" t="n">
        <f aca="false">NORMSDIST(H189)</f>
        <v>0.538144383627727</v>
      </c>
      <c r="M189" s="31" t="n">
        <f aca="false">NORMSDIST(I189)</f>
        <v>0.668220299849783</v>
      </c>
      <c r="N189" s="28" t="n">
        <f aca="false">$C$61+J189*($E$61-$C$61)</f>
        <v>51.5318751350314</v>
      </c>
      <c r="O189" s="32" t="n">
        <f aca="false">$G$61+K189*($I$61-$G$61)</f>
        <v>1.49274030284142</v>
      </c>
      <c r="P189" s="32" t="n">
        <f aca="false">LOGINV(L189,LN($C$62),$E$62)</f>
        <v>1.13205907227378</v>
      </c>
      <c r="Q189" s="32" t="n">
        <f aca="false">$G$62+M189*($I$62-$G$62)</f>
        <v>6.50699134932402</v>
      </c>
    </row>
    <row r="190" customFormat="false" ht="15" hidden="false" customHeight="false" outlineLevel="0" collapsed="false">
      <c r="A190" s="5" t="n">
        <v>125</v>
      </c>
      <c r="B190" s="35" t="n">
        <v>-0.88308</v>
      </c>
      <c r="C190" s="35" t="n">
        <v>0.75262</v>
      </c>
      <c r="D190" s="35" t="n">
        <v>0.67384</v>
      </c>
      <c r="E190" s="35" t="n">
        <v>-1.05587</v>
      </c>
      <c r="F190" s="31" t="n">
        <f aca="false">SUMPRODUCT($B$27:$E$27,B190:E190)</f>
        <v>-0.88308</v>
      </c>
      <c r="G190" s="31" t="n">
        <f aca="false">SUMPRODUCT($B$28:$E$28,B190:E190)</f>
        <v>0.507951181505656</v>
      </c>
      <c r="H190" s="31" t="n">
        <f aca="false">SUMPRODUCT($B$29:$E$29,B190:E190)</f>
        <v>0.407488980005177</v>
      </c>
      <c r="I190" s="31" t="n">
        <f aca="false">SUMPRODUCT($B$30:$E$30,B190:E190)</f>
        <v>-1.24137014236608</v>
      </c>
      <c r="J190" s="31" t="n">
        <f aca="false">NORMSDIST(F190)</f>
        <v>0.188596524629708</v>
      </c>
      <c r="K190" s="31" t="n">
        <f aca="false">NORMSDIST(G190)</f>
        <v>0.694256210041735</v>
      </c>
      <c r="L190" s="31" t="n">
        <f aca="false">NORMSDIST(H190)</f>
        <v>0.658175556854303</v>
      </c>
      <c r="M190" s="31" t="n">
        <f aca="false">NORMSDIST(I190)</f>
        <v>0.107234521880376</v>
      </c>
      <c r="N190" s="28" t="n">
        <f aca="false">$C$61+J190*($E$61-$C$61)</f>
        <v>38.7719304925942</v>
      </c>
      <c r="O190" s="32" t="n">
        <f aca="false">$G$61+K190*($I$61-$G$61)</f>
        <v>1.34712810502087</v>
      </c>
      <c r="P190" s="32" t="n">
        <f aca="false">LOGINV(L190,LN($C$62),$E$62)</f>
        <v>1.24303612369259</v>
      </c>
      <c r="Q190" s="32" t="n">
        <f aca="false">$G$62+M190*($I$62-$G$62)</f>
        <v>3.98255534846169</v>
      </c>
    </row>
    <row r="191" customFormat="false" ht="15" hidden="false" customHeight="false" outlineLevel="0" collapsed="false">
      <c r="A191" s="5" t="n">
        <v>126</v>
      </c>
      <c r="B191" s="35" t="n">
        <v>-0.89632</v>
      </c>
      <c r="C191" s="35" t="n">
        <v>-0.11103</v>
      </c>
      <c r="D191" s="35" t="n">
        <v>0.28825</v>
      </c>
      <c r="E191" s="35" t="n">
        <v>-2.94479</v>
      </c>
      <c r="F191" s="31" t="n">
        <f aca="false">SUMPRODUCT($B$27:$E$27,B191:E191)</f>
        <v>-0.89632</v>
      </c>
      <c r="G191" s="31" t="n">
        <f aca="false">SUMPRODUCT($B$28:$E$28,B191:E191)</f>
        <v>-0.331584335232352</v>
      </c>
      <c r="H191" s="31" t="n">
        <f aca="false">SUMPRODUCT($B$29:$E$29,B191:E191)</f>
        <v>0.308466358585901</v>
      </c>
      <c r="I191" s="31" t="n">
        <f aca="false">SUMPRODUCT($B$30:$E$30,B191:E191)</f>
        <v>-2.7927763208975</v>
      </c>
      <c r="J191" s="31" t="n">
        <f aca="false">NORMSDIST(F191)</f>
        <v>0.185040940187257</v>
      </c>
      <c r="K191" s="31" t="n">
        <f aca="false">NORMSDIST(G191)</f>
        <v>0.370101574833272</v>
      </c>
      <c r="L191" s="31" t="n">
        <f aca="false">NORMSDIST(H191)</f>
        <v>0.621136252525725</v>
      </c>
      <c r="M191" s="31" t="n">
        <f aca="false">NORMSDIST(I191)</f>
        <v>0.00261289068282563</v>
      </c>
      <c r="N191" s="28" t="n">
        <f aca="false">$C$61+J191*($E$61-$C$61)</f>
        <v>38.7008188037451</v>
      </c>
      <c r="O191" s="32" t="n">
        <f aca="false">$G$61+K191*($I$61-$G$61)</f>
        <v>1.18505078741664</v>
      </c>
      <c r="P191" s="32" t="n">
        <f aca="false">LOGINV(L191,LN($C$62),$E$62)</f>
        <v>1.20665260933592</v>
      </c>
      <c r="Q191" s="32" t="n">
        <f aca="false">$G$62+M191*($I$62-$G$62)</f>
        <v>3.51175800807272</v>
      </c>
    </row>
    <row r="192" customFormat="false" ht="15" hidden="false" customHeight="false" outlineLevel="0" collapsed="false">
      <c r="A192" s="5" t="n">
        <v>127</v>
      </c>
      <c r="B192" s="35" t="n">
        <v>0.07031</v>
      </c>
      <c r="C192" s="35" t="n">
        <v>0.23085</v>
      </c>
      <c r="D192" s="35" t="n">
        <v>-0.17684</v>
      </c>
      <c r="E192" s="35" t="n">
        <v>0.26682</v>
      </c>
      <c r="F192" s="31" t="n">
        <f aca="false">SUMPRODUCT($B$27:$E$27,B192:E192)</f>
        <v>0.07031</v>
      </c>
      <c r="G192" s="31" t="n">
        <f aca="false">SUMPRODUCT($B$28:$E$28,B192:E192)</f>
        <v>0.241097051367996</v>
      </c>
      <c r="H192" s="31" t="n">
        <f aca="false">SUMPRODUCT($B$29:$E$29,B192:E192)</f>
        <v>-0.239663809002318</v>
      </c>
      <c r="I192" s="31" t="n">
        <f aca="false">SUMPRODUCT($B$30:$E$30,B192:E192)</f>
        <v>0.316455811386925</v>
      </c>
      <c r="J192" s="31" t="n">
        <f aca="false">NORMSDIST(F192)</f>
        <v>0.528026538321126</v>
      </c>
      <c r="K192" s="31" t="n">
        <f aca="false">NORMSDIST(G192)</f>
        <v>0.595260050974708</v>
      </c>
      <c r="L192" s="31" t="n">
        <f aca="false">NORMSDIST(H192)</f>
        <v>0.405295446773663</v>
      </c>
      <c r="M192" s="31" t="n">
        <f aca="false">NORMSDIST(I192)</f>
        <v>0.624171719798275</v>
      </c>
      <c r="N192" s="28" t="n">
        <f aca="false">$C$61+J192*($E$61-$C$61)</f>
        <v>45.5605307664225</v>
      </c>
      <c r="O192" s="32" t="n">
        <f aca="false">$G$61+K192*($I$61-$G$61)</f>
        <v>1.29763002548735</v>
      </c>
      <c r="P192" s="32" t="n">
        <f aca="false">LOGINV(L192,LN($C$62),$E$62)</f>
        <v>1.02368722651493</v>
      </c>
      <c r="Q192" s="32" t="n">
        <f aca="false">$G$62+M192*($I$62-$G$62)</f>
        <v>6.30877273909224</v>
      </c>
    </row>
    <row r="193" customFormat="false" ht="15" hidden="false" customHeight="false" outlineLevel="0" collapsed="false">
      <c r="A193" s="5" t="n">
        <v>128</v>
      </c>
      <c r="B193" s="35" t="n">
        <v>0.45591</v>
      </c>
      <c r="C193" s="35" t="n">
        <v>-1.01164</v>
      </c>
      <c r="D193" s="35" t="n">
        <v>0.41618</v>
      </c>
      <c r="E193" s="35" t="n">
        <v>-0.25131</v>
      </c>
      <c r="F193" s="31" t="n">
        <f aca="false">SUMPRODUCT($B$27:$E$27,B193:E193)</f>
        <v>0.45591</v>
      </c>
      <c r="G193" s="31" t="n">
        <f aca="false">SUMPRODUCT($B$28:$E$28,B193:E193)</f>
        <v>-0.865538718089318</v>
      </c>
      <c r="H193" s="31" t="n">
        <f aca="false">SUMPRODUCT($B$29:$E$29,B193:E193)</f>
        <v>0.709144616537724</v>
      </c>
      <c r="I193" s="31" t="n">
        <f aca="false">SUMPRODUCT($B$30:$E$30,B193:E193)</f>
        <v>-0.403076259722028</v>
      </c>
      <c r="J193" s="31" t="n">
        <f aca="false">NORMSDIST(F193)</f>
        <v>0.675772650874036</v>
      </c>
      <c r="K193" s="31" t="n">
        <f aca="false">NORMSDIST(G193)</f>
        <v>0.193371587249825</v>
      </c>
      <c r="L193" s="31" t="n">
        <f aca="false">NORMSDIST(H193)</f>
        <v>0.760882630948971</v>
      </c>
      <c r="M193" s="31" t="n">
        <f aca="false">NORMSDIST(I193)</f>
        <v>0.343446062305218</v>
      </c>
      <c r="N193" s="28" t="n">
        <f aca="false">$C$61+J193*($E$61-$C$61)</f>
        <v>48.5154530174807</v>
      </c>
      <c r="O193" s="32" t="n">
        <f aca="false">$G$61+K193*($I$61-$G$61)</f>
        <v>1.09668579362491</v>
      </c>
      <c r="P193" s="32" t="n">
        <f aca="false">LOGINV(L193,LN($C$62),$E$62)</f>
        <v>1.36077387651882</v>
      </c>
      <c r="Q193" s="32" t="n">
        <f aca="false">$G$62+M193*($I$62-$G$62)</f>
        <v>5.04550728037348</v>
      </c>
    </row>
    <row r="194" customFormat="false" ht="15" hidden="false" customHeight="false" outlineLevel="0" collapsed="false">
      <c r="A194" s="5" t="n">
        <v>129</v>
      </c>
      <c r="B194" s="35" t="n">
        <v>-0.94588</v>
      </c>
      <c r="C194" s="35" t="n">
        <v>0.20914</v>
      </c>
      <c r="D194" s="35" t="n">
        <v>1.48764</v>
      </c>
      <c r="E194" s="35" t="n">
        <v>-1.46012</v>
      </c>
      <c r="F194" s="31" t="n">
        <f aca="false">SUMPRODUCT($B$27:$E$27,B194:E194)</f>
        <v>-0.94588</v>
      </c>
      <c r="G194" s="31" t="n">
        <f aca="false">SUMPRODUCT($B$28:$E$28,B194:E194)</f>
        <v>-0.0339710657435452</v>
      </c>
      <c r="H194" s="31" t="n">
        <f aca="false">SUMPRODUCT($B$29:$E$29,B194:E194)</f>
        <v>1.34963230607492</v>
      </c>
      <c r="I194" s="31" t="n">
        <f aca="false">SUMPRODUCT($B$30:$E$30,B194:E194)</f>
        <v>-1.95047330925584</v>
      </c>
      <c r="J194" s="31" t="n">
        <f aca="false">NORMSDIST(F194)</f>
        <v>0.172104897763854</v>
      </c>
      <c r="K194" s="31" t="n">
        <f aca="false">NORMSDIST(G194)</f>
        <v>0.486450111785101</v>
      </c>
      <c r="L194" s="31" t="n">
        <f aca="false">NORMSDIST(H194)</f>
        <v>0.911433021949903</v>
      </c>
      <c r="M194" s="31" t="n">
        <f aca="false">NORMSDIST(I194)</f>
        <v>0.0255598658094481</v>
      </c>
      <c r="N194" s="28" t="n">
        <f aca="false">$C$61+J194*($E$61-$C$61)</f>
        <v>38.4420979552771</v>
      </c>
      <c r="O194" s="32" t="n">
        <f aca="false">$G$61+K194*($I$61-$G$61)</f>
        <v>1.24322505589255</v>
      </c>
      <c r="P194" s="32" t="n">
        <f aca="false">LOGINV(L194,LN($C$62),$E$62)</f>
        <v>1.64905083623695</v>
      </c>
      <c r="Q194" s="32" t="n">
        <f aca="false">$G$62+M194*($I$62-$G$62)</f>
        <v>3.61501939614252</v>
      </c>
    </row>
    <row r="195" customFormat="false" ht="15" hidden="false" customHeight="false" outlineLevel="0" collapsed="false">
      <c r="A195" s="5" t="n">
        <v>130</v>
      </c>
      <c r="B195" s="35" t="n">
        <v>-1.65311</v>
      </c>
      <c r="C195" s="35" t="n">
        <v>-1.65317</v>
      </c>
      <c r="D195" s="35" t="n">
        <v>1.97731</v>
      </c>
      <c r="E195" s="35" t="n">
        <v>-0.25158</v>
      </c>
      <c r="F195" s="31" t="n">
        <f aca="false">SUMPRODUCT($B$27:$E$27,B195:E195)</f>
        <v>-1.65311</v>
      </c>
      <c r="G195" s="31" t="n">
        <f aca="false">SUMPRODUCT($B$28:$E$28,B195:E195)</f>
        <v>-2.01395246961243</v>
      </c>
      <c r="H195" s="31" t="n">
        <f aca="false">SUMPRODUCT($B$29:$E$29,B195:E195)</f>
        <v>2.3922208763958</v>
      </c>
      <c r="I195" s="31" t="n">
        <f aca="false">SUMPRODUCT($B$30:$E$30,B195:E195)</f>
        <v>-1.06009353043219</v>
      </c>
      <c r="J195" s="31" t="n">
        <f aca="false">NORMSDIST(F195)</f>
        <v>0.0491542392561368</v>
      </c>
      <c r="K195" s="31" t="n">
        <f aca="false">NORMSDIST(G195)</f>
        <v>0.0220072619740331</v>
      </c>
      <c r="L195" s="31" t="n">
        <f aca="false">NORMSDIST(H195)</f>
        <v>0.991626619630348</v>
      </c>
      <c r="M195" s="31" t="n">
        <f aca="false">NORMSDIST(I195)</f>
        <v>0.144551025385514</v>
      </c>
      <c r="N195" s="28" t="n">
        <f aca="false">$C$61+J195*($E$61-$C$61)</f>
        <v>35.9830847851227</v>
      </c>
      <c r="O195" s="32" t="n">
        <f aca="false">$G$61+K195*($I$61-$G$61)</f>
        <v>1.01100363098702</v>
      </c>
      <c r="P195" s="32" t="n">
        <f aca="false">LOGINV(L195,LN($C$62),$E$62)</f>
        <v>2.25460872327795</v>
      </c>
      <c r="Q195" s="32" t="n">
        <f aca="false">$G$62+M195*($I$62-$G$62)</f>
        <v>4.15047961423482</v>
      </c>
    </row>
    <row r="196" customFormat="false" ht="15" hidden="false" customHeight="false" outlineLevel="0" collapsed="false">
      <c r="A196" s="5" t="n">
        <v>131</v>
      </c>
      <c r="B196" s="35" t="n">
        <v>-0.05949</v>
      </c>
      <c r="C196" s="35" t="n">
        <v>-0.78658</v>
      </c>
      <c r="D196" s="35" t="n">
        <v>-0.94045</v>
      </c>
      <c r="E196" s="35" t="n">
        <v>-2.02686</v>
      </c>
      <c r="F196" s="31" t="n">
        <f aca="false">SUMPRODUCT($B$27:$E$27,B196:E196)</f>
        <v>-0.05949</v>
      </c>
      <c r="G196" s="31" t="n">
        <f aca="false">SUMPRODUCT($B$28:$E$28,B196:E196)</f>
        <v>-0.776475310114957</v>
      </c>
      <c r="H196" s="31" t="n">
        <f aca="false">SUMPRODUCT($B$29:$E$29,B196:E196)</f>
        <v>-0.650456753044032</v>
      </c>
      <c r="I196" s="31" t="n">
        <f aca="false">SUMPRODUCT($B$30:$E$30,B196:E196)</f>
        <v>-1.44311376276413</v>
      </c>
      <c r="J196" s="31" t="n">
        <f aca="false">NORMSDIST(F196)</f>
        <v>0.476280915107869</v>
      </c>
      <c r="K196" s="31" t="n">
        <f aca="false">NORMSDIST(G196)</f>
        <v>0.21873419665211</v>
      </c>
      <c r="L196" s="31" t="n">
        <f aca="false">NORMSDIST(H196)</f>
        <v>0.257698614098771</v>
      </c>
      <c r="M196" s="31" t="n">
        <f aca="false">NORMSDIST(I196)</f>
        <v>0.0744942134970594</v>
      </c>
      <c r="N196" s="28" t="n">
        <f aca="false">$C$61+J196*($E$61-$C$61)</f>
        <v>44.5256183021574</v>
      </c>
      <c r="O196" s="32" t="n">
        <f aca="false">$G$61+K196*($I$61-$G$61)</f>
        <v>1.10936709832605</v>
      </c>
      <c r="P196" s="32" t="n">
        <f aca="false">LOGINV(L196,LN($C$62),$E$62)</f>
        <v>0.904994107721042</v>
      </c>
      <c r="Q196" s="32" t="n">
        <f aca="false">$G$62+M196*($I$62-$G$62)</f>
        <v>3.83522396073677</v>
      </c>
    </row>
    <row r="197" customFormat="false" ht="15" hidden="false" customHeight="false" outlineLevel="0" collapsed="false">
      <c r="A197" s="5" t="n">
        <v>132</v>
      </c>
      <c r="B197" s="35" t="n">
        <v>0.17041</v>
      </c>
      <c r="C197" s="35" t="n">
        <v>0.25956</v>
      </c>
      <c r="D197" s="35" t="n">
        <v>-1.97653</v>
      </c>
      <c r="E197" s="35" t="n">
        <v>-1.04315</v>
      </c>
      <c r="F197" s="31" t="n">
        <f aca="false">SUMPRODUCT($B$27:$E$27,B197:E197)</f>
        <v>0.17041</v>
      </c>
      <c r="G197" s="31" t="n">
        <f aca="false">SUMPRODUCT($B$28:$E$28,B197:E197)</f>
        <v>0.293920389335399</v>
      </c>
      <c r="H197" s="31" t="n">
        <f aca="false">SUMPRODUCT($B$29:$E$29,B197:E197)</f>
        <v>-1.95968499517333</v>
      </c>
      <c r="I197" s="31" t="n">
        <f aca="false">SUMPRODUCT($B$30:$E$30,B197:E197)</f>
        <v>-0.114811540095</v>
      </c>
      <c r="J197" s="31" t="n">
        <f aca="false">NORMSDIST(F197)</f>
        <v>0.567656145848141</v>
      </c>
      <c r="K197" s="31" t="n">
        <f aca="false">NORMSDIST(G197)</f>
        <v>0.615590631266501</v>
      </c>
      <c r="L197" s="31" t="n">
        <f aca="false">NORMSDIST(H197)</f>
        <v>0.0250163100116266</v>
      </c>
      <c r="M197" s="31" t="n">
        <f aca="false">NORMSDIST(I197)</f>
        <v>0.454297250937167</v>
      </c>
      <c r="N197" s="28" t="n">
        <f aca="false">$C$61+J197*($E$61-$C$61)</f>
        <v>46.3531229169628</v>
      </c>
      <c r="O197" s="32" t="n">
        <f aca="false">$G$61+K197*($I$61-$G$61)</f>
        <v>1.30779531563325</v>
      </c>
      <c r="P197" s="32" t="n">
        <f aca="false">LOGINV(L197,LN($C$62),$E$62)</f>
        <v>0.611038494862008</v>
      </c>
      <c r="Q197" s="32" t="n">
        <f aca="false">$G$62+M197*($I$62-$G$62)</f>
        <v>5.54433762921725</v>
      </c>
    </row>
    <row r="198" customFormat="false" ht="15" hidden="false" customHeight="false" outlineLevel="0" collapsed="false">
      <c r="A198" s="5" t="n">
        <v>133</v>
      </c>
      <c r="B198" s="35" t="n">
        <v>-0.74411</v>
      </c>
      <c r="C198" s="35" t="n">
        <v>-0.026</v>
      </c>
      <c r="D198" s="35" t="n">
        <v>0.24413</v>
      </c>
      <c r="E198" s="35" t="n">
        <v>1.12579</v>
      </c>
      <c r="F198" s="31" t="n">
        <f aca="false">SUMPRODUCT($B$27:$E$27,B198:E198)</f>
        <v>-0.74411</v>
      </c>
      <c r="G198" s="31" t="n">
        <f aca="false">SUMPRODUCT($B$28:$E$28,B198:E198)</f>
        <v>-0.211201891750348</v>
      </c>
      <c r="H198" s="31" t="n">
        <f aca="false">SUMPRODUCT($B$29:$E$29,B198:E198)</f>
        <v>0.240171959553653</v>
      </c>
      <c r="I198" s="31" t="n">
        <f aca="false">SUMPRODUCT($B$30:$E$30,B198:E198)</f>
        <v>0.918608569585758</v>
      </c>
      <c r="J198" s="31" t="n">
        <f aca="false">NORMSDIST(F198)</f>
        <v>0.228404964996561</v>
      </c>
      <c r="K198" s="31" t="n">
        <f aca="false">NORMSDIST(G198)</f>
        <v>0.416364867322942</v>
      </c>
      <c r="L198" s="31" t="n">
        <f aca="false">NORMSDIST(H198)</f>
        <v>0.594901524702189</v>
      </c>
      <c r="M198" s="31" t="n">
        <f aca="false">NORMSDIST(I198)</f>
        <v>0.82084982599677</v>
      </c>
      <c r="N198" s="28" t="n">
        <f aca="false">$C$61+J198*($E$61-$C$61)</f>
        <v>39.5680992999312</v>
      </c>
      <c r="O198" s="32" t="n">
        <f aca="false">$G$61+K198*($I$61-$G$61)</f>
        <v>1.20818243366147</v>
      </c>
      <c r="P198" s="32" t="n">
        <f aca="false">LOGINV(L198,LN($C$62),$E$62)</f>
        <v>1.1821818631368</v>
      </c>
      <c r="Q198" s="32" t="n">
        <f aca="false">$G$62+M198*($I$62-$G$62)</f>
        <v>7.19382421698547</v>
      </c>
    </row>
    <row r="199" customFormat="false" ht="15" hidden="false" customHeight="false" outlineLevel="0" collapsed="false">
      <c r="A199" s="5" t="n">
        <v>134</v>
      </c>
      <c r="B199" s="35" t="n">
        <v>1.36446</v>
      </c>
      <c r="C199" s="35" t="n">
        <v>1.06845</v>
      </c>
      <c r="D199" s="35" t="n">
        <v>1.34153</v>
      </c>
      <c r="E199" s="35" t="n">
        <v>-1.16642</v>
      </c>
      <c r="F199" s="31" t="n">
        <f aca="false">SUMPRODUCT($B$27:$E$27,B199:E199)</f>
        <v>1.36446</v>
      </c>
      <c r="G199" s="31" t="n">
        <f aca="false">SUMPRODUCT($B$28:$E$28,B199:E199)</f>
        <v>1.37563726406383</v>
      </c>
      <c r="H199" s="31" t="n">
        <f aca="false">SUMPRODUCT($B$29:$E$29,B199:E199)</f>
        <v>0.944465038426138</v>
      </c>
      <c r="I199" s="31" t="n">
        <f aca="false">SUMPRODUCT($B$30:$E$30,B199:E199)</f>
        <v>-1.62256021433735</v>
      </c>
      <c r="J199" s="31" t="n">
        <f aca="false">NORMSDIST(F199)</f>
        <v>0.913788582415615</v>
      </c>
      <c r="K199" s="31" t="n">
        <f aca="false">NORMSDIST(G199)</f>
        <v>0.91553301812181</v>
      </c>
      <c r="L199" s="31" t="n">
        <f aca="false">NORMSDIST(H199)</f>
        <v>0.827533970227725</v>
      </c>
      <c r="M199" s="31" t="n">
        <f aca="false">NORMSDIST(I199)</f>
        <v>0.0523417256443395</v>
      </c>
      <c r="N199" s="28" t="n">
        <f aca="false">$C$61+J199*($E$61-$C$61)</f>
        <v>53.2757716483123</v>
      </c>
      <c r="O199" s="32" t="n">
        <f aca="false">$G$61+K199*($I$61-$G$61)</f>
        <v>1.4577665090609</v>
      </c>
      <c r="P199" s="32" t="n">
        <f aca="false">LOGINV(L199,LN($C$62),$E$62)</f>
        <v>1.46031138639467</v>
      </c>
      <c r="Q199" s="32" t="n">
        <f aca="false">$G$62+M199*($I$62-$G$62)</f>
        <v>3.73553776539953</v>
      </c>
    </row>
    <row r="200" customFormat="false" ht="15" hidden="false" customHeight="false" outlineLevel="0" collapsed="false">
      <c r="A200" s="5" t="n">
        <v>135</v>
      </c>
      <c r="B200" s="35" t="n">
        <v>-0.55449</v>
      </c>
      <c r="C200" s="35" t="n">
        <v>1.14361</v>
      </c>
      <c r="D200" s="35" t="n">
        <v>0.28866</v>
      </c>
      <c r="E200" s="35" t="n">
        <v>0.01872</v>
      </c>
      <c r="F200" s="31" t="n">
        <f aca="false">SUMPRODUCT($B$27:$E$27,B200:E200)</f>
        <v>-0.55449</v>
      </c>
      <c r="G200" s="31" t="n">
        <f aca="false">SUMPRODUCT($B$28:$E$28,B200:E200)</f>
        <v>0.968673121139066</v>
      </c>
      <c r="H200" s="31" t="n">
        <f aca="false">SUMPRODUCT($B$29:$E$29,B200:E200)</f>
        <v>-0.0798798039031251</v>
      </c>
      <c r="I200" s="31" t="n">
        <f aca="false">SUMPRODUCT($B$30:$E$30,B200:E200)</f>
        <v>-0.104457421571223</v>
      </c>
      <c r="J200" s="31" t="n">
        <f aca="false">NORMSDIST(F200)</f>
        <v>0.289621773769585</v>
      </c>
      <c r="K200" s="31" t="n">
        <f aca="false">NORMSDIST(G200)</f>
        <v>0.833645846224472</v>
      </c>
      <c r="L200" s="31" t="n">
        <f aca="false">NORMSDIST(H200)</f>
        <v>0.46816642632176</v>
      </c>
      <c r="M200" s="31" t="n">
        <f aca="false">NORMSDIST(I200)</f>
        <v>0.458403178018445</v>
      </c>
      <c r="N200" s="28" t="n">
        <f aca="false">$C$61+J200*($E$61-$C$61)</f>
        <v>40.7924354753917</v>
      </c>
      <c r="O200" s="32" t="n">
        <f aca="false">$G$61+K200*($I$61-$G$61)</f>
        <v>1.41682292311224</v>
      </c>
      <c r="P200" s="32" t="n">
        <f aca="false">LOGINV(L200,LN($C$62),$E$62)</f>
        <v>1.07395300552336</v>
      </c>
      <c r="Q200" s="32" t="n">
        <f aca="false">$G$62+M200*($I$62-$G$62)</f>
        <v>5.562814301083</v>
      </c>
    </row>
    <row r="201" customFormat="false" ht="15" hidden="false" customHeight="false" outlineLevel="0" collapsed="false">
      <c r="A201" s="5" t="n">
        <v>136</v>
      </c>
      <c r="B201" s="35" t="n">
        <v>-1.97899</v>
      </c>
      <c r="C201" s="35" t="n">
        <v>-1.85924</v>
      </c>
      <c r="D201" s="35" t="n">
        <v>0.73089</v>
      </c>
      <c r="E201" s="35" t="n">
        <v>0.34158</v>
      </c>
      <c r="F201" s="31" t="n">
        <f aca="false">SUMPRODUCT($B$27:$E$27,B201:E201)</f>
        <v>-1.97899</v>
      </c>
      <c r="G201" s="31" t="n">
        <f aca="false">SUMPRODUCT($B$28:$E$28,B201:E201)</f>
        <v>-2.29494888915067</v>
      </c>
      <c r="H201" s="31" t="n">
        <f aca="false">SUMPRODUCT($B$29:$E$29,B201:E201)</f>
        <v>1.27098672338996</v>
      </c>
      <c r="I201" s="31" t="n">
        <f aca="false">SUMPRODUCT($B$30:$E$30,B201:E201)</f>
        <v>0.0023930790074258</v>
      </c>
      <c r="J201" s="31" t="n">
        <f aca="false">NORMSDIST(F201)</f>
        <v>0.0239085660823095</v>
      </c>
      <c r="K201" s="31" t="n">
        <f aca="false">NORMSDIST(G201)</f>
        <v>0.0108680267809048</v>
      </c>
      <c r="L201" s="31" t="n">
        <f aca="false">NORMSDIST(H201)</f>
        <v>0.898133314053714</v>
      </c>
      <c r="M201" s="31" t="n">
        <f aca="false">NORMSDIST(I201)</f>
        <v>0.50095469948517</v>
      </c>
      <c r="N201" s="28" t="n">
        <f aca="false">$C$61+J201*($E$61-$C$61)</f>
        <v>35.4781713216462</v>
      </c>
      <c r="O201" s="32" t="n">
        <f aca="false">$G$61+K201*($I$61-$G$61)</f>
        <v>1.00543401339045</v>
      </c>
      <c r="P201" s="32" t="n">
        <f aca="false">LOGINV(L201,LN($C$62),$E$62)</f>
        <v>1.61059906012177</v>
      </c>
      <c r="Q201" s="32" t="n">
        <f aca="false">$G$62+M201*($I$62-$G$62)</f>
        <v>5.75429614768327</v>
      </c>
    </row>
    <row r="202" customFormat="false" ht="15" hidden="false" customHeight="false" outlineLevel="0" collapsed="false">
      <c r="A202" s="5" t="n">
        <v>137</v>
      </c>
      <c r="B202" s="35" t="n">
        <v>-0.29606</v>
      </c>
      <c r="C202" s="35" t="n">
        <v>-0.41297</v>
      </c>
      <c r="D202" s="35" t="n">
        <v>-1.7261</v>
      </c>
      <c r="E202" s="35" t="n">
        <v>0.37122</v>
      </c>
      <c r="F202" s="31" t="n">
        <f aca="false">SUMPRODUCT($B$27:$E$27,B202:E202)</f>
        <v>-0.29606</v>
      </c>
      <c r="G202" s="31" t="n">
        <f aca="false">SUMPRODUCT($B$28:$E$28,B202:E202)</f>
        <v>-0.473871483120819</v>
      </c>
      <c r="H202" s="31" t="n">
        <f aca="false">SUMPRODUCT($B$29:$E$29,B202:E202)</f>
        <v>-1.5132030701745</v>
      </c>
      <c r="I202" s="31" t="n">
        <f aca="false">SUMPRODUCT($B$30:$E$30,B202:E202)</f>
        <v>1.06294589994093</v>
      </c>
      <c r="J202" s="31" t="n">
        <f aca="false">NORMSDIST(F202)</f>
        <v>0.383592130339509</v>
      </c>
      <c r="K202" s="31" t="n">
        <f aca="false">NORMSDIST(G202)</f>
        <v>0.317795777896805</v>
      </c>
      <c r="L202" s="31" t="n">
        <f aca="false">NORMSDIST(H202)</f>
        <v>0.065114042312968</v>
      </c>
      <c r="M202" s="31" t="n">
        <f aca="false">NORMSDIST(I202)</f>
        <v>0.856096756984589</v>
      </c>
      <c r="N202" s="28" t="n">
        <f aca="false">$C$61+J202*($E$61-$C$61)</f>
        <v>42.6718426067902</v>
      </c>
      <c r="O202" s="32" t="n">
        <f aca="false">$G$61+K202*($I$61-$G$61)</f>
        <v>1.1588978889484</v>
      </c>
      <c r="P202" s="32" t="n">
        <f aca="false">LOGINV(L202,LN($C$62),$E$62)</f>
        <v>0.698618307305334</v>
      </c>
      <c r="Q202" s="32" t="n">
        <f aca="false">$G$62+M202*($I$62-$G$62)</f>
        <v>7.35243540643065</v>
      </c>
    </row>
    <row r="203" customFormat="false" ht="15" hidden="false" customHeight="false" outlineLevel="0" collapsed="false">
      <c r="A203" s="5" t="n">
        <v>138</v>
      </c>
      <c r="B203" s="35" t="n">
        <v>1.03442</v>
      </c>
      <c r="C203" s="35" t="n">
        <v>1.64217</v>
      </c>
      <c r="D203" s="35" t="n">
        <v>0.04914</v>
      </c>
      <c r="E203" s="35" t="n">
        <v>-0.2042</v>
      </c>
      <c r="F203" s="31" t="n">
        <f aca="false">SUMPRODUCT($B$27:$E$27,B203:E203)</f>
        <v>1.03442</v>
      </c>
      <c r="G203" s="31" t="n">
        <f aca="false">SUMPRODUCT($B$28:$E$28,B203:E203)</f>
        <v>1.84862926541036</v>
      </c>
      <c r="H203" s="31" t="n">
        <f aca="false">SUMPRODUCT($B$29:$E$29,B203:E203)</f>
        <v>-0.462085986300787</v>
      </c>
      <c r="I203" s="31" t="n">
        <f aca="false">SUMPRODUCT($B$30:$E$30,B203:E203)</f>
        <v>-0.205923256819401</v>
      </c>
      <c r="J203" s="31" t="n">
        <f aca="false">NORMSDIST(F203)</f>
        <v>0.849530070748328</v>
      </c>
      <c r="K203" s="31" t="n">
        <f aca="false">NORMSDIST(G203)</f>
        <v>0.967744318065112</v>
      </c>
      <c r="L203" s="31" t="n">
        <f aca="false">NORMSDIST(H203)</f>
        <v>0.322009829627701</v>
      </c>
      <c r="M203" s="31" t="n">
        <f aca="false">NORMSDIST(I203)</f>
        <v>0.418425429219832</v>
      </c>
      <c r="N203" s="28" t="n">
        <f aca="false">$C$61+J203*($E$61-$C$61)</f>
        <v>51.9906014149666</v>
      </c>
      <c r="O203" s="32" t="n">
        <f aca="false">$G$61+K203*($I$61-$G$61)</f>
        <v>1.48387215903256</v>
      </c>
      <c r="P203" s="32" t="n">
        <f aca="false">LOGINV(L203,LN($C$62),$E$62)</f>
        <v>0.957609105528889</v>
      </c>
      <c r="Q203" s="32" t="n">
        <f aca="false">$G$62+M203*($I$62-$G$62)</f>
        <v>5.38291443148924</v>
      </c>
    </row>
    <row r="204" customFormat="false" ht="15" hidden="false" customHeight="false" outlineLevel="0" collapsed="false">
      <c r="A204" s="5" t="n">
        <v>139</v>
      </c>
      <c r="B204" s="35" t="n">
        <v>-1.096</v>
      </c>
      <c r="C204" s="35" t="n">
        <v>1.22324</v>
      </c>
      <c r="D204" s="35" t="n">
        <v>1.70686</v>
      </c>
      <c r="E204" s="35" t="n">
        <v>-0.61317</v>
      </c>
      <c r="F204" s="31" t="n">
        <f aca="false">SUMPRODUCT($B$27:$E$27,B204:E204)</f>
        <v>-1.096</v>
      </c>
      <c r="G204" s="31" t="n">
        <f aca="false">SUMPRODUCT($B$28:$E$28,B204:E204)</f>
        <v>0.91039703710369</v>
      </c>
      <c r="H204" s="31" t="n">
        <f aca="false">SUMPRODUCT($B$29:$E$29,B204:E204)</f>
        <v>1.24385690973247</v>
      </c>
      <c r="I204" s="31" t="n">
        <f aca="false">SUMPRODUCT($B$30:$E$30,B204:E204)</f>
        <v>-1.27434821233028</v>
      </c>
      <c r="J204" s="31" t="n">
        <f aca="false">NORMSDIST(F204)</f>
        <v>0.136539387237079</v>
      </c>
      <c r="K204" s="31" t="n">
        <f aca="false">NORMSDIST(G204)</f>
        <v>0.818693420131093</v>
      </c>
      <c r="L204" s="31" t="n">
        <f aca="false">NORMSDIST(H204)</f>
        <v>0.893223884607684</v>
      </c>
      <c r="M204" s="31" t="n">
        <f aca="false">NORMSDIST(I204)</f>
        <v>0.101270018564625</v>
      </c>
      <c r="N204" s="28" t="n">
        <f aca="false">$C$61+J204*($E$61-$C$61)</f>
        <v>37.7307877447416</v>
      </c>
      <c r="O204" s="32" t="n">
        <f aca="false">$G$61+K204*($I$61-$G$61)</f>
        <v>1.40934671006555</v>
      </c>
      <c r="P204" s="32" t="n">
        <f aca="false">LOGINV(L204,LN($C$62),$E$62)</f>
        <v>1.59754368496088</v>
      </c>
      <c r="Q204" s="32" t="n">
        <f aca="false">$G$62+M204*($I$62-$G$62)</f>
        <v>3.95571508354081</v>
      </c>
    </row>
    <row r="205" customFormat="false" ht="15" hidden="false" customHeight="false" outlineLevel="0" collapsed="false">
      <c r="A205" s="5" t="n">
        <v>140</v>
      </c>
      <c r="B205" s="35" t="n">
        <v>0.29076</v>
      </c>
      <c r="C205" s="35" t="n">
        <v>0.09067</v>
      </c>
      <c r="D205" s="35" t="n">
        <v>-0.57383</v>
      </c>
      <c r="E205" s="35" t="n">
        <v>-2.49745</v>
      </c>
      <c r="F205" s="31" t="n">
        <f aca="false">SUMPRODUCT($B$27:$E$27,B205:E205)</f>
        <v>0.29076</v>
      </c>
      <c r="G205" s="31" t="n">
        <f aca="false">SUMPRODUCT($B$28:$E$28,B205:E205)</f>
        <v>0.160480850000157</v>
      </c>
      <c r="H205" s="31" t="n">
        <f aca="false">SUMPRODUCT($B$29:$E$29,B205:E205)</f>
        <v>-0.57368440760354</v>
      </c>
      <c r="I205" s="31" t="n">
        <f aca="false">SUMPRODUCT($B$30:$E$30,B205:E205)</f>
        <v>-2.02427042837043</v>
      </c>
      <c r="J205" s="31" t="n">
        <f aca="false">NORMSDIST(F205)</f>
        <v>0.614382560210593</v>
      </c>
      <c r="K205" s="31" t="n">
        <f aca="false">NORMSDIST(G205)</f>
        <v>0.563748847200527</v>
      </c>
      <c r="L205" s="31" t="n">
        <f aca="false">NORMSDIST(H205)</f>
        <v>0.283090690768665</v>
      </c>
      <c r="M205" s="31" t="n">
        <f aca="false">NORMSDIST(I205)</f>
        <v>0.0214711672776035</v>
      </c>
      <c r="N205" s="28" t="n">
        <f aca="false">$C$61+J205*($E$61-$C$61)</f>
        <v>47.2876512042119</v>
      </c>
      <c r="O205" s="32" t="n">
        <f aca="false">$G$61+K205*($I$61-$G$61)</f>
        <v>1.28187442360026</v>
      </c>
      <c r="P205" s="32" t="n">
        <f aca="false">LOGINV(L205,LN($C$62),$E$62)</f>
        <v>0.926079548538273</v>
      </c>
      <c r="Q205" s="32" t="n">
        <f aca="false">$G$62+M205*($I$62-$G$62)</f>
        <v>3.59662025274922</v>
      </c>
    </row>
    <row r="206" customFormat="false" ht="15" hidden="false" customHeight="false" outlineLevel="0" collapsed="false">
      <c r="A206" s="5" t="n">
        <v>141</v>
      </c>
      <c r="B206" s="35" t="n">
        <v>-0.366</v>
      </c>
      <c r="C206" s="35" t="n">
        <v>0.60744</v>
      </c>
      <c r="D206" s="35" t="n">
        <v>-1.4433</v>
      </c>
      <c r="E206" s="35" t="n">
        <v>-0.83888</v>
      </c>
      <c r="F206" s="31" t="n">
        <f aca="false">SUMPRODUCT($B$27:$E$27,B206:E206)</f>
        <v>-0.366</v>
      </c>
      <c r="G206" s="31" t="n">
        <f aca="false">SUMPRODUCT($B$28:$E$28,B206:E206)</f>
        <v>0.496651250955058</v>
      </c>
      <c r="H206" s="31" t="n">
        <f aca="false">SUMPRODUCT($B$29:$E$29,B206:E206)</f>
        <v>-1.5604823746125</v>
      </c>
      <c r="I206" s="31" t="n">
        <f aca="false">SUMPRODUCT($B$30:$E$30,B206:E206)</f>
        <v>-0.153829679793471</v>
      </c>
      <c r="J206" s="31" t="n">
        <f aca="false">NORMSDIST(F206)</f>
        <v>0.357182537785839</v>
      </c>
      <c r="K206" s="31" t="n">
        <f aca="false">NORMSDIST(G206)</f>
        <v>0.690282497476719</v>
      </c>
      <c r="L206" s="31" t="n">
        <f aca="false">NORMSDIST(H206)</f>
        <v>0.0593229659571059</v>
      </c>
      <c r="M206" s="31" t="n">
        <f aca="false">NORMSDIST(I206)</f>
        <v>0.438872015636176</v>
      </c>
      <c r="N206" s="28" t="n">
        <f aca="false">$C$61+J206*($E$61-$C$61)</f>
        <v>42.1436507557168</v>
      </c>
      <c r="O206" s="32" t="n">
        <f aca="false">$G$61+K206*($I$61-$G$61)</f>
        <v>1.34514124873836</v>
      </c>
      <c r="P206" s="32" t="n">
        <f aca="false">LOGINV(L206,LN($C$62),$E$62)</f>
        <v>0.688779193931838</v>
      </c>
      <c r="Q206" s="32" t="n">
        <f aca="false">$G$62+M206*($I$62-$G$62)</f>
        <v>5.47492407036279</v>
      </c>
    </row>
    <row r="207" customFormat="false" ht="15" hidden="false" customHeight="false" outlineLevel="0" collapsed="false">
      <c r="A207" s="5" t="n">
        <v>142</v>
      </c>
      <c r="B207" s="35" t="n">
        <v>-3.28356</v>
      </c>
      <c r="C207" s="35" t="n">
        <v>1.28453</v>
      </c>
      <c r="D207" s="35" t="n">
        <v>0.50028</v>
      </c>
      <c r="E207" s="35" t="n">
        <v>0.04548</v>
      </c>
      <c r="F207" s="31" t="n">
        <f aca="false">SUMPRODUCT($B$27:$E$27,B207:E207)</f>
        <v>-3.28356</v>
      </c>
      <c r="G207" s="31" t="n">
        <f aca="false">SUMPRODUCT($B$28:$E$28,B207:E207)</f>
        <v>0.422850824425953</v>
      </c>
      <c r="H207" s="31" t="n">
        <f aca="false">SUMPRODUCT($B$29:$E$29,B207:E207)</f>
        <v>0.0776637301047411</v>
      </c>
      <c r="I207" s="31" t="n">
        <f aca="false">SUMPRODUCT($B$30:$E$30,B207:E207)</f>
        <v>-0.169209996800082</v>
      </c>
      <c r="J207" s="31" t="n">
        <f aca="false">NORMSDIST(F207)</f>
        <v>0.000512524111481194</v>
      </c>
      <c r="K207" s="31" t="n">
        <f aca="false">NORMSDIST(G207)</f>
        <v>0.663797948342097</v>
      </c>
      <c r="L207" s="31" t="n">
        <f aca="false">NORMSDIST(H207)</f>
        <v>0.53095222694384</v>
      </c>
      <c r="M207" s="31" t="n">
        <f aca="false">NORMSDIST(I207)</f>
        <v>0.432815733433255</v>
      </c>
      <c r="N207" s="28" t="n">
        <f aca="false">$C$61+J207*($E$61-$C$61)</f>
        <v>35.0102504822296</v>
      </c>
      <c r="O207" s="32" t="n">
        <f aca="false">$G$61+K207*($I$61-$G$61)</f>
        <v>1.33189897417105</v>
      </c>
      <c r="P207" s="32" t="n">
        <f aca="false">LOGINV(L207,LN($C$62),$E$62)</f>
        <v>1.12592993020742</v>
      </c>
      <c r="Q207" s="32" t="n">
        <f aca="false">$G$62+M207*($I$62-$G$62)</f>
        <v>5.44767080044965</v>
      </c>
    </row>
    <row r="208" customFormat="false" ht="15" hidden="false" customHeight="false" outlineLevel="0" collapsed="false">
      <c r="A208" s="5" t="n">
        <v>143</v>
      </c>
      <c r="B208" s="35" t="n">
        <v>-0.27047</v>
      </c>
      <c r="C208" s="35" t="n">
        <v>-0.63728</v>
      </c>
      <c r="D208" s="35" t="n">
        <v>-0.07881</v>
      </c>
      <c r="E208" s="35" t="n">
        <v>-0.31031</v>
      </c>
      <c r="F208" s="31" t="n">
        <f aca="false">SUMPRODUCT($B$27:$E$27,B208:E208)</f>
        <v>-0.27047</v>
      </c>
      <c r="G208" s="31" t="n">
        <f aca="false">SUMPRODUCT($B$28:$E$28,B208:E208)</f>
        <v>-0.684661206717766</v>
      </c>
      <c r="H208" s="31" t="n">
        <f aca="false">SUMPRODUCT($B$29:$E$29,B208:E208)</f>
        <v>0.1225222935597</v>
      </c>
      <c r="I208" s="31" t="n">
        <f aca="false">SUMPRODUCT($B$30:$E$30,B208:E208)</f>
        <v>-0.24835710436516</v>
      </c>
      <c r="J208" s="31" t="n">
        <f aca="false">NORMSDIST(F208)</f>
        <v>0.393399346828538</v>
      </c>
      <c r="K208" s="31" t="n">
        <f aca="false">NORMSDIST(G208)</f>
        <v>0.246778867039838</v>
      </c>
      <c r="L208" s="31" t="n">
        <f aca="false">NORMSDIST(H208)</f>
        <v>0.548757304353208</v>
      </c>
      <c r="M208" s="31" t="n">
        <f aca="false">NORMSDIST(I208)</f>
        <v>0.40192905986759</v>
      </c>
      <c r="N208" s="28" t="n">
        <f aca="false">$C$61+J208*($E$61-$C$61)</f>
        <v>42.8679869365708</v>
      </c>
      <c r="O208" s="32" t="n">
        <f aca="false">$G$61+K208*($I$61-$G$61)</f>
        <v>1.12338943351992</v>
      </c>
      <c r="P208" s="32" t="n">
        <f aca="false">LOGINV(L208,LN($C$62),$E$62)</f>
        <v>1.14118462530372</v>
      </c>
      <c r="Q208" s="32" t="n">
        <f aca="false">$G$62+M208*($I$62-$G$62)</f>
        <v>5.30868076940416</v>
      </c>
    </row>
    <row r="209" customFormat="false" ht="15" hidden="false" customHeight="false" outlineLevel="0" collapsed="false">
      <c r="A209" s="5" t="n">
        <v>144</v>
      </c>
      <c r="B209" s="35" t="n">
        <v>-0.24836</v>
      </c>
      <c r="C209" s="35" t="n">
        <v>-0.03381</v>
      </c>
      <c r="D209" s="35" t="n">
        <v>0.12565</v>
      </c>
      <c r="E209" s="35" t="n">
        <v>1.54898</v>
      </c>
      <c r="F209" s="31" t="n">
        <f aca="false">SUMPRODUCT($B$27:$E$27,B209:E209)</f>
        <v>-0.24836</v>
      </c>
      <c r="G209" s="31" t="n">
        <f aca="false">SUMPRODUCT($B$28:$E$28,B209:E209)</f>
        <v>-0.0948263917338182</v>
      </c>
      <c r="H209" s="31" t="n">
        <f aca="false">SUMPRODUCT($B$29:$E$29,B209:E209)</f>
        <v>0.129942301539717</v>
      </c>
      <c r="I209" s="31" t="n">
        <f aca="false">SUMPRODUCT($B$30:$E$30,B209:E209)</f>
        <v>1.3523707507187</v>
      </c>
      <c r="J209" s="31" t="n">
        <f aca="false">NORMSDIST(F209)</f>
        <v>0.401927939759873</v>
      </c>
      <c r="K209" s="31" t="n">
        <f aca="false">NORMSDIST(G209)</f>
        <v>0.462226361876469</v>
      </c>
      <c r="L209" s="31" t="n">
        <f aca="false">NORMSDIST(H209)</f>
        <v>0.551693961899279</v>
      </c>
      <c r="M209" s="31" t="n">
        <f aca="false">NORMSDIST(I209)</f>
        <v>0.911871629280612</v>
      </c>
      <c r="N209" s="28" t="n">
        <f aca="false">$C$61+J209*($E$61-$C$61)</f>
        <v>43.0385587951975</v>
      </c>
      <c r="O209" s="32" t="n">
        <f aca="false">$G$61+K209*($I$61-$G$61)</f>
        <v>1.23111318093823</v>
      </c>
      <c r="P209" s="32" t="n">
        <f aca="false">LOGINV(L209,LN($C$62),$E$62)</f>
        <v>1.14372773444505</v>
      </c>
      <c r="Q209" s="32" t="n">
        <f aca="false">$G$62+M209*($I$62-$G$62)</f>
        <v>7.60342233176275</v>
      </c>
    </row>
    <row r="210" customFormat="false" ht="15" hidden="false" customHeight="false" outlineLevel="0" collapsed="false">
      <c r="A210" s="5" t="n">
        <v>145</v>
      </c>
      <c r="B210" s="35" t="n">
        <v>-1.44943</v>
      </c>
      <c r="C210" s="35" t="n">
        <v>0.26197</v>
      </c>
      <c r="D210" s="35" t="n">
        <v>-0.62456</v>
      </c>
      <c r="E210" s="35" t="n">
        <v>-1.13948</v>
      </c>
      <c r="F210" s="31" t="n">
        <f aca="false">SUMPRODUCT($B$27:$E$27,B210:E210)</f>
        <v>-1.44943</v>
      </c>
      <c r="G210" s="31" t="n">
        <f aca="false">SUMPRODUCT($B$28:$E$28,B210:E210)</f>
        <v>-0.108706138198511</v>
      </c>
      <c r="H210" s="31" t="n">
        <f aca="false">SUMPRODUCT($B$29:$E$29,B210:E210)</f>
        <v>-0.674993304752507</v>
      </c>
      <c r="I210" s="31" t="n">
        <f aca="false">SUMPRODUCT($B$30:$E$30,B210:E210)</f>
        <v>-0.770980011136212</v>
      </c>
      <c r="J210" s="31" t="n">
        <f aca="false">NORMSDIST(F210)</f>
        <v>0.0736087678804846</v>
      </c>
      <c r="K210" s="31" t="n">
        <f aca="false">NORMSDIST(G210)</f>
        <v>0.456717786566408</v>
      </c>
      <c r="L210" s="31" t="n">
        <f aca="false">NORMSDIST(H210)</f>
        <v>0.249840009337005</v>
      </c>
      <c r="M210" s="31" t="n">
        <f aca="false">NORMSDIST(I210)</f>
        <v>0.220359389868323</v>
      </c>
      <c r="N210" s="28" t="n">
        <f aca="false">$C$61+J210*($E$61-$C$61)</f>
        <v>36.4721753576097</v>
      </c>
      <c r="O210" s="32" t="n">
        <f aca="false">$G$61+K210*($I$61-$G$61)</f>
        <v>1.2283588932832</v>
      </c>
      <c r="P210" s="32" t="n">
        <f aca="false">LOGINV(L210,LN($C$62),$E$62)</f>
        <v>0.898356935272715</v>
      </c>
      <c r="Q210" s="32" t="n">
        <f aca="false">$G$62+M210*($I$62-$G$62)</f>
        <v>4.49161725440745</v>
      </c>
    </row>
    <row r="211" customFormat="false" ht="15" hidden="false" customHeight="false" outlineLevel="0" collapsed="false">
      <c r="A211" s="5" t="n">
        <v>146</v>
      </c>
      <c r="B211" s="35" t="n">
        <v>-2.36817</v>
      </c>
      <c r="C211" s="35" t="n">
        <v>0.60689</v>
      </c>
      <c r="D211" s="35" t="n">
        <v>-0.99038</v>
      </c>
      <c r="E211" s="35" t="n">
        <v>-0.75969</v>
      </c>
      <c r="F211" s="31" t="n">
        <f aca="false">SUMPRODUCT($B$27:$E$27,B211:E211)</f>
        <v>-2.36817</v>
      </c>
      <c r="G211" s="31" t="n">
        <f aca="false">SUMPRODUCT($B$28:$E$28,B211:E211)</f>
        <v>-0.00442378425504519</v>
      </c>
      <c r="H211" s="31" t="n">
        <f aca="false">SUMPRODUCT($B$29:$E$29,B211:E211)</f>
        <v>-1.12968054337501</v>
      </c>
      <c r="I211" s="31" t="n">
        <f aca="false">SUMPRODUCT($B$30:$E$30,B211:E211)</f>
        <v>-0.272533518405329</v>
      </c>
      <c r="J211" s="31" t="n">
        <f aca="false">NORMSDIST(F211)</f>
        <v>0.00893815990791933</v>
      </c>
      <c r="K211" s="31" t="n">
        <f aca="false">NORMSDIST(G211)</f>
        <v>0.498235171177534</v>
      </c>
      <c r="L211" s="31" t="n">
        <f aca="false">NORMSDIST(H211)</f>
        <v>0.129305429283689</v>
      </c>
      <c r="M211" s="31" t="n">
        <f aca="false">NORMSDIST(I211)</f>
        <v>0.392605911156177</v>
      </c>
      <c r="N211" s="28" t="n">
        <f aca="false">$C$61+J211*($E$61-$C$61)</f>
        <v>35.1787631981584</v>
      </c>
      <c r="O211" s="32" t="n">
        <f aca="false">$G$61+K211*($I$61-$G$61)</f>
        <v>1.24911758558877</v>
      </c>
      <c r="P211" s="32" t="n">
        <f aca="false">LOGINV(L211,LN($C$62),$E$62)</f>
        <v>0.783805807986125</v>
      </c>
      <c r="Q211" s="32" t="n">
        <f aca="false">$G$62+M211*($I$62-$G$62)</f>
        <v>5.2667266002028</v>
      </c>
    </row>
    <row r="212" customFormat="false" ht="15" hidden="false" customHeight="false" outlineLevel="0" collapsed="false">
      <c r="A212" s="5" t="n">
        <v>147</v>
      </c>
      <c r="B212" s="35" t="n">
        <v>0.45988</v>
      </c>
      <c r="C212" s="35" t="n">
        <v>-1.09347</v>
      </c>
      <c r="D212" s="35" t="n">
        <v>0.01605</v>
      </c>
      <c r="E212" s="35" t="n">
        <v>-0.08488</v>
      </c>
      <c r="F212" s="31" t="n">
        <f aca="false">SUMPRODUCT($B$27:$E$27,B212:E212)</f>
        <v>0.45988</v>
      </c>
      <c r="G212" s="31" t="n">
        <f aca="false">SUMPRODUCT($B$28:$E$28,B212:E212)</f>
        <v>-0.943777774894356</v>
      </c>
      <c r="H212" s="31" t="n">
        <f aca="false">SUMPRODUCT($B$29:$E$29,B212:E212)</f>
        <v>0.354059453758216</v>
      </c>
      <c r="I212" s="31" t="n">
        <f aca="false">SUMPRODUCT($B$30:$E$30,B212:E212)</f>
        <v>-0.0837552818517533</v>
      </c>
      <c r="J212" s="31" t="n">
        <f aca="false">NORMSDIST(F212)</f>
        <v>0.677198821726165</v>
      </c>
      <c r="K212" s="31" t="n">
        <f aca="false">NORMSDIST(G212)</f>
        <v>0.172641610103509</v>
      </c>
      <c r="L212" s="31" t="n">
        <f aca="false">NORMSDIST(H212)</f>
        <v>0.638352836206912</v>
      </c>
      <c r="M212" s="31" t="n">
        <f aca="false">NORMSDIST(I212)</f>
        <v>0.466625501473787</v>
      </c>
      <c r="N212" s="28" t="n">
        <f aca="false">$C$61+J212*($E$61-$C$61)</f>
        <v>48.5439764345233</v>
      </c>
      <c r="O212" s="32" t="n">
        <f aca="false">$G$61+K212*($I$61-$G$61)</f>
        <v>1.08632080505175</v>
      </c>
      <c r="P212" s="32" t="n">
        <f aca="false">LOGINV(L212,LN($C$62),$E$62)</f>
        <v>1.22327050764585</v>
      </c>
      <c r="Q212" s="32" t="n">
        <f aca="false">$G$62+M212*($I$62-$G$62)</f>
        <v>5.59981475663204</v>
      </c>
    </row>
    <row r="213" customFormat="false" ht="15" hidden="false" customHeight="false" outlineLevel="0" collapsed="false">
      <c r="A213" s="5" t="n">
        <v>148</v>
      </c>
      <c r="B213" s="35" t="n">
        <v>0.79184</v>
      </c>
      <c r="C213" s="35" t="n">
        <v>1.00064</v>
      </c>
      <c r="D213" s="35" t="n">
        <v>-0.87685</v>
      </c>
      <c r="E213" s="35" t="n">
        <v>0.90718</v>
      </c>
      <c r="F213" s="31" t="n">
        <f aca="false">SUMPRODUCT($B$27:$E$27,B213:E213)</f>
        <v>0.79184</v>
      </c>
      <c r="G213" s="31" t="n">
        <f aca="false">SUMPRODUCT($B$28:$E$28,B213:E213)</f>
        <v>1.16682551388725</v>
      </c>
      <c r="H213" s="31" t="n">
        <f aca="false">SUMPRODUCT($B$29:$E$29,B213:E213)</f>
        <v>-1.1437364270442</v>
      </c>
      <c r="I213" s="31" t="n">
        <f aca="false">SUMPRODUCT($B$30:$E$30,B213:E213)</f>
        <v>1.19188576833262</v>
      </c>
      <c r="J213" s="31" t="n">
        <f aca="false">NORMSDIST(F213)</f>
        <v>0.785773012176837</v>
      </c>
      <c r="K213" s="31" t="n">
        <f aca="false">NORMSDIST(G213)</f>
        <v>0.878359579382226</v>
      </c>
      <c r="L213" s="31" t="n">
        <f aca="false">NORMSDIST(H213)</f>
        <v>0.126366480808763</v>
      </c>
      <c r="M213" s="31" t="n">
        <f aca="false">NORMSDIST(I213)</f>
        <v>0.883346980385653</v>
      </c>
      <c r="N213" s="28" t="n">
        <f aca="false">$C$61+J213*($E$61-$C$61)</f>
        <v>50.7154602435367</v>
      </c>
      <c r="O213" s="32" t="n">
        <f aca="false">$G$61+K213*($I$61-$G$61)</f>
        <v>1.43917978969111</v>
      </c>
      <c r="P213" s="32" t="n">
        <f aca="false">LOGINV(L213,LN($C$62),$E$62)</f>
        <v>0.780507641692585</v>
      </c>
      <c r="Q213" s="32" t="n">
        <f aca="false">$G$62+M213*($I$62-$G$62)</f>
        <v>7.47506141173544</v>
      </c>
    </row>
    <row r="214" customFormat="false" ht="15" hidden="false" customHeight="false" outlineLevel="0" collapsed="false">
      <c r="A214" s="5" t="n">
        <v>149</v>
      </c>
      <c r="B214" s="35" t="n">
        <v>-0.10675</v>
      </c>
      <c r="C214" s="35" t="n">
        <v>0.1128</v>
      </c>
      <c r="D214" s="35" t="n">
        <v>-0.22251</v>
      </c>
      <c r="E214" s="35" t="n">
        <v>0.76554</v>
      </c>
      <c r="F214" s="31" t="n">
        <f aca="false">SUMPRODUCT($B$27:$E$27,B214:E214)</f>
        <v>-0.10675</v>
      </c>
      <c r="G214" s="31" t="n">
        <f aca="false">SUMPRODUCT($B$28:$E$28,B214:E214)</f>
        <v>0.0825306303630492</v>
      </c>
      <c r="H214" s="31" t="n">
        <f aca="false">SUMPRODUCT($B$29:$E$29,B214:E214)</f>
        <v>-0.246509894574919</v>
      </c>
      <c r="I214" s="31" t="n">
        <f aca="false">SUMPRODUCT($B$30:$E$30,B214:E214)</f>
        <v>0.788107286814564</v>
      </c>
      <c r="J214" s="31" t="n">
        <f aca="false">NORMSDIST(F214)</f>
        <v>0.457493657468071</v>
      </c>
      <c r="K214" s="31" t="n">
        <f aca="false">NORMSDIST(G214)</f>
        <v>0.53288761904888</v>
      </c>
      <c r="L214" s="31" t="n">
        <f aca="false">NORMSDIST(H214)</f>
        <v>0.402643772981626</v>
      </c>
      <c r="M214" s="31" t="n">
        <f aca="false">NORMSDIST(I214)</f>
        <v>0.784683023361865</v>
      </c>
      <c r="N214" s="28" t="n">
        <f aca="false">$C$61+J214*($E$61-$C$61)</f>
        <v>44.1498731493614</v>
      </c>
      <c r="O214" s="32" t="n">
        <f aca="false">$G$61+K214*($I$61-$G$61)</f>
        <v>1.26644380952444</v>
      </c>
      <c r="P214" s="32" t="n">
        <f aca="false">LOGINV(L214,LN($C$62),$E$62)</f>
        <v>1.02158690899056</v>
      </c>
      <c r="Q214" s="32" t="n">
        <f aca="false">$G$62+M214*($I$62-$G$62)</f>
        <v>7.03107360512839</v>
      </c>
    </row>
    <row r="215" customFormat="false" ht="15" hidden="false" customHeight="false" outlineLevel="0" collapsed="false">
      <c r="A215" s="5" t="n">
        <v>150</v>
      </c>
      <c r="B215" s="35" t="n">
        <v>-1.2222</v>
      </c>
      <c r="C215" s="35" t="n">
        <v>0.25008</v>
      </c>
      <c r="D215" s="35" t="n">
        <v>1.16578</v>
      </c>
      <c r="E215" s="35" t="n">
        <v>-0.29367</v>
      </c>
      <c r="F215" s="31" t="n">
        <f aca="false">SUMPRODUCT($B$27:$E$27,B215:E215)</f>
        <v>-1.2222</v>
      </c>
      <c r="G215" s="31" t="n">
        <f aca="false">SUMPRODUCT($B$28:$E$28,B215:E215)</f>
        <v>-0.0634110811951122</v>
      </c>
      <c r="H215" s="31" t="n">
        <f aca="false">SUMPRODUCT($B$29:$E$29,B215:E215)</f>
        <v>1.03092651651349</v>
      </c>
      <c r="I215" s="31" t="n">
        <f aca="false">SUMPRODUCT($B$30:$E$30,B215:E215)</f>
        <v>-0.756864272074407</v>
      </c>
      <c r="J215" s="31" t="n">
        <f aca="false">NORMSDIST(F215)</f>
        <v>0.110816001942626</v>
      </c>
      <c r="K215" s="31" t="n">
        <f aca="false">NORMSDIST(G215)</f>
        <v>0.474719581746573</v>
      </c>
      <c r="L215" s="31" t="n">
        <f aca="false">NORMSDIST(H215)</f>
        <v>0.848712359626468</v>
      </c>
      <c r="M215" s="31" t="n">
        <f aca="false">NORMSDIST(I215)</f>
        <v>0.224565591060426</v>
      </c>
      <c r="N215" s="28" t="n">
        <f aca="false">$C$61+J215*($E$61-$C$61)</f>
        <v>37.2163200388525</v>
      </c>
      <c r="O215" s="32" t="n">
        <f aca="false">$G$61+K215*($I$61-$G$61)</f>
        <v>1.23735979087329</v>
      </c>
      <c r="P215" s="32" t="n">
        <f aca="false">LOGINV(L215,LN($C$62),$E$62)</f>
        <v>1.49868511661843</v>
      </c>
      <c r="Q215" s="32" t="n">
        <f aca="false">$G$62+M215*($I$62-$G$62)</f>
        <v>4.51054515977192</v>
      </c>
    </row>
    <row r="216" customFormat="false" ht="15" hidden="false" customHeight="false" outlineLevel="0" collapsed="false">
      <c r="A216" s="5" t="n">
        <v>151</v>
      </c>
      <c r="B216" s="35" t="n">
        <v>2.01777</v>
      </c>
      <c r="C216" s="35" t="n">
        <v>-0.74591</v>
      </c>
      <c r="D216" s="35" t="n">
        <v>0.2037</v>
      </c>
      <c r="E216" s="35" t="n">
        <v>-0.49261</v>
      </c>
      <c r="F216" s="31" t="n">
        <f aca="false">SUMPRODUCT($B$27:$E$27,B216:E216)</f>
        <v>2.01777</v>
      </c>
      <c r="G216" s="31" t="n">
        <f aca="false">SUMPRODUCT($B$28:$E$28,B216:E216)</f>
        <v>-0.217781751942394</v>
      </c>
      <c r="H216" s="31" t="n">
        <f aca="false">SUMPRODUCT($B$29:$E$29,B216:E216)</f>
        <v>0.424787509645547</v>
      </c>
      <c r="I216" s="31" t="n">
        <f aca="false">SUMPRODUCT($B$30:$E$30,B216:E216)</f>
        <v>-0.532592214174878</v>
      </c>
      <c r="J216" s="31" t="n">
        <f aca="false">NORMSDIST(F216)</f>
        <v>0.97819238966945</v>
      </c>
      <c r="K216" s="31" t="n">
        <f aca="false">NORMSDIST(G216)</f>
        <v>0.413799581581136</v>
      </c>
      <c r="L216" s="31" t="n">
        <f aca="false">NORMSDIST(H216)</f>
        <v>0.664504208126488</v>
      </c>
      <c r="M216" s="31" t="n">
        <f aca="false">NORMSDIST(I216)</f>
        <v>0.297157946443199</v>
      </c>
      <c r="N216" s="28" t="n">
        <f aca="false">$C$61+J216*($E$61-$C$61)</f>
        <v>54.563847793389</v>
      </c>
      <c r="O216" s="32" t="n">
        <f aca="false">$G$61+K216*($I$61-$G$61)</f>
        <v>1.20689979079057</v>
      </c>
      <c r="P216" s="32" t="n">
        <f aca="false">LOGINV(L216,LN($C$62),$E$62)</f>
        <v>1.24950370028118</v>
      </c>
      <c r="Q216" s="32" t="n">
        <f aca="false">$G$62+M216*($I$62-$G$62)</f>
        <v>4.8372107589944</v>
      </c>
    </row>
    <row r="217" customFormat="false" ht="15" hidden="false" customHeight="false" outlineLevel="0" collapsed="false">
      <c r="A217" s="5" t="n">
        <v>152</v>
      </c>
      <c r="B217" s="35" t="n">
        <v>-0.62875</v>
      </c>
      <c r="C217" s="35" t="n">
        <v>-1.12577</v>
      </c>
      <c r="D217" s="35" t="n">
        <v>-0.55007</v>
      </c>
      <c r="E217" s="35" t="n">
        <v>-0.06224</v>
      </c>
      <c r="F217" s="31" t="n">
        <f aca="false">SUMPRODUCT($B$27:$E$27,B217:E217)</f>
        <v>-0.62875</v>
      </c>
      <c r="G217" s="31" t="n">
        <f aca="false">SUMPRODUCT($B$28:$E$28,B217:E217)</f>
        <v>-1.24720961541498</v>
      </c>
      <c r="H217" s="31" t="n">
        <f aca="false">SUMPRODUCT($B$29:$E$29,B217:E217)</f>
        <v>-0.174193508563628</v>
      </c>
      <c r="I217" s="31" t="n">
        <f aca="false">SUMPRODUCT($B$30:$E$30,B217:E217)</f>
        <v>0.174952162855044</v>
      </c>
      <c r="J217" s="31" t="n">
        <f aca="false">NORMSDIST(F217)</f>
        <v>0.264756369283433</v>
      </c>
      <c r="K217" s="31" t="n">
        <f aca="false">NORMSDIST(G217)</f>
        <v>0.106160324074604</v>
      </c>
      <c r="L217" s="31" t="n">
        <f aca="false">NORMSDIST(H217)</f>
        <v>0.430856693481946</v>
      </c>
      <c r="M217" s="31" t="n">
        <f aca="false">NORMSDIST(I217)</f>
        <v>0.56944138887105</v>
      </c>
      <c r="N217" s="28" t="n">
        <f aca="false">$C$61+J217*($E$61-$C$61)</f>
        <v>40.2951273856687</v>
      </c>
      <c r="O217" s="32" t="n">
        <f aca="false">$G$61+K217*($I$61-$G$61)</f>
        <v>1.0530801620373</v>
      </c>
      <c r="P217" s="32" t="n">
        <f aca="false">LOGINV(L217,LN($C$62),$E$62)</f>
        <v>1.04399231386517</v>
      </c>
      <c r="Q217" s="32" t="n">
        <f aca="false">$G$62+M217*($I$62-$G$62)</f>
        <v>6.06248624991973</v>
      </c>
    </row>
    <row r="218" customFormat="false" ht="15" hidden="false" customHeight="false" outlineLevel="0" collapsed="false">
      <c r="A218" s="5" t="n">
        <v>153</v>
      </c>
      <c r="B218" s="35" t="n">
        <v>-0.8131</v>
      </c>
      <c r="C218" s="35" t="n">
        <v>0.8724</v>
      </c>
      <c r="D218" s="35" t="n">
        <v>1.51033</v>
      </c>
      <c r="E218" s="35" t="n">
        <v>-1.5389</v>
      </c>
      <c r="F218" s="31" t="n">
        <f aca="false">SUMPRODUCT($B$27:$E$27,B218:E218)</f>
        <v>-0.8131</v>
      </c>
      <c r="G218" s="31" t="n">
        <f aca="false">SUMPRODUCT($B$28:$E$28,B218:E218)</f>
        <v>0.641422667807838</v>
      </c>
      <c r="H218" s="31" t="n">
        <f aca="false">SUMPRODUCT($B$29:$E$29,B218:E218)</f>
        <v>1.16570211705942</v>
      </c>
      <c r="I218" s="31" t="n">
        <f aca="false">SUMPRODUCT($B$30:$E$30,B218:E218)</f>
        <v>-2.03148815015654</v>
      </c>
      <c r="J218" s="31" t="n">
        <f aca="false">NORMSDIST(F218)</f>
        <v>0.208080363233625</v>
      </c>
      <c r="K218" s="31" t="n">
        <f aca="false">NORMSDIST(G218)</f>
        <v>0.739375945299152</v>
      </c>
      <c r="L218" s="31" t="n">
        <f aca="false">NORMSDIST(H218)</f>
        <v>0.878132548035678</v>
      </c>
      <c r="M218" s="31" t="n">
        <f aca="false">NORMSDIST(I218)</f>
        <v>0.0211027502010698</v>
      </c>
      <c r="N218" s="28" t="n">
        <f aca="false">$C$61+J218*($E$61-$C$61)</f>
        <v>39.1616072646725</v>
      </c>
      <c r="O218" s="32" t="n">
        <f aca="false">$G$61+K218*($I$61-$G$61)</f>
        <v>1.36968797264958</v>
      </c>
      <c r="P218" s="32" t="n">
        <f aca="false">LOGINV(L218,LN($C$62),$E$62)</f>
        <v>1.56052267765266</v>
      </c>
      <c r="Q218" s="32" t="n">
        <f aca="false">$G$62+M218*($I$62-$G$62)</f>
        <v>3.59496237590481</v>
      </c>
    </row>
    <row r="219" customFormat="false" ht="15" hidden="false" customHeight="false" outlineLevel="0" collapsed="false">
      <c r="A219" s="5" t="n">
        <v>154</v>
      </c>
      <c r="B219" s="35" t="n">
        <v>0.82484</v>
      </c>
      <c r="C219" s="35" t="n">
        <v>0.17806</v>
      </c>
      <c r="D219" s="35" t="n">
        <v>0.23332</v>
      </c>
      <c r="E219" s="35" t="n">
        <v>2.4505</v>
      </c>
      <c r="F219" s="31" t="n">
        <f aca="false">SUMPRODUCT($B$27:$E$27,B219:E219)</f>
        <v>0.82484</v>
      </c>
      <c r="G219" s="31" t="n">
        <f aca="false">SUMPRODUCT($B$28:$E$28,B219:E219)</f>
        <v>0.378615853656423</v>
      </c>
      <c r="H219" s="31" t="n">
        <f aca="false">SUMPRODUCT($B$29:$E$29,B219:E219)</f>
        <v>0.166668250356087</v>
      </c>
      <c r="I219" s="31" t="n">
        <f aca="false">SUMPRODUCT($B$30:$E$30,B219:E219)</f>
        <v>2.12493109941469</v>
      </c>
      <c r="J219" s="31" t="n">
        <f aca="false">NORMSDIST(F219)</f>
        <v>0.795268783006615</v>
      </c>
      <c r="K219" s="31" t="n">
        <f aca="false">NORMSDIST(G219)</f>
        <v>0.647513426174494</v>
      </c>
      <c r="L219" s="31" t="n">
        <f aca="false">NORMSDIST(H219)</f>
        <v>0.566184455697137</v>
      </c>
      <c r="M219" s="31" t="n">
        <f aca="false">NORMSDIST(I219)</f>
        <v>0.983203818740799</v>
      </c>
      <c r="N219" s="28" t="n">
        <f aca="false">$C$61+J219*($E$61-$C$61)</f>
        <v>50.9053756601323</v>
      </c>
      <c r="O219" s="32" t="n">
        <f aca="false">$G$61+K219*($I$61-$G$61)</f>
        <v>1.32375671308725</v>
      </c>
      <c r="P219" s="32" t="n">
        <f aca="false">LOGINV(L219,LN($C$62),$E$62)</f>
        <v>1.15639875542644</v>
      </c>
      <c r="Q219" s="32" t="n">
        <f aca="false">$G$62+M219*($I$62-$G$62)</f>
        <v>7.9244171843336</v>
      </c>
    </row>
    <row r="220" customFormat="false" ht="15" hidden="false" customHeight="false" outlineLevel="0" collapsed="false">
      <c r="A220" s="5" t="n">
        <v>155</v>
      </c>
      <c r="B220" s="35" t="n">
        <v>1.19432</v>
      </c>
      <c r="C220" s="35" t="n">
        <v>0.32431</v>
      </c>
      <c r="D220" s="35" t="n">
        <v>0.17311</v>
      </c>
      <c r="E220" s="35" t="n">
        <v>-2.16572</v>
      </c>
      <c r="F220" s="31" t="n">
        <f aca="false">SUMPRODUCT($B$27:$E$27,B220:E220)</f>
        <v>1.19432</v>
      </c>
      <c r="G220" s="31" t="n">
        <f aca="false">SUMPRODUCT($B$28:$E$28,B220:E220)</f>
        <v>0.612591807252132</v>
      </c>
      <c r="H220" s="31" t="n">
        <f aca="false">SUMPRODUCT($B$29:$E$29,B220:E220)</f>
        <v>0.0641073307295943</v>
      </c>
      <c r="I220" s="31" t="n">
        <f aca="false">SUMPRODUCT($B$30:$E$30,B220:E220)</f>
        <v>-2.03756553887718</v>
      </c>
      <c r="J220" s="31" t="n">
        <f aca="false">NORMSDIST(F220)</f>
        <v>0.883823591447335</v>
      </c>
      <c r="K220" s="31" t="n">
        <f aca="false">NORMSDIST(G220)</f>
        <v>0.729926861623149</v>
      </c>
      <c r="L220" s="31" t="n">
        <f aca="false">NORMSDIST(H220)</f>
        <v>0.525557617611384</v>
      </c>
      <c r="M220" s="31" t="n">
        <f aca="false">NORMSDIST(I220)</f>
        <v>0.0207967006705114</v>
      </c>
      <c r="N220" s="28" t="n">
        <f aca="false">$C$61+J220*($E$61-$C$61)</f>
        <v>52.6764718289467</v>
      </c>
      <c r="O220" s="32" t="n">
        <f aca="false">$G$61+K220*($I$61-$G$61)</f>
        <v>1.36496343081157</v>
      </c>
      <c r="P220" s="32" t="n">
        <f aca="false">LOGINV(L220,LN($C$62),$E$62)</f>
        <v>1.12136016220534</v>
      </c>
      <c r="Q220" s="32" t="n">
        <f aca="false">$G$62+M220*($I$62-$G$62)</f>
        <v>3.5935851530173</v>
      </c>
    </row>
    <row r="221" customFormat="false" ht="15" hidden="false" customHeight="false" outlineLevel="0" collapsed="false">
      <c r="A221" s="5" t="n">
        <v>156</v>
      </c>
      <c r="B221" s="35" t="n">
        <v>0.77239</v>
      </c>
      <c r="C221" s="35" t="n">
        <v>-0.74869</v>
      </c>
      <c r="D221" s="35" t="n">
        <v>0.17573</v>
      </c>
      <c r="E221" s="35" t="n">
        <v>0.09763</v>
      </c>
      <c r="F221" s="31" t="n">
        <f aca="false">SUMPRODUCT($B$27:$E$27,B221:E221)</f>
        <v>0.77239</v>
      </c>
      <c r="G221" s="31" t="n">
        <f aca="false">SUMPRODUCT($B$28:$E$28,B221:E221)</f>
        <v>-0.531818475368008</v>
      </c>
      <c r="H221" s="31" t="n">
        <f aca="false">SUMPRODUCT($B$29:$E$29,B221:E221)</f>
        <v>0.39905528873035</v>
      </c>
      <c r="I221" s="31" t="n">
        <f aca="false">SUMPRODUCT($B$30:$E$30,B221:E221)</f>
        <v>0.0146396084461265</v>
      </c>
      <c r="J221" s="31" t="n">
        <f aca="false">NORMSDIST(F221)</f>
        <v>0.780058262588926</v>
      </c>
      <c r="K221" s="31" t="n">
        <f aca="false">NORMSDIST(G221)</f>
        <v>0.297425862722819</v>
      </c>
      <c r="L221" s="31" t="n">
        <f aca="false">NORMSDIST(H221)</f>
        <v>0.655073766967287</v>
      </c>
      <c r="M221" s="31" t="n">
        <f aca="false">NORMSDIST(I221)</f>
        <v>0.505840150168588</v>
      </c>
      <c r="N221" s="28" t="n">
        <f aca="false">$C$61+J221*($E$61-$C$61)</f>
        <v>50.6011652517785</v>
      </c>
      <c r="O221" s="32" t="n">
        <f aca="false">$G$61+K221*($I$61-$G$61)</f>
        <v>1.14871293136141</v>
      </c>
      <c r="P221" s="32" t="n">
        <f aca="false">LOGINV(L221,LN($C$62),$E$62)</f>
        <v>1.23989508407874</v>
      </c>
      <c r="Q221" s="32" t="n">
        <f aca="false">$G$62+M221*($I$62-$G$62)</f>
        <v>5.77628067575864</v>
      </c>
    </row>
    <row r="222" customFormat="false" ht="15" hidden="false" customHeight="false" outlineLevel="0" collapsed="false">
      <c r="A222" s="5" t="n">
        <v>157</v>
      </c>
      <c r="B222" s="35" t="n">
        <v>0.96035</v>
      </c>
      <c r="C222" s="35" t="n">
        <v>2.0305</v>
      </c>
      <c r="D222" s="35" t="n">
        <v>0.9836</v>
      </c>
      <c r="E222" s="35" t="n">
        <v>1.27295</v>
      </c>
      <c r="F222" s="31" t="n">
        <f aca="false">SUMPRODUCT($B$27:$E$27,B222:E222)</f>
        <v>0.96035</v>
      </c>
      <c r="G222" s="31" t="n">
        <f aca="false">SUMPRODUCT($B$28:$E$28,B222:E222)</f>
        <v>2.20611067111854</v>
      </c>
      <c r="H222" s="31" t="n">
        <f aca="false">SUMPRODUCT($B$29:$E$29,B222:E222)</f>
        <v>0.30606878916935</v>
      </c>
      <c r="I222" s="31" t="n">
        <f aca="false">SUMPRODUCT($B$30:$E$30,B222:E222)</f>
        <v>0.741014511901787</v>
      </c>
      <c r="J222" s="31" t="n">
        <f aca="false">NORMSDIST(F222)</f>
        <v>0.831560453255719</v>
      </c>
      <c r="K222" s="31" t="n">
        <f aca="false">NORMSDIST(G222)</f>
        <v>0.986311874133317</v>
      </c>
      <c r="L222" s="31" t="n">
        <f aca="false">NORMSDIST(H222)</f>
        <v>0.620223864534137</v>
      </c>
      <c r="M222" s="31" t="n">
        <f aca="false">NORMSDIST(I222)</f>
        <v>0.770657679314879</v>
      </c>
      <c r="N222" s="28" t="n">
        <f aca="false">$C$61+J222*($E$61-$C$61)</f>
        <v>51.6312090651144</v>
      </c>
      <c r="O222" s="32" t="n">
        <f aca="false">$G$61+K222*($I$61-$G$61)</f>
        <v>1.49315593706666</v>
      </c>
      <c r="P222" s="32" t="n">
        <f aca="false">LOGINV(L222,LN($C$62),$E$62)</f>
        <v>1.20578501137451</v>
      </c>
      <c r="Q222" s="32" t="n">
        <f aca="false">$G$62+M222*($I$62-$G$62)</f>
        <v>6.96795955691696</v>
      </c>
    </row>
    <row r="223" customFormat="false" ht="15" hidden="false" customHeight="false" outlineLevel="0" collapsed="false">
      <c r="A223" s="5" t="n">
        <v>158</v>
      </c>
      <c r="B223" s="35" t="n">
        <v>-0.23454</v>
      </c>
      <c r="C223" s="35" t="n">
        <v>0.45577</v>
      </c>
      <c r="D223" s="35" t="n">
        <v>0.76925</v>
      </c>
      <c r="E223" s="35" t="n">
        <v>-1.43963</v>
      </c>
      <c r="F223" s="31" t="n">
        <f aca="false">SUMPRODUCT($B$27:$E$27,B223:E223)</f>
        <v>-0.23454</v>
      </c>
      <c r="G223" s="31" t="n">
        <f aca="false">SUMPRODUCT($B$28:$E$28,B223:E223)</f>
        <v>0.382662404925239</v>
      </c>
      <c r="H223" s="31" t="n">
        <f aca="false">SUMPRODUCT($B$29:$E$29,B223:E223)</f>
        <v>0.590179380923174</v>
      </c>
      <c r="I223" s="31" t="n">
        <f aca="false">SUMPRODUCT($B$30:$E$30,B223:E223)</f>
        <v>-1.62965587054118</v>
      </c>
      <c r="J223" s="31" t="n">
        <f aca="false">NORMSDIST(F223)</f>
        <v>0.407282891757483</v>
      </c>
      <c r="K223" s="31" t="n">
        <f aca="false">NORMSDIST(G223)</f>
        <v>0.649014953474036</v>
      </c>
      <c r="L223" s="31" t="n">
        <f aca="false">NORMSDIST(H223)</f>
        <v>0.722464802917542</v>
      </c>
      <c r="M223" s="31" t="n">
        <f aca="false">NORMSDIST(I223)</f>
        <v>0.0515871245129889</v>
      </c>
      <c r="N223" s="28" t="n">
        <f aca="false">$C$61+J223*($E$61-$C$61)</f>
        <v>43.1456578351497</v>
      </c>
      <c r="O223" s="32" t="n">
        <f aca="false">$G$61+K223*($I$61-$G$61)</f>
        <v>1.32450747673702</v>
      </c>
      <c r="P223" s="32" t="n">
        <f aca="false">LOGINV(L223,LN($C$62),$E$62)</f>
        <v>1.31306486217473</v>
      </c>
      <c r="Q223" s="32" t="n">
        <f aca="false">$G$62+M223*($I$62-$G$62)</f>
        <v>3.73214206030845</v>
      </c>
    </row>
    <row r="224" customFormat="false" ht="15" hidden="false" customHeight="false" outlineLevel="0" collapsed="false">
      <c r="A224" s="5" t="n">
        <v>159</v>
      </c>
      <c r="B224" s="35" t="n">
        <v>2.04154</v>
      </c>
      <c r="C224" s="35" t="n">
        <v>-0.71487</v>
      </c>
      <c r="D224" s="35" t="n">
        <v>-1.27754</v>
      </c>
      <c r="E224" s="35" t="n">
        <v>1.63404</v>
      </c>
      <c r="F224" s="31" t="n">
        <f aca="false">SUMPRODUCT($B$27:$E$27,B224:E224)</f>
        <v>2.04154</v>
      </c>
      <c r="G224" s="31" t="n">
        <f aca="false">SUMPRODUCT($B$28:$E$28,B224:E224)</f>
        <v>-0.181784901175824</v>
      </c>
      <c r="H224" s="31" t="n">
        <f aca="false">SUMPRODUCT($B$29:$E$29,B224:E224)</f>
        <v>-0.993176797102855</v>
      </c>
      <c r="I224" s="31" t="n">
        <f aca="false">SUMPRODUCT($B$30:$E$30,B224:E224)</f>
        <v>2.01986351228793</v>
      </c>
      <c r="J224" s="31" t="n">
        <f aca="false">NORMSDIST(F224)</f>
        <v>0.979401408896849</v>
      </c>
      <c r="K224" s="31" t="n">
        <f aca="false">NORMSDIST(G224)</f>
        <v>0.42787576710317</v>
      </c>
      <c r="L224" s="31" t="n">
        <f aca="false">NORMSDIST(H224)</f>
        <v>0.16031190184261</v>
      </c>
      <c r="M224" s="31" t="n">
        <f aca="false">NORMSDIST(I224)</f>
        <v>0.978301226515542</v>
      </c>
      <c r="N224" s="28" t="n">
        <f aca="false">$C$61+J224*($E$61-$C$61)</f>
        <v>54.588028177937</v>
      </c>
      <c r="O224" s="32" t="n">
        <f aca="false">$G$61+K224*($I$61-$G$61)</f>
        <v>1.21393788355158</v>
      </c>
      <c r="P224" s="32" t="n">
        <f aca="false">LOGINV(L224,LN($C$62),$E$62)</f>
        <v>0.816569819650613</v>
      </c>
      <c r="Q224" s="32" t="n">
        <f aca="false">$G$62+M224*($I$62-$G$62)</f>
        <v>7.90235551931994</v>
      </c>
    </row>
    <row r="225" customFormat="false" ht="15" hidden="false" customHeight="false" outlineLevel="0" collapsed="false">
      <c r="A225" s="5" t="n">
        <v>160</v>
      </c>
      <c r="B225" s="35" t="n">
        <v>2.11844</v>
      </c>
      <c r="C225" s="35" t="n">
        <v>-0.70311</v>
      </c>
      <c r="D225" s="35" t="n">
        <v>-0.61331</v>
      </c>
      <c r="E225" s="35" t="n">
        <v>3.11191</v>
      </c>
      <c r="F225" s="31" t="n">
        <f aca="false">SUMPRODUCT($B$27:$E$27,B225:E225)</f>
        <v>2.11844</v>
      </c>
      <c r="G225" s="31" t="n">
        <f aca="false">SUMPRODUCT($B$28:$E$28,B225:E225)</f>
        <v>-0.151173330137974</v>
      </c>
      <c r="H225" s="31" t="n">
        <f aca="false">SUMPRODUCT($B$29:$E$29,B225:E225)</f>
        <v>-0.365277825440275</v>
      </c>
      <c r="I225" s="31" t="n">
        <f aca="false">SUMPRODUCT($B$30:$E$30,B225:E225)</f>
        <v>3.08114107926583</v>
      </c>
      <c r="J225" s="31" t="n">
        <f aca="false">NORMSDIST(F225)</f>
        <v>0.982931089359879</v>
      </c>
      <c r="K225" s="31" t="n">
        <f aca="false">NORMSDIST(G225)</f>
        <v>0.439919493976878</v>
      </c>
      <c r="L225" s="31" t="n">
        <f aca="false">NORMSDIST(H225)</f>
        <v>0.357452014618598</v>
      </c>
      <c r="M225" s="31" t="n">
        <f aca="false">NORMSDIST(I225)</f>
        <v>0.998968955403099</v>
      </c>
      <c r="N225" s="28" t="n">
        <f aca="false">$C$61+J225*($E$61-$C$61)</f>
        <v>54.6586217871976</v>
      </c>
      <c r="O225" s="32" t="n">
        <f aca="false">$G$61+K225*($I$61-$G$61)</f>
        <v>1.21995974698844</v>
      </c>
      <c r="P225" s="32" t="n">
        <f aca="false">LOGINV(L225,LN($C$62),$E$62)</f>
        <v>0.985828210927015</v>
      </c>
      <c r="Q225" s="32" t="n">
        <f aca="false">$G$62+M225*($I$62-$G$62)</f>
        <v>7.99536029931394</v>
      </c>
    </row>
    <row r="226" customFormat="false" ht="15" hidden="false" customHeight="false" outlineLevel="0" collapsed="false">
      <c r="A226" s="5" t="n">
        <v>161</v>
      </c>
      <c r="B226" s="35" t="n">
        <v>0.11262</v>
      </c>
      <c r="C226" s="35" t="n">
        <v>-1.98406</v>
      </c>
      <c r="D226" s="35" t="n">
        <v>-0.61227</v>
      </c>
      <c r="E226" s="35" t="n">
        <v>2.00212</v>
      </c>
      <c r="F226" s="31" t="n">
        <f aca="false">SUMPRODUCT($B$27:$E$27,B226:E226)</f>
        <v>0.11262</v>
      </c>
      <c r="G226" s="31" t="n">
        <f aca="false">SUMPRODUCT($B$28:$E$28,B226:E226)</f>
        <v>-1.89290283446907</v>
      </c>
      <c r="H226" s="31" t="n">
        <f aca="false">SUMPRODUCT($B$29:$E$29,B226:E226)</f>
        <v>0.0325988366574338</v>
      </c>
      <c r="I226" s="31" t="n">
        <f aca="false">SUMPRODUCT($B$30:$E$30,B226:E226)</f>
        <v>2.07390388910342</v>
      </c>
      <c r="J226" s="31" t="n">
        <f aca="false">NORMSDIST(F226)</f>
        <v>0.544834085890415</v>
      </c>
      <c r="K226" s="31" t="n">
        <f aca="false">NORMSDIST(G226)</f>
        <v>0.0291853961265798</v>
      </c>
      <c r="L226" s="31" t="n">
        <f aca="false">NORMSDIST(H226)</f>
        <v>0.513002751224165</v>
      </c>
      <c r="M226" s="31" t="n">
        <f aca="false">NORMSDIST(I226)</f>
        <v>0.98095588110298</v>
      </c>
      <c r="N226" s="28" t="n">
        <f aca="false">$C$61+J226*($E$61-$C$61)</f>
        <v>45.8966817178083</v>
      </c>
      <c r="O226" s="32" t="n">
        <f aca="false">$G$61+K226*($I$61-$G$61)</f>
        <v>1.01459269806329</v>
      </c>
      <c r="P226" s="32" t="n">
        <f aca="false">LOGINV(L226,LN($C$62),$E$62)</f>
        <v>1.11081039086174</v>
      </c>
      <c r="Q226" s="32" t="n">
        <f aca="false">$G$62+M226*($I$62-$G$62)</f>
        <v>7.91430146496341</v>
      </c>
    </row>
    <row r="227" customFormat="false" ht="15" hidden="false" customHeight="false" outlineLevel="0" collapsed="false">
      <c r="A227" s="5" t="n">
        <v>162</v>
      </c>
      <c r="B227" s="35" t="n">
        <v>0.65912</v>
      </c>
      <c r="C227" s="35" t="n">
        <v>0.7521</v>
      </c>
      <c r="D227" s="35" t="n">
        <v>1.22456</v>
      </c>
      <c r="E227" s="35" t="n">
        <v>0.67578</v>
      </c>
      <c r="F227" s="31" t="n">
        <f aca="false">SUMPRODUCT($B$27:$E$27,B227:E227)</f>
        <v>0.65912</v>
      </c>
      <c r="G227" s="31" t="n">
        <f aca="false">SUMPRODUCT($B$28:$E$28,B227:E227)</f>
        <v>0.89299769367065</v>
      </c>
      <c r="H227" s="31" t="n">
        <f aca="false">SUMPRODUCT($B$29:$E$29,B227:E227)</f>
        <v>0.931268694553649</v>
      </c>
      <c r="I227" s="31" t="n">
        <f aca="false">SUMPRODUCT($B$30:$E$30,B227:E227)</f>
        <v>0.0978902382470553</v>
      </c>
      <c r="J227" s="31" t="n">
        <f aca="false">NORMSDIST(F227)</f>
        <v>0.745090643204541</v>
      </c>
      <c r="K227" s="31" t="n">
        <f aca="false">NORMSDIST(G227)</f>
        <v>0.814070796122713</v>
      </c>
      <c r="L227" s="31" t="n">
        <f aca="false">NORMSDIST(H227)</f>
        <v>0.824142704321509</v>
      </c>
      <c r="M227" s="31" t="n">
        <f aca="false">NORMSDIST(I227)</f>
        <v>0.538990274246125</v>
      </c>
      <c r="N227" s="28" t="n">
        <f aca="false">$C$61+J227*($E$61-$C$61)</f>
        <v>49.9018128640908</v>
      </c>
      <c r="O227" s="32" t="n">
        <f aca="false">$G$61+K227*($I$61-$G$61)</f>
        <v>1.40703539806136</v>
      </c>
      <c r="P227" s="32" t="n">
        <f aca="false">LOGINV(L227,LN($C$62),$E$62)</f>
        <v>1.45454158361098</v>
      </c>
      <c r="Q227" s="32" t="n">
        <f aca="false">$G$62+M227*($I$62-$G$62)</f>
        <v>5.92545623410756</v>
      </c>
    </row>
    <row r="228" customFormat="false" ht="15" hidden="false" customHeight="false" outlineLevel="0" collapsed="false">
      <c r="A228" s="5" t="n">
        <v>163</v>
      </c>
      <c r="B228" s="35" t="n">
        <v>-0.3332</v>
      </c>
      <c r="C228" s="35" t="n">
        <v>-1.59431</v>
      </c>
      <c r="D228" s="35" t="n">
        <v>0.44637</v>
      </c>
      <c r="E228" s="35" t="n">
        <v>-1.11603</v>
      </c>
      <c r="F228" s="31" t="n">
        <f aca="false">SUMPRODUCT($B$27:$E$27,B228:E228)</f>
        <v>-0.3332</v>
      </c>
      <c r="G228" s="31" t="n">
        <f aca="false">SUMPRODUCT($B$28:$E$28,B228:E228)</f>
        <v>-1.62698401967299</v>
      </c>
      <c r="H228" s="31" t="n">
        <f aca="false">SUMPRODUCT($B$29:$E$29,B228:E228)</f>
        <v>0.918382637359834</v>
      </c>
      <c r="I228" s="31" t="n">
        <f aca="false">SUMPRODUCT($B$30:$E$30,B228:E228)</f>
        <v>-1.20024984697194</v>
      </c>
      <c r="J228" s="31" t="n">
        <f aca="false">NORMSDIST(F228)</f>
        <v>0.369491659063496</v>
      </c>
      <c r="K228" s="31" t="n">
        <f aca="false">NORMSDIST(G228)</f>
        <v>0.0518702459060707</v>
      </c>
      <c r="L228" s="31" t="n">
        <f aca="false">NORMSDIST(H228)</f>
        <v>0.820790711307161</v>
      </c>
      <c r="M228" s="31" t="n">
        <f aca="false">NORMSDIST(I228)</f>
        <v>0.115021160696721</v>
      </c>
      <c r="N228" s="28" t="n">
        <f aca="false">$C$61+J228*($E$61-$C$61)</f>
        <v>42.3898331812699</v>
      </c>
      <c r="O228" s="32" t="n">
        <f aca="false">$G$61+K228*($I$61-$G$61)</f>
        <v>1.02593512295304</v>
      </c>
      <c r="P228" s="32" t="n">
        <f aca="false">LOGINV(L228,LN($C$62),$E$62)</f>
        <v>1.44892944653695</v>
      </c>
      <c r="Q228" s="32" t="n">
        <f aca="false">$G$62+M228*($I$62-$G$62)</f>
        <v>4.01759522313525</v>
      </c>
    </row>
    <row r="229" customFormat="false" ht="15" hidden="false" customHeight="false" outlineLevel="0" collapsed="false">
      <c r="A229" s="5" t="n">
        <v>164</v>
      </c>
      <c r="B229" s="35" t="n">
        <v>-0.05624</v>
      </c>
      <c r="C229" s="35" t="n">
        <v>1.75897</v>
      </c>
      <c r="D229" s="35" t="n">
        <v>0.54065</v>
      </c>
      <c r="E229" s="35" t="n">
        <v>0.05949</v>
      </c>
      <c r="F229" s="31" t="n">
        <f aca="false">SUMPRODUCT($B$27:$E$27,B229:E229)</f>
        <v>-0.05624</v>
      </c>
      <c r="G229" s="31" t="n">
        <f aca="false">SUMPRODUCT($B$28:$E$28,B229:E229)</f>
        <v>1.68905537911962</v>
      </c>
      <c r="H229" s="31" t="n">
        <f aca="false">SUMPRODUCT($B$29:$E$29,B229:E229)</f>
        <v>-0.030952769576425</v>
      </c>
      <c r="I229" s="31" t="n">
        <f aca="false">SUMPRODUCT($B$30:$E$30,B229:E229)</f>
        <v>-0.17348393453736</v>
      </c>
      <c r="J229" s="31" t="n">
        <f aca="false">NORMSDIST(F229)</f>
        <v>0.477575308089744</v>
      </c>
      <c r="K229" s="31" t="n">
        <f aca="false">NORMSDIST(G229)</f>
        <v>0.954395591121203</v>
      </c>
      <c r="L229" s="31" t="n">
        <f aca="false">NORMSDIST(H229)</f>
        <v>0.487653603012123</v>
      </c>
      <c r="M229" s="31" t="n">
        <f aca="false">NORMSDIST(I229)</f>
        <v>0.431135527398354</v>
      </c>
      <c r="N229" s="28" t="n">
        <f aca="false">$C$61+J229*($E$61-$C$61)</f>
        <v>44.5515061617949</v>
      </c>
      <c r="O229" s="32" t="n">
        <f aca="false">$G$61+K229*($I$61-$G$61)</f>
        <v>1.4771977955606</v>
      </c>
      <c r="P229" s="32" t="n">
        <f aca="false">LOGINV(L229,LN($C$62),$E$62)</f>
        <v>1.08983286424771</v>
      </c>
      <c r="Q229" s="32" t="n">
        <f aca="false">$G$62+M229*($I$62-$G$62)</f>
        <v>5.44010987329259</v>
      </c>
    </row>
    <row r="230" customFormat="false" ht="15" hidden="false" customHeight="false" outlineLevel="0" collapsed="false">
      <c r="A230" s="5" t="n">
        <v>165</v>
      </c>
      <c r="B230" s="35" t="n">
        <v>0.06568</v>
      </c>
      <c r="C230" s="35" t="n">
        <v>0.73079</v>
      </c>
      <c r="D230" s="35" t="n">
        <v>0.92123</v>
      </c>
      <c r="E230" s="35" t="n">
        <v>-1.31681</v>
      </c>
      <c r="F230" s="31" t="n">
        <f aca="false">SUMPRODUCT($B$27:$E$27,B230:E230)</f>
        <v>0.06568</v>
      </c>
      <c r="G230" s="31" t="n">
        <f aca="false">SUMPRODUCT($B$28:$E$28,B230:E230)</f>
        <v>0.72400437489373</v>
      </c>
      <c r="H230" s="31" t="n">
        <f aca="false">SUMPRODUCT($B$29:$E$29,B230:E230)</f>
        <v>0.649468484930236</v>
      </c>
      <c r="I230" s="31" t="n">
        <f aca="false">SUMPRODUCT($B$30:$E$30,B230:E230)</f>
        <v>-1.58217223551713</v>
      </c>
      <c r="J230" s="31" t="n">
        <f aca="false">NORMSDIST(F230)</f>
        <v>0.526183702143425</v>
      </c>
      <c r="K230" s="31" t="n">
        <f aca="false">NORMSDIST(G230)</f>
        <v>0.76546847539421</v>
      </c>
      <c r="L230" s="31" t="n">
        <f aca="false">NORMSDIST(H230)</f>
        <v>0.741982194868756</v>
      </c>
      <c r="M230" s="31" t="n">
        <f aca="false">NORMSDIST(I230)</f>
        <v>0.056805128390456</v>
      </c>
      <c r="N230" s="28" t="n">
        <f aca="false">$C$61+J230*($E$61-$C$61)</f>
        <v>45.5236740428685</v>
      </c>
      <c r="O230" s="32" t="n">
        <f aca="false">$G$61+K230*($I$61-$G$61)</f>
        <v>1.38273423769711</v>
      </c>
      <c r="P230" s="32" t="n">
        <f aca="false">LOGINV(L230,LN($C$62),$E$62)</f>
        <v>1.33662893661866</v>
      </c>
      <c r="Q230" s="32" t="n">
        <f aca="false">$G$62+M230*($I$62-$G$62)</f>
        <v>3.75562307775705</v>
      </c>
    </row>
    <row r="231" customFormat="false" ht="15" hidden="false" customHeight="false" outlineLevel="0" collapsed="false">
      <c r="A231" s="5" t="n">
        <v>166</v>
      </c>
      <c r="B231" s="35" t="n">
        <v>0.18548</v>
      </c>
      <c r="C231" s="35" t="n">
        <v>1.71565</v>
      </c>
      <c r="D231" s="35" t="n">
        <v>0.75437</v>
      </c>
      <c r="E231" s="35" t="n">
        <v>-0.76513</v>
      </c>
      <c r="F231" s="31" t="n">
        <f aca="false">SUMPRODUCT($B$27:$E$27,B231:E231)</f>
        <v>0.18548</v>
      </c>
      <c r="G231" s="31" t="n">
        <f aca="false">SUMPRODUCT($B$28:$E$28,B231:E231)</f>
        <v>1.70754096948019</v>
      </c>
      <c r="H231" s="31" t="n">
        <f aca="false">SUMPRODUCT($B$29:$E$29,B231:E231)</f>
        <v>0.185672097774295</v>
      </c>
      <c r="I231" s="31" t="n">
        <f aca="false">SUMPRODUCT($B$30:$E$30,B231:E231)</f>
        <v>-1.01149051918466</v>
      </c>
      <c r="J231" s="31" t="n">
        <f aca="false">NORMSDIST(F231)</f>
        <v>0.57357371710992</v>
      </c>
      <c r="K231" s="31" t="n">
        <f aca="false">NORMSDIST(G231)</f>
        <v>0.956139225186779</v>
      </c>
      <c r="L231" s="31" t="n">
        <f aca="false">NORMSDIST(H231)</f>
        <v>0.573649044718384</v>
      </c>
      <c r="M231" s="31" t="n">
        <f aca="false">NORMSDIST(I231)</f>
        <v>0.155890858271662</v>
      </c>
      <c r="N231" s="28" t="n">
        <f aca="false">$C$61+J231*($E$61-$C$61)</f>
        <v>46.4714743421984</v>
      </c>
      <c r="O231" s="32" t="n">
        <f aca="false">$G$61+K231*($I$61-$G$61)</f>
        <v>1.47806961259339</v>
      </c>
      <c r="P231" s="32" t="n">
        <f aca="false">LOGINV(L231,LN($C$62),$E$62)</f>
        <v>1.16301039214933</v>
      </c>
      <c r="Q231" s="32" t="n">
        <f aca="false">$G$62+M231*($I$62-$G$62)</f>
        <v>4.20150886222248</v>
      </c>
    </row>
    <row r="232" customFormat="false" ht="15" hidden="false" customHeight="false" outlineLevel="0" collapsed="false">
      <c r="A232" s="5" t="n">
        <v>167</v>
      </c>
      <c r="B232" s="35" t="n">
        <v>-0.67963</v>
      </c>
      <c r="C232" s="35" t="n">
        <v>-2.06192</v>
      </c>
      <c r="D232" s="35" t="n">
        <v>-0.79338</v>
      </c>
      <c r="E232" s="35" t="n">
        <v>1.60697</v>
      </c>
      <c r="F232" s="31" t="n">
        <f aca="false">SUMPRODUCT($B$27:$E$27,B232:E232)</f>
        <v>-0.67963</v>
      </c>
      <c r="G232" s="31" t="n">
        <f aca="false">SUMPRODUCT($B$28:$E$28,B232:E232)</f>
        <v>-2.166352955303</v>
      </c>
      <c r="H232" s="31" t="n">
        <f aca="false">SUMPRODUCT($B$29:$E$29,B232:E232)</f>
        <v>-0.115474546893349</v>
      </c>
      <c r="I232" s="31" t="n">
        <f aca="false">SUMPRODUCT($B$30:$E$30,B232:E232)</f>
        <v>1.79161801003282</v>
      </c>
      <c r="J232" s="31" t="n">
        <f aca="false">NORMSDIST(F232)</f>
        <v>0.24836938456412</v>
      </c>
      <c r="K232" s="31" t="n">
        <f aca="false">NORMSDIST(G232)</f>
        <v>0.015142112990191</v>
      </c>
      <c r="L232" s="31" t="n">
        <f aca="false">NORMSDIST(H232)</f>
        <v>0.454034497068727</v>
      </c>
      <c r="M232" s="31" t="n">
        <f aca="false">NORMSDIST(I232)</f>
        <v>0.963402911912928</v>
      </c>
      <c r="N232" s="28" t="n">
        <f aca="false">$C$61+J232*($E$61-$C$61)</f>
        <v>39.9673876912824</v>
      </c>
      <c r="O232" s="32" t="n">
        <f aca="false">$G$61+K232*($I$61-$G$61)</f>
        <v>1.0075710564951</v>
      </c>
      <c r="P232" s="32" t="n">
        <f aca="false">LOGINV(L232,LN($C$62),$E$62)</f>
        <v>1.06254589453105</v>
      </c>
      <c r="Q232" s="32" t="n">
        <f aca="false">$G$62+M232*($I$62-$G$62)</f>
        <v>7.83531310360818</v>
      </c>
    </row>
    <row r="233" customFormat="false" ht="15" hidden="false" customHeight="false" outlineLevel="0" collapsed="false">
      <c r="A233" s="5" t="n">
        <v>168</v>
      </c>
      <c r="B233" s="35" t="n">
        <v>-0.06952</v>
      </c>
      <c r="C233" s="35" t="n">
        <v>-0.85501</v>
      </c>
      <c r="D233" s="35" t="n">
        <v>-0.57612</v>
      </c>
      <c r="E233" s="35" t="n">
        <v>-0.11075</v>
      </c>
      <c r="F233" s="31" t="n">
        <f aca="false">SUMPRODUCT($B$27:$E$27,B233:E233)</f>
        <v>-0.06952</v>
      </c>
      <c r="G233" s="31" t="n">
        <f aca="false">SUMPRODUCT($B$28:$E$28,B233:E233)</f>
        <v>-0.845239872710201</v>
      </c>
      <c r="H233" s="31" t="n">
        <f aca="false">SUMPRODUCT($B$29:$E$29,B233:E233)</f>
        <v>-0.282853483480383</v>
      </c>
      <c r="I233" s="31" t="n">
        <f aca="false">SUMPRODUCT($B$30:$E$30,B233:E233)</f>
        <v>0.141903288175718</v>
      </c>
      <c r="J233" s="31" t="n">
        <f aca="false">NORMSDIST(F233)</f>
        <v>0.472287856734096</v>
      </c>
      <c r="K233" s="31" t="n">
        <f aca="false">NORMSDIST(G233)</f>
        <v>0.198988462160149</v>
      </c>
      <c r="L233" s="31" t="n">
        <f aca="false">NORMSDIST(H233)</f>
        <v>0.388644576879604</v>
      </c>
      <c r="M233" s="31" t="n">
        <f aca="false">NORMSDIST(I233)</f>
        <v>0.556421801492655</v>
      </c>
      <c r="N233" s="28" t="n">
        <f aca="false">$C$61+J233*($E$61-$C$61)</f>
        <v>44.4457571346819</v>
      </c>
      <c r="O233" s="32" t="n">
        <f aca="false">$G$61+K233*($I$61-$G$61)</f>
        <v>1.09949423108007</v>
      </c>
      <c r="P233" s="32" t="n">
        <f aca="false">LOGINV(L233,LN($C$62),$E$62)</f>
        <v>1.01050897014592</v>
      </c>
      <c r="Q233" s="32" t="n">
        <f aca="false">$G$62+M233*($I$62-$G$62)</f>
        <v>6.00389810671695</v>
      </c>
    </row>
    <row r="234" customFormat="false" ht="15" hidden="false" customHeight="false" outlineLevel="0" collapsed="false">
      <c r="A234" s="5" t="n">
        <v>169</v>
      </c>
      <c r="B234" s="35" t="n">
        <v>-0.10655</v>
      </c>
      <c r="C234" s="35" t="n">
        <v>-0.35397</v>
      </c>
      <c r="D234" s="35" t="n">
        <v>-0.76909</v>
      </c>
      <c r="E234" s="35" t="n">
        <v>0.63657</v>
      </c>
      <c r="F234" s="31" t="n">
        <f aca="false">SUMPRODUCT($B$27:$E$27,B234:E234)</f>
        <v>-0.10655</v>
      </c>
      <c r="G234" s="31" t="n">
        <f aca="false">SUMPRODUCT($B$28:$E$28,B234:E234)</f>
        <v>-0.36936747876426</v>
      </c>
      <c r="H234" s="31" t="n">
        <f aca="false">SUMPRODUCT($B$29:$E$29,B234:E234)</f>
        <v>-0.62156883103134</v>
      </c>
      <c r="I234" s="31" t="n">
        <f aca="false">SUMPRODUCT($B$30:$E$30,B234:E234)</f>
        <v>0.901053849617124</v>
      </c>
      <c r="J234" s="31" t="n">
        <f aca="false">NORMSDIST(F234)</f>
        <v>0.45757299344606</v>
      </c>
      <c r="K234" s="31" t="n">
        <f aca="false">NORMSDIST(G234)</f>
        <v>0.35592691748352</v>
      </c>
      <c r="L234" s="31" t="n">
        <f aca="false">NORMSDIST(H234)</f>
        <v>0.267112710747871</v>
      </c>
      <c r="M234" s="31" t="n">
        <f aca="false">NORMSDIST(I234)</f>
        <v>0.816220155500826</v>
      </c>
      <c r="N234" s="28" t="n">
        <f aca="false">$C$61+J234*($E$61-$C$61)</f>
        <v>44.1514598689212</v>
      </c>
      <c r="O234" s="32" t="n">
        <f aca="false">$G$61+K234*($I$61-$G$61)</f>
        <v>1.17796345874176</v>
      </c>
      <c r="P234" s="32" t="n">
        <f aca="false">LOGINV(L234,LN($C$62),$E$62)</f>
        <v>0.912871211153757</v>
      </c>
      <c r="Q234" s="32" t="n">
        <f aca="false">$G$62+M234*($I$62-$G$62)</f>
        <v>7.17299069975372</v>
      </c>
    </row>
    <row r="235" customFormat="false" ht="15" hidden="false" customHeight="false" outlineLevel="0" collapsed="false">
      <c r="A235" s="5" t="n">
        <v>170</v>
      </c>
      <c r="B235" s="35" t="n">
        <v>1.53853</v>
      </c>
      <c r="C235" s="35" t="n">
        <v>-0.56796</v>
      </c>
      <c r="D235" s="35" t="n">
        <v>-0.54127</v>
      </c>
      <c r="E235" s="35" t="n">
        <v>1.18935</v>
      </c>
      <c r="F235" s="31" t="n">
        <f aca="false">SUMPRODUCT($B$27:$E$27,B235:E235)</f>
        <v>1.53853</v>
      </c>
      <c r="G235" s="31" t="n">
        <f aca="false">SUMPRODUCT($B$28:$E$28,B235:E235)</f>
        <v>-0.165292405327991</v>
      </c>
      <c r="H235" s="31" t="n">
        <f aca="false">SUMPRODUCT($B$29:$E$29,B235:E235)</f>
        <v>-0.338657671307365</v>
      </c>
      <c r="I235" s="31" t="n">
        <f aca="false">SUMPRODUCT($B$30:$E$30,B235:E235)</f>
        <v>1.30669036019331</v>
      </c>
      <c r="J235" s="31" t="n">
        <f aca="false">NORMSDIST(F235)</f>
        <v>0.938040460429091</v>
      </c>
      <c r="K235" s="31" t="n">
        <f aca="false">NORMSDIST(G235)</f>
        <v>0.434356918135208</v>
      </c>
      <c r="L235" s="31" t="n">
        <f aca="false">NORMSDIST(H235)</f>
        <v>0.367433815804411</v>
      </c>
      <c r="M235" s="31" t="n">
        <f aca="false">NORMSDIST(I235)</f>
        <v>0.904341053046755</v>
      </c>
      <c r="N235" s="28" t="n">
        <f aca="false">$C$61+J235*($E$61-$C$61)</f>
        <v>53.7608092085818</v>
      </c>
      <c r="O235" s="32" t="n">
        <f aca="false">$G$61+K235*($I$61-$G$61)</f>
        <v>1.2171784590676</v>
      </c>
      <c r="P235" s="32" t="n">
        <f aca="false">LOGINV(L235,LN($C$62),$E$62)</f>
        <v>0.993732601006616</v>
      </c>
      <c r="Q235" s="32" t="n">
        <f aca="false">$G$62+M235*($I$62-$G$62)</f>
        <v>7.5695347387104</v>
      </c>
    </row>
    <row r="236" customFormat="false" ht="15" hidden="false" customHeight="false" outlineLevel="0" collapsed="false">
      <c r="A236" s="5" t="n">
        <v>171</v>
      </c>
      <c r="B236" s="35" t="n">
        <v>-1.46374</v>
      </c>
      <c r="C236" s="35" t="n">
        <v>-0.59139</v>
      </c>
      <c r="D236" s="35" t="n">
        <v>-0.3781</v>
      </c>
      <c r="E236" s="35" t="n">
        <v>0.16778</v>
      </c>
      <c r="F236" s="31" t="n">
        <f aca="false">SUMPRODUCT($B$27:$E$27,B236:E236)</f>
        <v>-1.46374</v>
      </c>
      <c r="G236" s="31" t="n">
        <f aca="false">SUMPRODUCT($B$28:$E$28,B236:E236)</f>
        <v>-0.938545905278401</v>
      </c>
      <c r="H236" s="31" t="n">
        <f aca="false">SUMPRODUCT($B$29:$E$29,B236:E236)</f>
        <v>-0.176257886383406</v>
      </c>
      <c r="I236" s="31" t="n">
        <f aca="false">SUMPRODUCT($B$30:$E$30,B236:E236)</f>
        <v>0.311277604988327</v>
      </c>
      <c r="J236" s="31" t="n">
        <f aca="false">NORMSDIST(F236)</f>
        <v>0.0716325009048994</v>
      </c>
      <c r="K236" s="31" t="n">
        <f aca="false">NORMSDIST(G236)</f>
        <v>0.173981968750634</v>
      </c>
      <c r="L236" s="31" t="n">
        <f aca="false">NORMSDIST(H236)</f>
        <v>0.430045672898421</v>
      </c>
      <c r="M236" s="31" t="n">
        <f aca="false">NORMSDIST(I236)</f>
        <v>0.62220520459189</v>
      </c>
      <c r="N236" s="28" t="n">
        <f aca="false">$C$61+J236*($E$61-$C$61)</f>
        <v>36.432650018098</v>
      </c>
      <c r="O236" s="32" t="n">
        <f aca="false">$G$61+K236*($I$61-$G$61)</f>
        <v>1.08699098437532</v>
      </c>
      <c r="P236" s="32" t="n">
        <f aca="false">LOGINV(L236,LN($C$62),$E$62)</f>
        <v>1.04334595566194</v>
      </c>
      <c r="Q236" s="32" t="n">
        <f aca="false">$G$62+M236*($I$62-$G$62)</f>
        <v>6.29992342066351</v>
      </c>
    </row>
    <row r="237" customFormat="false" ht="15" hidden="false" customHeight="false" outlineLevel="0" collapsed="false">
      <c r="A237" s="5" t="n">
        <v>172</v>
      </c>
      <c r="B237" s="35" t="n">
        <v>-0.27494</v>
      </c>
      <c r="C237" s="35" t="n">
        <v>-0.8866</v>
      </c>
      <c r="D237" s="35" t="n">
        <v>0.31051</v>
      </c>
      <c r="E237" s="35" t="n">
        <v>-1.18771</v>
      </c>
      <c r="F237" s="31" t="n">
        <f aca="false">SUMPRODUCT($B$27:$E$27,B237:E237)</f>
        <v>-0.27494</v>
      </c>
      <c r="G237" s="31" t="n">
        <f aca="false">SUMPRODUCT($B$28:$E$28,B237:E237)</f>
        <v>-0.927181758686874</v>
      </c>
      <c r="H237" s="31" t="n">
        <f aca="false">SUMPRODUCT($B$29:$E$29,B237:E237)</f>
        <v>0.569932500479536</v>
      </c>
      <c r="I237" s="31" t="n">
        <f aca="false">SUMPRODUCT($B$30:$E$30,B237:E237)</f>
        <v>-1.20812109325357</v>
      </c>
      <c r="J237" s="31" t="n">
        <f aca="false">NORMSDIST(F237)</f>
        <v>0.391681167678659</v>
      </c>
      <c r="K237" s="31" t="n">
        <f aca="false">NORMSDIST(G237)</f>
        <v>0.176916086077291</v>
      </c>
      <c r="L237" s="31" t="n">
        <f aca="false">NORMSDIST(H237)</f>
        <v>0.715638259784811</v>
      </c>
      <c r="M237" s="31" t="n">
        <f aca="false">NORMSDIST(I237)</f>
        <v>0.113500343661158</v>
      </c>
      <c r="N237" s="28" t="n">
        <f aca="false">$C$61+J237*($E$61-$C$61)</f>
        <v>42.8336233535732</v>
      </c>
      <c r="O237" s="32" t="n">
        <f aca="false">$G$61+K237*($I$61-$G$61)</f>
        <v>1.08845804303865</v>
      </c>
      <c r="P237" s="32" t="n">
        <f aca="false">LOGINV(L237,LN($C$62),$E$62)</f>
        <v>1.3051133952978</v>
      </c>
      <c r="Q237" s="32" t="n">
        <f aca="false">$G$62+M237*($I$62-$G$62)</f>
        <v>4.01075154647521</v>
      </c>
    </row>
    <row r="238" customFormat="false" ht="15" hidden="false" customHeight="false" outlineLevel="0" collapsed="false">
      <c r="A238" s="5" t="n">
        <v>173</v>
      </c>
      <c r="B238" s="35" t="n">
        <v>-1.74251</v>
      </c>
      <c r="C238" s="35" t="n">
        <v>-2.02826</v>
      </c>
      <c r="D238" s="35" t="n">
        <v>0.7487</v>
      </c>
      <c r="E238" s="35" t="n">
        <v>-1.73686</v>
      </c>
      <c r="F238" s="31" t="n">
        <f aca="false">SUMPRODUCT($B$27:$E$27,B238:E238)</f>
        <v>-1.74251</v>
      </c>
      <c r="G238" s="31" t="n">
        <f aca="false">SUMPRODUCT($B$28:$E$28,B238:E238)</f>
        <v>-2.39948180044466</v>
      </c>
      <c r="H238" s="31" t="n">
        <f aca="false">SUMPRODUCT($B$29:$E$29,B238:E238)</f>
        <v>1.34028920969288</v>
      </c>
      <c r="I238" s="31" t="n">
        <f aca="false">SUMPRODUCT($B$30:$E$30,B238:E238)</f>
        <v>-1.89065698667741</v>
      </c>
      <c r="J238" s="31" t="n">
        <f aca="false">NORMSDIST(F238)</f>
        <v>0.0407096215903159</v>
      </c>
      <c r="K238" s="31" t="n">
        <f aca="false">NORMSDIST(G238)</f>
        <v>0.00820914797905436</v>
      </c>
      <c r="L238" s="31" t="n">
        <f aca="false">NORMSDIST(H238)</f>
        <v>0.909924330924032</v>
      </c>
      <c r="M238" s="31" t="n">
        <f aca="false">NORMSDIST(I238)</f>
        <v>0.0293350738927938</v>
      </c>
      <c r="N238" s="28" t="n">
        <f aca="false">$C$61+J238*($E$61-$C$61)</f>
        <v>35.8141924318063</v>
      </c>
      <c r="O238" s="32" t="n">
        <f aca="false">$G$61+K238*($I$61-$G$61)</f>
        <v>1.00410457398953</v>
      </c>
      <c r="P238" s="32" t="n">
        <f aca="false">LOGINV(L238,LN($C$62),$E$62)</f>
        <v>1.6444351357285</v>
      </c>
      <c r="Q238" s="32" t="n">
        <f aca="false">$G$62+M238*($I$62-$G$62)</f>
        <v>3.63200783251757</v>
      </c>
    </row>
    <row r="239" customFormat="false" ht="15" hidden="false" customHeight="false" outlineLevel="0" collapsed="false">
      <c r="A239" s="5" t="n">
        <v>174</v>
      </c>
      <c r="B239" s="35" t="n">
        <v>0.44706</v>
      </c>
      <c r="C239" s="35" t="n">
        <v>0.67071</v>
      </c>
      <c r="D239" s="35" t="n">
        <v>0.8069</v>
      </c>
      <c r="E239" s="35" t="n">
        <v>-0.17468</v>
      </c>
      <c r="F239" s="31" t="n">
        <f aca="false">SUMPRODUCT($B$27:$E$27,B239:E239)</f>
        <v>0.44706</v>
      </c>
      <c r="G239" s="31" t="n">
        <f aca="false">SUMPRODUCT($B$28:$E$28,B239:E239)</f>
        <v>0.761177165033694</v>
      </c>
      <c r="H239" s="31" t="n">
        <f aca="false">SUMPRODUCT($B$29:$E$29,B239:E239)</f>
        <v>0.55937986903237</v>
      </c>
      <c r="I239" s="31" t="n">
        <f aca="false">SUMPRODUCT($B$30:$E$30,B239:E239)</f>
        <v>-0.497934789443658</v>
      </c>
      <c r="J239" s="31" t="n">
        <f aca="false">NORMSDIST(F239)</f>
        <v>0.672584130505165</v>
      </c>
      <c r="K239" s="31" t="n">
        <f aca="false">NORMSDIST(G239)</f>
        <v>0.776724372295702</v>
      </c>
      <c r="L239" s="31" t="n">
        <f aca="false">NORMSDIST(H239)</f>
        <v>0.712048751382421</v>
      </c>
      <c r="M239" s="31" t="n">
        <f aca="false">NORMSDIST(I239)</f>
        <v>0.309265002765323</v>
      </c>
      <c r="N239" s="28" t="n">
        <f aca="false">$C$61+J239*($E$61-$C$61)</f>
        <v>48.4516826101033</v>
      </c>
      <c r="O239" s="32" t="n">
        <f aca="false">$G$61+K239*($I$61-$G$61)</f>
        <v>1.38836218614785</v>
      </c>
      <c r="P239" s="32" t="n">
        <f aca="false">LOGINV(L239,LN($C$62),$E$62)</f>
        <v>1.30098821427314</v>
      </c>
      <c r="Q239" s="32" t="n">
        <f aca="false">$G$62+M239*($I$62-$G$62)</f>
        <v>4.89169251244395</v>
      </c>
    </row>
    <row r="240" customFormat="false" ht="15" hidden="false" customHeight="false" outlineLevel="0" collapsed="false">
      <c r="A240" s="5" t="n">
        <v>175</v>
      </c>
      <c r="B240" s="35" t="n">
        <v>-0.5482</v>
      </c>
      <c r="C240" s="35" t="n">
        <v>0.08567</v>
      </c>
      <c r="D240" s="35" t="n">
        <v>-0.59373</v>
      </c>
      <c r="E240" s="35" t="n">
        <v>-1.2862</v>
      </c>
      <c r="F240" s="31" t="n">
        <f aca="false">SUMPRODUCT($B$27:$E$27,B240:E240)</f>
        <v>-0.5482</v>
      </c>
      <c r="G240" s="31" t="n">
        <f aca="false">SUMPRODUCT($B$28:$E$28,B240:E240)</f>
        <v>-0.0541003791826027</v>
      </c>
      <c r="H240" s="31" t="n">
        <f aca="false">SUMPRODUCT($B$29:$E$29,B240:E240)</f>
        <v>-0.591055918268873</v>
      </c>
      <c r="I240" s="31" t="n">
        <f aca="false">SUMPRODUCT($B$30:$E$30,B240:E240)</f>
        <v>-0.917054431797998</v>
      </c>
      <c r="J240" s="31" t="n">
        <f aca="false">NORMSDIST(F240)</f>
        <v>0.291777291057628</v>
      </c>
      <c r="K240" s="31" t="n">
        <f aca="false">NORMSDIST(G240)</f>
        <v>0.478427595073836</v>
      </c>
      <c r="L240" s="31" t="n">
        <f aca="false">NORMSDIST(H240)</f>
        <v>0.277241477311392</v>
      </c>
      <c r="M240" s="31" t="n">
        <f aca="false">NORMSDIST(I240)</f>
        <v>0.179557058890271</v>
      </c>
      <c r="N240" s="28" t="n">
        <f aca="false">$C$61+J240*($E$61-$C$61)</f>
        <v>40.8355458211526</v>
      </c>
      <c r="O240" s="32" t="n">
        <f aca="false">$G$61+K240*($I$61-$G$61)</f>
        <v>1.23921379753692</v>
      </c>
      <c r="P240" s="32" t="n">
        <f aca="false">LOGINV(L240,LN($C$62),$E$62)</f>
        <v>0.92126588230473</v>
      </c>
      <c r="Q240" s="32" t="n">
        <f aca="false">$G$62+M240*($I$62-$G$62)</f>
        <v>4.30800676500622</v>
      </c>
    </row>
    <row r="241" customFormat="false" ht="15" hidden="false" customHeight="false" outlineLevel="0" collapsed="false">
      <c r="A241" s="5" t="n">
        <v>176</v>
      </c>
      <c r="B241" s="35" t="n">
        <v>1.25544</v>
      </c>
      <c r="C241" s="35" t="n">
        <v>-0.89444</v>
      </c>
      <c r="D241" s="35" t="n">
        <v>1.79589</v>
      </c>
      <c r="E241" s="35" t="n">
        <v>0.51476</v>
      </c>
      <c r="F241" s="31" t="n">
        <f aca="false">SUMPRODUCT($B$27:$E$27,B241:E241)</f>
        <v>1.25544</v>
      </c>
      <c r="G241" s="31" t="n">
        <f aca="false">SUMPRODUCT($B$28:$E$28,B241:E241)</f>
        <v>-0.552177806045441</v>
      </c>
      <c r="H241" s="31" t="n">
        <f aca="false">SUMPRODUCT($B$29:$E$29,B241:E241)</f>
        <v>1.98464481720149</v>
      </c>
      <c r="I241" s="31" t="n">
        <f aca="false">SUMPRODUCT($B$30:$E$30,B241:E241)</f>
        <v>-0.288547177859114</v>
      </c>
      <c r="J241" s="31" t="n">
        <f aca="false">NORMSDIST(F241)</f>
        <v>0.8953404618488</v>
      </c>
      <c r="K241" s="31" t="n">
        <f aca="false">NORMSDIST(G241)</f>
        <v>0.290413269294025</v>
      </c>
      <c r="L241" s="31" t="n">
        <f aca="false">NORMSDIST(H241)</f>
        <v>0.976407998828449</v>
      </c>
      <c r="M241" s="31" t="n">
        <f aca="false">NORMSDIST(I241)</f>
        <v>0.386463961328204</v>
      </c>
      <c r="N241" s="28" t="n">
        <f aca="false">$C$61+J241*($E$61-$C$61)</f>
        <v>52.906809236976</v>
      </c>
      <c r="O241" s="32" t="n">
        <f aca="false">$G$61+K241*($I$61-$G$61)</f>
        <v>1.14520663464701</v>
      </c>
      <c r="P241" s="32" t="n">
        <f aca="false">LOGINV(L241,LN($C$62),$E$62)</f>
        <v>1.99511885491311</v>
      </c>
      <c r="Q241" s="32" t="n">
        <f aca="false">$G$62+M241*($I$62-$G$62)</f>
        <v>5.23908782597692</v>
      </c>
    </row>
    <row r="242" customFormat="false" ht="15" hidden="false" customHeight="false" outlineLevel="0" collapsed="false">
      <c r="A242" s="5" t="n">
        <v>177</v>
      </c>
      <c r="B242" s="35" t="n">
        <v>-0.45456</v>
      </c>
      <c r="C242" s="35" t="n">
        <v>0.43765</v>
      </c>
      <c r="D242" s="35" t="n">
        <v>1.23015</v>
      </c>
      <c r="E242" s="35" t="n">
        <v>-1.37847</v>
      </c>
      <c r="F242" s="31" t="n">
        <f aca="false">SUMPRODUCT($B$27:$E$27,B242:E242)</f>
        <v>-0.45456</v>
      </c>
      <c r="G242" s="31" t="n">
        <f aca="false">SUMPRODUCT($B$28:$E$28,B242:E242)</f>
        <v>0.310112790366919</v>
      </c>
      <c r="H242" s="31" t="n">
        <f aca="false">SUMPRODUCT($B$29:$E$29,B242:E242)</f>
        <v>1.03401237493654</v>
      </c>
      <c r="I242" s="31" t="n">
        <f aca="false">SUMPRODUCT($B$30:$E$30,B242:E242)</f>
        <v>-1.76807370666853</v>
      </c>
      <c r="J242" s="31" t="n">
        <f aca="false">NORMSDIST(F242)</f>
        <v>0.324712908621655</v>
      </c>
      <c r="K242" s="31" t="n">
        <f aca="false">NORMSDIST(G242)</f>
        <v>0.621762406942249</v>
      </c>
      <c r="L242" s="31" t="n">
        <f aca="false">NORMSDIST(H242)</f>
        <v>0.849434810967379</v>
      </c>
      <c r="M242" s="31" t="n">
        <f aca="false">NORMSDIST(I242)</f>
        <v>0.0385242912087312</v>
      </c>
      <c r="N242" s="28" t="n">
        <f aca="false">$C$61+J242*($E$61-$C$61)</f>
        <v>41.4942581724331</v>
      </c>
      <c r="O242" s="32" t="n">
        <f aca="false">$G$61+K242*($I$61-$G$61)</f>
        <v>1.31088120347112</v>
      </c>
      <c r="P242" s="32" t="n">
        <f aca="false">LOGINV(L242,LN($C$62),$E$62)</f>
        <v>1.50007317805063</v>
      </c>
      <c r="Q242" s="32" t="n">
        <f aca="false">$G$62+M242*($I$62-$G$62)</f>
        <v>3.67335931043929</v>
      </c>
    </row>
    <row r="243" customFormat="false" ht="15" hidden="false" customHeight="false" outlineLevel="0" collapsed="false">
      <c r="A243" s="5" t="n">
        <v>178</v>
      </c>
      <c r="B243" s="35" t="n">
        <v>-0.92677</v>
      </c>
      <c r="C243" s="35" t="n">
        <v>-1.04927</v>
      </c>
      <c r="D243" s="35" t="n">
        <v>0.16503</v>
      </c>
      <c r="E243" s="35" t="n">
        <v>0.40425</v>
      </c>
      <c r="F243" s="31" t="n">
        <f aca="false">SUMPRODUCT($B$27:$E$27,B243:E243)</f>
        <v>-0.92677</v>
      </c>
      <c r="G243" s="31" t="n">
        <f aca="false">SUMPRODUCT($B$28:$E$28,B243:E243)</f>
        <v>-1.24764380891876</v>
      </c>
      <c r="H243" s="31" t="n">
        <f aca="false">SUMPRODUCT($B$29:$E$29,B243:E243)</f>
        <v>0.482013151605244</v>
      </c>
      <c r="I243" s="31" t="n">
        <f aca="false">SUMPRODUCT($B$30:$E$30,B243:E243)</f>
        <v>0.297306290915759</v>
      </c>
      <c r="J243" s="31" t="n">
        <f aca="false">NORMSDIST(F243)</f>
        <v>0.177022982119244</v>
      </c>
      <c r="K243" s="31" t="n">
        <f aca="false">NORMSDIST(G243)</f>
        <v>0.106080763787229</v>
      </c>
      <c r="L243" s="31" t="n">
        <f aca="false">NORMSDIST(H243)</f>
        <v>0.685101698177735</v>
      </c>
      <c r="M243" s="31" t="n">
        <f aca="false">NORMSDIST(I243)</f>
        <v>0.616883660390733</v>
      </c>
      <c r="N243" s="28" t="n">
        <f aca="false">$C$61+J243*($E$61-$C$61)</f>
        <v>38.5404596423849</v>
      </c>
      <c r="O243" s="32" t="n">
        <f aca="false">$G$61+K243*($I$61-$G$61)</f>
        <v>1.05304038189361</v>
      </c>
      <c r="P243" s="32" t="n">
        <f aca="false">LOGINV(L243,LN($C$62),$E$62)</f>
        <v>1.27113998685133</v>
      </c>
      <c r="Q243" s="32" t="n">
        <f aca="false">$G$62+M243*($I$62-$G$62)</f>
        <v>6.2759764717583</v>
      </c>
    </row>
    <row r="244" customFormat="false" ht="15" hidden="false" customHeight="false" outlineLevel="0" collapsed="false">
      <c r="A244" s="5" t="n">
        <v>179</v>
      </c>
      <c r="B244" s="35" t="n">
        <v>0.02897</v>
      </c>
      <c r="C244" s="35" t="n">
        <v>-0.72821</v>
      </c>
      <c r="D244" s="35" t="n">
        <v>-0.52845</v>
      </c>
      <c r="E244" s="35" t="n">
        <v>1.18704</v>
      </c>
      <c r="F244" s="31" t="n">
        <f aca="false">SUMPRODUCT($B$27:$E$27,B244:E244)</f>
        <v>0.02897</v>
      </c>
      <c r="G244" s="31" t="n">
        <f aca="false">SUMPRODUCT($B$28:$E$28,B244:E244)</f>
        <v>-0.697843800635426</v>
      </c>
      <c r="H244" s="31" t="n">
        <f aca="false">SUMPRODUCT($B$29:$E$29,B244:E244)</f>
        <v>-0.276816907958287</v>
      </c>
      <c r="I244" s="31" t="n">
        <f aca="false">SUMPRODUCT($B$30:$E$30,B244:E244)</f>
        <v>1.29920131746488</v>
      </c>
      <c r="J244" s="31" t="n">
        <f aca="false">NORMSDIST(F244)</f>
        <v>0.511555741460295</v>
      </c>
      <c r="K244" s="31" t="n">
        <f aca="false">NORMSDIST(G244)</f>
        <v>0.242637441794597</v>
      </c>
      <c r="L244" s="31" t="n">
        <f aca="false">NORMSDIST(H244)</f>
        <v>0.390960348820136</v>
      </c>
      <c r="M244" s="31" t="n">
        <f aca="false">NORMSDIST(I244)</f>
        <v>0.903062575248092</v>
      </c>
      <c r="N244" s="28" t="n">
        <f aca="false">$C$61+J244*($E$61-$C$61)</f>
        <v>45.2311148292059</v>
      </c>
      <c r="O244" s="32" t="n">
        <f aca="false">$G$61+K244*($I$61-$G$61)</f>
        <v>1.1213187208973</v>
      </c>
      <c r="P244" s="32" t="n">
        <f aca="false">LOGINV(L244,LN($C$62),$E$62)</f>
        <v>1.01234063230458</v>
      </c>
      <c r="Q244" s="32" t="n">
        <f aca="false">$G$62+M244*($I$62-$G$62)</f>
        <v>7.56378158861642</v>
      </c>
    </row>
    <row r="245" customFormat="false" ht="15" hidden="false" customHeight="false" outlineLevel="0" collapsed="false">
      <c r="A245" s="5" t="n">
        <v>180</v>
      </c>
      <c r="B245" s="35" t="n">
        <v>1.11694</v>
      </c>
      <c r="C245" s="35" t="n">
        <v>0.13136</v>
      </c>
      <c r="D245" s="35" t="n">
        <v>-1.31061</v>
      </c>
      <c r="E245" s="35" t="n">
        <v>0.62813</v>
      </c>
      <c r="F245" s="31" t="n">
        <f aca="false">SUMPRODUCT($B$27:$E$27,B245:E245)</f>
        <v>1.11694</v>
      </c>
      <c r="G245" s="31" t="n">
        <f aca="false">SUMPRODUCT($B$28:$E$28,B245:E245)</f>
        <v>0.406423773089452</v>
      </c>
      <c r="H245" s="31" t="n">
        <f aca="false">SUMPRODUCT($B$29:$E$29,B245:E245)</f>
        <v>-1.28681416992333</v>
      </c>
      <c r="I245" s="31" t="n">
        <f aca="false">SUMPRODUCT($B$30:$E$30,B245:E245)</f>
        <v>1.12121627176611</v>
      </c>
      <c r="J245" s="31" t="n">
        <f aca="false">NORMSDIST(F245)</f>
        <v>0.86799000985802</v>
      </c>
      <c r="K245" s="31" t="n">
        <f aca="false">NORMSDIST(G245)</f>
        <v>0.65778437246705</v>
      </c>
      <c r="L245" s="31" t="n">
        <f aca="false">NORMSDIST(H245)</f>
        <v>0.0990795334056961</v>
      </c>
      <c r="M245" s="31" t="n">
        <f aca="false">NORMSDIST(I245)</f>
        <v>0.8689020924508</v>
      </c>
      <c r="N245" s="28" t="n">
        <f aca="false">$C$61+J245*($E$61-$C$61)</f>
        <v>52.3598001971604</v>
      </c>
      <c r="O245" s="32" t="n">
        <f aca="false">$G$61+K245*($I$61-$G$61)</f>
        <v>1.32889218623353</v>
      </c>
      <c r="P245" s="32" t="n">
        <f aca="false">LOGINV(L245,LN($C$62),$E$62)</f>
        <v>0.747714490419557</v>
      </c>
      <c r="Q245" s="32" t="n">
        <f aca="false">$G$62+M245*($I$62-$G$62)</f>
        <v>7.4100594160286</v>
      </c>
    </row>
    <row r="246" customFormat="false" ht="15" hidden="false" customHeight="false" outlineLevel="0" collapsed="false">
      <c r="A246" s="5" t="n">
        <v>181</v>
      </c>
      <c r="B246" s="35" t="n">
        <v>0.28766</v>
      </c>
      <c r="C246" s="35" t="n">
        <v>0.25273</v>
      </c>
      <c r="D246" s="35" t="n">
        <v>1.73003</v>
      </c>
      <c r="E246" s="35" t="n">
        <v>0.82054</v>
      </c>
      <c r="F246" s="31" t="n">
        <f aca="false">SUMPRODUCT($B$27:$E$27,B246:E246)</f>
        <v>0.28766</v>
      </c>
      <c r="G246" s="31" t="n">
        <f aca="false">SUMPRODUCT($B$28:$E$28,B246:E246)</f>
        <v>0.31661977027175</v>
      </c>
      <c r="H246" s="31" t="n">
        <f aca="false">SUMPRODUCT($B$29:$E$29,B246:E246)</f>
        <v>1.56658821962967</v>
      </c>
      <c r="I246" s="31" t="n">
        <f aca="false">SUMPRODUCT($B$30:$E$30,B246:E246)</f>
        <v>0.0165634444060313</v>
      </c>
      <c r="J246" s="31" t="n">
        <f aca="false">NORMSDIST(F246)</f>
        <v>0.613196494150052</v>
      </c>
      <c r="K246" s="31" t="n">
        <f aca="false">NORMSDIST(G246)</f>
        <v>0.624233933737217</v>
      </c>
      <c r="L246" s="31" t="n">
        <f aca="false">NORMSDIST(H246)</f>
        <v>0.941394513408962</v>
      </c>
      <c r="M246" s="31" t="n">
        <f aca="false">NORMSDIST(I246)</f>
        <v>0.506607556153301</v>
      </c>
      <c r="N246" s="28" t="n">
        <f aca="false">$C$61+J246*($E$61-$C$61)</f>
        <v>47.2639298830011</v>
      </c>
      <c r="O246" s="32" t="n">
        <f aca="false">$G$61+K246*($I$61-$G$61)</f>
        <v>1.31211696686861</v>
      </c>
      <c r="P246" s="32" t="n">
        <f aca="false">LOGINV(L246,LN($C$62),$E$62)</f>
        <v>1.75995219314127</v>
      </c>
      <c r="Q246" s="32" t="n">
        <f aca="false">$G$62+M246*($I$62-$G$62)</f>
        <v>5.77973400268986</v>
      </c>
    </row>
    <row r="247" customFormat="false" ht="15" hidden="false" customHeight="false" outlineLevel="0" collapsed="false">
      <c r="A247" s="5" t="n">
        <v>182</v>
      </c>
      <c r="B247" s="35" t="n">
        <v>-0.97449</v>
      </c>
      <c r="C247" s="35" t="n">
        <v>-0.96476</v>
      </c>
      <c r="D247" s="35" t="n">
        <v>1.38031</v>
      </c>
      <c r="E247" s="35" t="n">
        <v>0.20572</v>
      </c>
      <c r="F247" s="31" t="n">
        <f aca="false">SUMPRODUCT($B$27:$E$27,B247:E247)</f>
        <v>-0.97449</v>
      </c>
      <c r="G247" s="31" t="n">
        <f aca="false">SUMPRODUCT($B$28:$E$28,B247:E247)</f>
        <v>-1.17774735327177</v>
      </c>
      <c r="H247" s="31" t="n">
        <f aca="false">SUMPRODUCT($B$29:$E$29,B247:E247)</f>
        <v>1.61130371905232</v>
      </c>
      <c r="I247" s="31" t="n">
        <f aca="false">SUMPRODUCT($B$30:$E$30,B247:E247)</f>
        <v>-0.39407193648046</v>
      </c>
      <c r="J247" s="31" t="n">
        <f aca="false">NORMSDIST(F247)</f>
        <v>0.164906650978054</v>
      </c>
      <c r="K247" s="31" t="n">
        <f aca="false">NORMSDIST(G247)</f>
        <v>0.119448671336241</v>
      </c>
      <c r="L247" s="31" t="n">
        <f aca="false">NORMSDIST(H247)</f>
        <v>0.946443229713547</v>
      </c>
      <c r="M247" s="31" t="n">
        <f aca="false">NORMSDIST(I247)</f>
        <v>0.346763964756771</v>
      </c>
      <c r="N247" s="28" t="n">
        <f aca="false">$C$61+J247*($E$61-$C$61)</f>
        <v>38.2981330195611</v>
      </c>
      <c r="O247" s="32" t="n">
        <f aca="false">$G$61+K247*($I$61-$G$61)</f>
        <v>1.05972433566812</v>
      </c>
      <c r="P247" s="32" t="n">
        <f aca="false">LOGINV(L247,LN($C$62),$E$62)</f>
        <v>1.78372040018279</v>
      </c>
      <c r="Q247" s="32" t="n">
        <f aca="false">$G$62+M247*($I$62-$G$62)</f>
        <v>5.06043784140547</v>
      </c>
    </row>
    <row r="248" customFormat="false" ht="15" hidden="false" customHeight="false" outlineLevel="0" collapsed="false">
      <c r="A248" s="5" t="n">
        <v>183</v>
      </c>
      <c r="B248" s="35" t="n">
        <v>0.88706</v>
      </c>
      <c r="C248" s="35" t="n">
        <v>-0.1064</v>
      </c>
      <c r="D248" s="35" t="n">
        <v>-0.94949</v>
      </c>
      <c r="E248" s="35" t="n">
        <v>0.3242</v>
      </c>
      <c r="F248" s="31" t="n">
        <f aca="false">SUMPRODUCT($B$27:$E$27,B248:E248)</f>
        <v>0.88706</v>
      </c>
      <c r="G248" s="31" t="n">
        <f aca="false">SUMPRODUCT($B$28:$E$28,B248:E248)</f>
        <v>0.118743642990883</v>
      </c>
      <c r="H248" s="31" t="n">
        <f aca="false">SUMPRODUCT($B$29:$E$29,B248:E248)</f>
        <v>-0.869797951917021</v>
      </c>
      <c r="I248" s="31" t="n">
        <f aca="false">SUMPRODUCT($B$30:$E$30,B248:E248)</f>
        <v>0.693567150865808</v>
      </c>
      <c r="J248" s="31" t="n">
        <f aca="false">NORMSDIST(F248)</f>
        <v>0.812476700967575</v>
      </c>
      <c r="K248" s="31" t="n">
        <f aca="false">NORMSDIST(G248)</f>
        <v>0.5472607704882</v>
      </c>
      <c r="L248" s="31" t="n">
        <f aca="false">NORMSDIST(H248)</f>
        <v>0.192205415469374</v>
      </c>
      <c r="M248" s="31" t="n">
        <f aca="false">NORMSDIST(I248)</f>
        <v>0.756023149893666</v>
      </c>
      <c r="N248" s="28" t="n">
        <f aca="false">$C$61+J248*($E$61-$C$61)</f>
        <v>51.2495340193515</v>
      </c>
      <c r="O248" s="32" t="n">
        <f aca="false">$G$61+K248*($I$61-$G$61)</f>
        <v>1.2736303852441</v>
      </c>
      <c r="P248" s="32" t="n">
        <f aca="false">LOGINV(L248,LN($C$62),$E$62)</f>
        <v>0.847360372281615</v>
      </c>
      <c r="Q248" s="32" t="n">
        <f aca="false">$G$62+M248*($I$62-$G$62)</f>
        <v>6.9021041745215</v>
      </c>
    </row>
    <row r="249" customFormat="false" ht="15" hidden="false" customHeight="false" outlineLevel="0" collapsed="false">
      <c r="A249" s="5" t="n">
        <v>184</v>
      </c>
      <c r="B249" s="35" t="n">
        <v>1.61892</v>
      </c>
      <c r="C249" s="35" t="n">
        <v>0.39914</v>
      </c>
      <c r="D249" s="35" t="n">
        <v>-1.06556</v>
      </c>
      <c r="E249" s="35" t="n">
        <v>-0.24586</v>
      </c>
      <c r="F249" s="31" t="n">
        <f aca="false">SUMPRODUCT($B$27:$E$27,B249:E249)</f>
        <v>1.61892</v>
      </c>
      <c r="G249" s="31" t="n">
        <f aca="false">SUMPRODUCT($B$28:$E$28,B249:E249)</f>
        <v>0.791195643201307</v>
      </c>
      <c r="H249" s="31" t="n">
        <f aca="false">SUMPRODUCT($B$29:$E$29,B249:E249)</f>
        <v>-1.13679188815134</v>
      </c>
      <c r="I249" s="31" t="n">
        <f aca="false">SUMPRODUCT($B$30:$E$30,B249:E249)</f>
        <v>0.225240674426428</v>
      </c>
      <c r="J249" s="31" t="n">
        <f aca="false">NORMSDIST(F249)</f>
        <v>0.947267761472457</v>
      </c>
      <c r="K249" s="31" t="n">
        <f aca="false">NORMSDIST(G249)</f>
        <v>0.785585083250999</v>
      </c>
      <c r="L249" s="31" t="n">
        <f aca="false">NORMSDIST(H249)</f>
        <v>0.12781264761684</v>
      </c>
      <c r="M249" s="31" t="n">
        <f aca="false">NORMSDIST(I249)</f>
        <v>0.589103975654463</v>
      </c>
      <c r="N249" s="28" t="n">
        <f aca="false">$C$61+J249*($E$61-$C$61)</f>
        <v>53.9453552294492</v>
      </c>
      <c r="O249" s="32" t="n">
        <f aca="false">$G$61+K249*($I$61-$G$61)</f>
        <v>1.3927925416255</v>
      </c>
      <c r="P249" s="32" t="n">
        <f aca="false">LOGINV(L249,LN($C$62),$E$62)</f>
        <v>0.782135416427737</v>
      </c>
      <c r="Q249" s="32" t="n">
        <f aca="false">$G$62+M249*($I$62-$G$62)</f>
        <v>6.15096789044508</v>
      </c>
    </row>
    <row r="250" customFormat="false" ht="15" hidden="false" customHeight="false" outlineLevel="0" collapsed="false">
      <c r="A250" s="5" t="n">
        <v>185</v>
      </c>
      <c r="B250" s="35" t="n">
        <v>-0.42841</v>
      </c>
      <c r="C250" s="35" t="n">
        <v>0.24734</v>
      </c>
      <c r="D250" s="35" t="n">
        <v>1.09805</v>
      </c>
      <c r="E250" s="35" t="n">
        <v>2.05429</v>
      </c>
      <c r="F250" s="31" t="n">
        <f aca="false">SUMPRODUCT($B$27:$E$27,B250:E250)</f>
        <v>-0.42841</v>
      </c>
      <c r="G250" s="31" t="n">
        <f aca="false">SUMPRODUCT($B$28:$E$28,B250:E250)</f>
        <v>0.132383425212736</v>
      </c>
      <c r="H250" s="31" t="n">
        <f aca="false">SUMPRODUCT($B$29:$E$29,B250:E250)</f>
        <v>0.967378525609795</v>
      </c>
      <c r="I250" s="31" t="n">
        <f aca="false">SUMPRODUCT($B$30:$E$30,B250:E250)</f>
        <v>1.40169539523746</v>
      </c>
      <c r="J250" s="31" t="n">
        <f aca="false">NORMSDIST(F250)</f>
        <v>0.334176322714756</v>
      </c>
      <c r="K250" s="31" t="n">
        <f aca="false">NORMSDIST(G250)</f>
        <v>0.552659487974453</v>
      </c>
      <c r="L250" s="31" t="n">
        <f aca="false">NORMSDIST(H250)</f>
        <v>0.833322579402063</v>
      </c>
      <c r="M250" s="31" t="n">
        <f aca="false">NORMSDIST(I250)</f>
        <v>0.919496886855232</v>
      </c>
      <c r="N250" s="28" t="n">
        <f aca="false">$C$61+J250*($E$61-$C$61)</f>
        <v>41.6835264542951</v>
      </c>
      <c r="O250" s="32" t="n">
        <f aca="false">$G$61+K250*($I$61-$G$61)</f>
        <v>1.27632974398723</v>
      </c>
      <c r="P250" s="32" t="n">
        <f aca="false">LOGINV(L250,LN($C$62),$E$62)</f>
        <v>1.4703842151466</v>
      </c>
      <c r="Q250" s="32" t="n">
        <f aca="false">$G$62+M250*($I$62-$G$62)</f>
        <v>7.63773599084854</v>
      </c>
    </row>
    <row r="251" customFormat="false" ht="15" hidden="false" customHeight="false" outlineLevel="0" collapsed="false">
      <c r="A251" s="5" t="n">
        <v>186</v>
      </c>
      <c r="B251" s="35" t="n">
        <v>0.31449</v>
      </c>
      <c r="C251" s="35" t="n">
        <v>-0.33649</v>
      </c>
      <c r="D251" s="35" t="n">
        <v>0.1716</v>
      </c>
      <c r="E251" s="35" t="n">
        <v>0.11087</v>
      </c>
      <c r="F251" s="31" t="n">
        <f aca="false">SUMPRODUCT($B$27:$E$27,B251:E251)</f>
        <v>0.31449</v>
      </c>
      <c r="G251" s="31" t="n">
        <f aca="false">SUMPRODUCT($B$28:$E$28,B251:E251)</f>
        <v>-0.247182541541333</v>
      </c>
      <c r="H251" s="31" t="n">
        <f aca="false">SUMPRODUCT($B$29:$E$29,B251:E251)</f>
        <v>0.267413030733163</v>
      </c>
      <c r="I251" s="31" t="n">
        <f aca="false">SUMPRODUCT($B$30:$E$30,B251:E251)</f>
        <v>0.0283884186830104</v>
      </c>
      <c r="J251" s="31" t="n">
        <f aca="false">NORMSDIST(F251)</f>
        <v>0.623425544838437</v>
      </c>
      <c r="K251" s="31" t="n">
        <f aca="false">NORMSDIST(G251)</f>
        <v>0.402383477996407</v>
      </c>
      <c r="L251" s="31" t="n">
        <f aca="false">NORMSDIST(H251)</f>
        <v>0.605424416211527</v>
      </c>
      <c r="M251" s="31" t="n">
        <f aca="false">NORMSDIST(I251)</f>
        <v>0.511323819483909</v>
      </c>
      <c r="N251" s="28" t="n">
        <f aca="false">$C$61+J251*($E$61-$C$61)</f>
        <v>47.4685108967687</v>
      </c>
      <c r="O251" s="32" t="n">
        <f aca="false">$G$61+K251*($I$61-$G$61)</f>
        <v>1.2011917389982</v>
      </c>
      <c r="P251" s="32" t="n">
        <f aca="false">LOGINV(L251,LN($C$62),$E$62)</f>
        <v>1.19188261807425</v>
      </c>
      <c r="Q251" s="32" t="n">
        <f aca="false">$G$62+M251*($I$62-$G$62)</f>
        <v>5.80095718767759</v>
      </c>
    </row>
    <row r="252" customFormat="false" ht="15" hidden="false" customHeight="false" outlineLevel="0" collapsed="false">
      <c r="A252" s="5" t="n">
        <v>187</v>
      </c>
      <c r="B252" s="35" t="n">
        <v>-0.3298</v>
      </c>
      <c r="C252" s="35" t="n">
        <v>0.1186</v>
      </c>
      <c r="D252" s="35" t="n">
        <v>0.09529</v>
      </c>
      <c r="E252" s="35" t="n">
        <v>-1.08052</v>
      </c>
      <c r="F252" s="31" t="n">
        <f aca="false">SUMPRODUCT($B$27:$E$27,B252:E252)</f>
        <v>-0.3298</v>
      </c>
      <c r="G252" s="31" t="n">
        <f aca="false">SUMPRODUCT($B$28:$E$28,B252:E252)</f>
        <v>0.0323839562150499</v>
      </c>
      <c r="H252" s="31" t="n">
        <f aca="false">SUMPRODUCT($B$29:$E$29,B252:E252)</f>
        <v>0.0538538317259368</v>
      </c>
      <c r="I252" s="31" t="n">
        <f aca="false">SUMPRODUCT($B$30:$E$30,B252:E252)</f>
        <v>-1.02033476741461</v>
      </c>
      <c r="J252" s="31" t="n">
        <f aca="false">NORMSDIST(F252)</f>
        <v>0.370775543687688</v>
      </c>
      <c r="K252" s="31" t="n">
        <f aca="false">NORMSDIST(G252)</f>
        <v>0.512917071568183</v>
      </c>
      <c r="L252" s="31" t="n">
        <f aca="false">NORMSDIST(H252)</f>
        <v>0.521474189902195</v>
      </c>
      <c r="M252" s="31" t="n">
        <f aca="false">NORMSDIST(I252)</f>
        <v>0.153784859875524</v>
      </c>
      <c r="N252" s="28" t="n">
        <f aca="false">$C$61+J252*($E$61-$C$61)</f>
        <v>42.4155108737538</v>
      </c>
      <c r="O252" s="32" t="n">
        <f aca="false">$G$61+K252*($I$61-$G$61)</f>
        <v>1.25645853578409</v>
      </c>
      <c r="P252" s="32" t="n">
        <f aca="false">LOGINV(L252,LN($C$62),$E$62)</f>
        <v>1.11791610237883</v>
      </c>
      <c r="Q252" s="32" t="n">
        <f aca="false">$G$62+M252*($I$62-$G$62)</f>
        <v>4.19203186943986</v>
      </c>
    </row>
    <row r="253" customFormat="false" ht="15" hidden="false" customHeight="false" outlineLevel="0" collapsed="false">
      <c r="A253" s="5" t="n">
        <v>188</v>
      </c>
      <c r="B253" s="35" t="n">
        <v>0.64382</v>
      </c>
      <c r="C253" s="35" t="n">
        <v>-0.2667</v>
      </c>
      <c r="D253" s="35" t="n">
        <v>-0.88774</v>
      </c>
      <c r="E253" s="35" t="n">
        <v>0.58598</v>
      </c>
      <c r="F253" s="31" t="n">
        <f aca="false">SUMPRODUCT($B$27:$E$27,B253:E253)</f>
        <v>0.64382</v>
      </c>
      <c r="G253" s="31" t="n">
        <f aca="false">SUMPRODUCT($B$28:$E$28,B253:E253)</f>
        <v>-0.0972761646083795</v>
      </c>
      <c r="H253" s="31" t="n">
        <f aca="false">SUMPRODUCT($B$29:$E$29,B253:E253)</f>
        <v>-0.761419583724674</v>
      </c>
      <c r="I253" s="31" t="n">
        <f aca="false">SUMPRODUCT($B$30:$E$30,B253:E253)</f>
        <v>0.905075115159019</v>
      </c>
      <c r="J253" s="31" t="n">
        <f aca="false">NORMSDIST(F253)</f>
        <v>0.740153918477375</v>
      </c>
      <c r="K253" s="31" t="n">
        <f aca="false">NORMSDIST(G253)</f>
        <v>0.461253542051776</v>
      </c>
      <c r="L253" s="31" t="n">
        <f aca="false">NORMSDIST(H253)</f>
        <v>0.223203246966059</v>
      </c>
      <c r="M253" s="31" t="n">
        <f aca="false">NORMSDIST(I253)</f>
        <v>0.81728720277532</v>
      </c>
      <c r="N253" s="28" t="n">
        <f aca="false">$C$61+J253*($E$61-$C$61)</f>
        <v>49.8030783695475</v>
      </c>
      <c r="O253" s="32" t="n">
        <f aca="false">$G$61+K253*($I$61-$G$61)</f>
        <v>1.23062677102589</v>
      </c>
      <c r="P253" s="32" t="n">
        <f aca="false">LOGINV(L253,LN($C$62),$E$62)</f>
        <v>0.875363810759853</v>
      </c>
      <c r="Q253" s="32" t="n">
        <f aca="false">$G$62+M253*($I$62-$G$62)</f>
        <v>7.17779241248894</v>
      </c>
    </row>
    <row r="254" customFormat="false" ht="15" hidden="false" customHeight="false" outlineLevel="0" collapsed="false">
      <c r="A254" s="5" t="n">
        <v>189</v>
      </c>
      <c r="B254" s="35" t="n">
        <v>-0.39159</v>
      </c>
      <c r="C254" s="35" t="n">
        <v>1.83826</v>
      </c>
      <c r="D254" s="35" t="n">
        <v>0.57091</v>
      </c>
      <c r="E254" s="35" t="n">
        <v>0.16864</v>
      </c>
      <c r="F254" s="31" t="n">
        <f aca="false">SUMPRODUCT($B$27:$E$27,B254:E254)</f>
        <v>-0.39159</v>
      </c>
      <c r="G254" s="31" t="n">
        <f aca="false">SUMPRODUCT($B$28:$E$28,B254:E254)</f>
        <v>1.68199009149981</v>
      </c>
      <c r="H254" s="31" t="n">
        <f aca="false">SUMPRODUCT($B$29:$E$29,B254:E254)</f>
        <v>-0.0267489979825372</v>
      </c>
      <c r="I254" s="31" t="n">
        <f aca="false">SUMPRODUCT($B$30:$E$30,B254:E254)</f>
        <v>-0.0871937121148966</v>
      </c>
      <c r="J254" s="31" t="n">
        <f aca="false">NORMSDIST(F254)</f>
        <v>0.347680588924363</v>
      </c>
      <c r="K254" s="31" t="n">
        <f aca="false">NORMSDIST(G254)</f>
        <v>0.953714619348793</v>
      </c>
      <c r="L254" s="31" t="n">
        <f aca="false">NORMSDIST(H254)</f>
        <v>0.489329966178912</v>
      </c>
      <c r="M254" s="31" t="n">
        <f aca="false">NORMSDIST(I254)</f>
        <v>0.465258768663903</v>
      </c>
      <c r="N254" s="28" t="n">
        <f aca="false">$C$61+J254*($E$61-$C$61)</f>
        <v>41.9536117784873</v>
      </c>
      <c r="O254" s="32" t="n">
        <f aca="false">$G$61+K254*($I$61-$G$61)</f>
        <v>1.4768573096744</v>
      </c>
      <c r="P254" s="32" t="n">
        <f aca="false">LOGINV(L254,LN($C$62),$E$62)</f>
        <v>1.09120815380696</v>
      </c>
      <c r="Q254" s="32" t="n">
        <f aca="false">$G$62+M254*($I$62-$G$62)</f>
        <v>5.59366445898757</v>
      </c>
    </row>
    <row r="255" customFormat="false" ht="15" hidden="false" customHeight="false" outlineLevel="0" collapsed="false">
      <c r="A255" s="5" t="n">
        <v>190</v>
      </c>
      <c r="B255" s="35" t="n">
        <v>-0.66578</v>
      </c>
      <c r="C255" s="35" t="n">
        <v>-0.31839</v>
      </c>
      <c r="D255" s="35" t="n">
        <v>0.93553</v>
      </c>
      <c r="E255" s="35" t="n">
        <v>-0.60249</v>
      </c>
      <c r="F255" s="31" t="n">
        <f aca="false">SUMPRODUCT($B$27:$E$27,B255:E255)</f>
        <v>-0.66578</v>
      </c>
      <c r="G255" s="31" t="n">
        <f aca="false">SUMPRODUCT($B$28:$E$28,B255:E255)</f>
        <v>-0.474724791899745</v>
      </c>
      <c r="H255" s="31" t="n">
        <f aca="false">SUMPRODUCT($B$29:$E$29,B255:E255)</f>
        <v>0.988141303090809</v>
      </c>
      <c r="I255" s="31" t="n">
        <f aca="false">SUMPRODUCT($B$30:$E$30,B255:E255)</f>
        <v>-0.940158364055441</v>
      </c>
      <c r="J255" s="31" t="n">
        <f aca="false">NORMSDIST(F255)</f>
        <v>0.252775865138828</v>
      </c>
      <c r="K255" s="31" t="n">
        <f aca="false">NORMSDIST(G255)</f>
        <v>0.31749157236776</v>
      </c>
      <c r="L255" s="31" t="n">
        <f aca="false">NORMSDIST(H255)</f>
        <v>0.838458274971997</v>
      </c>
      <c r="M255" s="31" t="n">
        <f aca="false">NORMSDIST(I255)</f>
        <v>0.173568167527436</v>
      </c>
      <c r="N255" s="28" t="n">
        <f aca="false">$C$61+J255*($E$61-$C$61)</f>
        <v>40.0555173027766</v>
      </c>
      <c r="O255" s="32" t="n">
        <f aca="false">$G$61+K255*($I$61-$G$61)</f>
        <v>1.15874578618388</v>
      </c>
      <c r="P255" s="32" t="n">
        <f aca="false">LOGINV(L255,LN($C$62),$E$62)</f>
        <v>1.47957157679511</v>
      </c>
      <c r="Q255" s="32" t="n">
        <f aca="false">$G$62+M255*($I$62-$G$62)</f>
        <v>4.28105675387346</v>
      </c>
    </row>
    <row r="256" customFormat="false" ht="15" hidden="false" customHeight="false" outlineLevel="0" collapsed="false">
      <c r="A256" s="5" t="n">
        <v>191</v>
      </c>
      <c r="B256" s="35" t="n">
        <v>0.84364</v>
      </c>
      <c r="C256" s="35" t="n">
        <v>-2.01796</v>
      </c>
      <c r="D256" s="35" t="n">
        <v>0.28045</v>
      </c>
      <c r="E256" s="35" t="n">
        <v>0.8953</v>
      </c>
      <c r="F256" s="31" t="n">
        <f aca="false">SUMPRODUCT($B$27:$E$27,B256:E256)</f>
        <v>0.84364</v>
      </c>
      <c r="G256" s="31" t="n">
        <f aca="false">SUMPRODUCT($B$28:$E$28,B256:E256)</f>
        <v>-1.74297136832818</v>
      </c>
      <c r="H256" s="31" t="n">
        <f aca="false">SUMPRODUCT($B$29:$E$29,B256:E256)</f>
        <v>0.891890853838387</v>
      </c>
      <c r="I256" s="31" t="n">
        <f aca="false">SUMPRODUCT($B$30:$E$30,B256:E256)</f>
        <v>0.694228482632534</v>
      </c>
      <c r="J256" s="31" t="n">
        <f aca="false">NORMSDIST(F256)</f>
        <v>0.800564697485339</v>
      </c>
      <c r="K256" s="31" t="n">
        <f aca="false">NORMSDIST(G256)</f>
        <v>0.0406693081210022</v>
      </c>
      <c r="L256" s="31" t="n">
        <f aca="false">NORMSDIST(H256)</f>
        <v>0.813774281272724</v>
      </c>
      <c r="M256" s="31" t="n">
        <f aca="false">NORMSDIST(I256)</f>
        <v>0.756230533447875</v>
      </c>
      <c r="N256" s="28" t="n">
        <f aca="false">$C$61+J256*($E$61-$C$61)</f>
        <v>51.0112939497068</v>
      </c>
      <c r="O256" s="32" t="n">
        <f aca="false">$G$61+K256*($I$61-$G$61)</f>
        <v>1.0203346540605</v>
      </c>
      <c r="P256" s="32" t="n">
        <f aca="false">LOGINV(L256,LN($C$62),$E$62)</f>
        <v>1.43745966757388</v>
      </c>
      <c r="Q256" s="32" t="n">
        <f aca="false">$G$62+M256*($I$62-$G$62)</f>
        <v>6.90303740051544</v>
      </c>
    </row>
    <row r="257" customFormat="false" ht="15" hidden="false" customHeight="false" outlineLevel="0" collapsed="false">
      <c r="A257" s="5" t="n">
        <v>192</v>
      </c>
      <c r="B257" s="35" t="n">
        <v>0.41629</v>
      </c>
      <c r="C257" s="35" t="n">
        <v>0.07274</v>
      </c>
      <c r="D257" s="35" t="n">
        <v>1.08634</v>
      </c>
      <c r="E257" s="35" t="n">
        <v>-0.77929</v>
      </c>
      <c r="F257" s="31" t="n">
        <f aca="false">SUMPRODUCT($B$27:$E$27,B257:E257)</f>
        <v>0.41629</v>
      </c>
      <c r="G257" s="31" t="n">
        <f aca="false">SUMPRODUCT($B$28:$E$28,B257:E257)</f>
        <v>0.174502702150782</v>
      </c>
      <c r="H257" s="31" t="n">
        <f aca="false">SUMPRODUCT($B$29:$E$29,B257:E257)</f>
        <v>1.01034261609089</v>
      </c>
      <c r="I257" s="31" t="n">
        <f aca="false">SUMPRODUCT($B$30:$E$30,B257:E257)</f>
        <v>-1.16399727650634</v>
      </c>
      <c r="J257" s="31" t="n">
        <f aca="false">NORMSDIST(F257)</f>
        <v>0.661401095422535</v>
      </c>
      <c r="K257" s="31" t="n">
        <f aca="false">NORMSDIST(G257)</f>
        <v>0.569264796330172</v>
      </c>
      <c r="L257" s="31" t="n">
        <f aca="false">NORMSDIST(H257)</f>
        <v>0.843834414838904</v>
      </c>
      <c r="M257" s="31" t="n">
        <f aca="false">NORMSDIST(I257)</f>
        <v>0.122212557741326</v>
      </c>
      <c r="N257" s="28" t="n">
        <f aca="false">$C$61+J257*($E$61-$C$61)</f>
        <v>48.2280219084507</v>
      </c>
      <c r="O257" s="32" t="n">
        <f aca="false">$G$61+K257*($I$61-$G$61)</f>
        <v>1.28463239816509</v>
      </c>
      <c r="P257" s="32" t="n">
        <f aca="false">LOGINV(L257,LN($C$62),$E$62)</f>
        <v>1.48945899680464</v>
      </c>
      <c r="Q257" s="32" t="n">
        <f aca="false">$G$62+M257*($I$62-$G$62)</f>
        <v>4.04995650983597</v>
      </c>
    </row>
    <row r="258" customFormat="false" ht="15" hidden="false" customHeight="false" outlineLevel="0" collapsed="false">
      <c r="A258" s="5" t="n">
        <v>193</v>
      </c>
      <c r="B258" s="35" t="n">
        <v>-0.90792</v>
      </c>
      <c r="C258" s="35" t="n">
        <v>0.18021</v>
      </c>
      <c r="D258" s="35" t="n">
        <v>1.27762</v>
      </c>
      <c r="E258" s="35" t="n">
        <v>0.5065</v>
      </c>
      <c r="F258" s="31" t="n">
        <f aca="false">SUMPRODUCT($B$27:$E$27,B258:E258)</f>
        <v>-0.90792</v>
      </c>
      <c r="G258" s="31" t="n">
        <f aca="false">SUMPRODUCT($B$28:$E$28,B258:E258)</f>
        <v>-0.0524924177949903</v>
      </c>
      <c r="H258" s="31" t="n">
        <f aca="false">SUMPRODUCT($B$29:$E$29,B258:E258)</f>
        <v>1.15891120230519</v>
      </c>
      <c r="I258" s="31" t="n">
        <f aca="false">SUMPRODUCT($B$30:$E$30,B258:E258)</f>
        <v>-0.0780028085212429</v>
      </c>
      <c r="J258" s="31" t="n">
        <f aca="false">NORMSDIST(F258)</f>
        <v>0.181960245024079</v>
      </c>
      <c r="K258" s="31" t="n">
        <f aca="false">NORMSDIST(G258)</f>
        <v>0.479068168365166</v>
      </c>
      <c r="L258" s="31" t="n">
        <f aca="false">NORMSDIST(H258)</f>
        <v>0.876753808903905</v>
      </c>
      <c r="M258" s="31" t="n">
        <f aca="false">NORMSDIST(I258)</f>
        <v>0.468912909462422</v>
      </c>
      <c r="N258" s="28" t="n">
        <f aca="false">$C$61+J258*($E$61-$C$61)</f>
        <v>38.6392049004816</v>
      </c>
      <c r="O258" s="32" t="n">
        <f aca="false">$G$61+K258*($I$61-$G$61)</f>
        <v>1.23953408418258</v>
      </c>
      <c r="P258" s="32" t="n">
        <f aca="false">LOGINV(L258,LN($C$62),$E$62)</f>
        <v>1.55734670097639</v>
      </c>
      <c r="Q258" s="32" t="n">
        <f aca="false">$G$62+M258*($I$62-$G$62)</f>
        <v>5.6101080925809</v>
      </c>
    </row>
    <row r="259" customFormat="false" ht="15" hidden="false" customHeight="false" outlineLevel="0" collapsed="false">
      <c r="A259" s="5" t="n">
        <v>194</v>
      </c>
      <c r="B259" s="35" t="n">
        <v>-0.11938</v>
      </c>
      <c r="C259" s="35" t="n">
        <v>0.37507</v>
      </c>
      <c r="D259" s="35" t="n">
        <v>0.51716</v>
      </c>
      <c r="E259" s="35" t="n">
        <v>-1.17046</v>
      </c>
      <c r="F259" s="31" t="n">
        <f aca="false">SUMPRODUCT($B$27:$E$27,B259:E259)</f>
        <v>-0.11938</v>
      </c>
      <c r="G259" s="31" t="n">
        <f aca="false">SUMPRODUCT($B$28:$E$28,B259:E259)</f>
        <v>0.333314965915504</v>
      </c>
      <c r="H259" s="31" t="n">
        <f aca="false">SUMPRODUCT($B$29:$E$29,B259:E259)</f>
        <v>0.375498925611221</v>
      </c>
      <c r="I259" s="31" t="n">
        <f aca="false">SUMPRODUCT($B$30:$E$30,B259:E259)</f>
        <v>-1.2794102300936</v>
      </c>
      <c r="J259" s="31" t="n">
        <f aca="false">NORMSDIST(F259)</f>
        <v>0.452487152830415</v>
      </c>
      <c r="K259" s="31" t="n">
        <f aca="false">NORMSDIST(G259)</f>
        <v>0.630551728241593</v>
      </c>
      <c r="L259" s="31" t="n">
        <f aca="false">NORMSDIST(H259)</f>
        <v>0.646355277340226</v>
      </c>
      <c r="M259" s="31" t="n">
        <f aca="false">NORMSDIST(I259)</f>
        <v>0.100376316626229</v>
      </c>
      <c r="N259" s="28" t="n">
        <f aca="false">$C$61+J259*($E$61-$C$61)</f>
        <v>44.0497430566083</v>
      </c>
      <c r="O259" s="32" t="n">
        <f aca="false">$G$61+K259*($I$61-$G$61)</f>
        <v>1.3152758641208</v>
      </c>
      <c r="P259" s="32" t="n">
        <f aca="false">LOGINV(L259,LN($C$62),$E$62)</f>
        <v>1.23116374655104</v>
      </c>
      <c r="Q259" s="32" t="n">
        <f aca="false">$G$62+M259*($I$62-$G$62)</f>
        <v>3.95169342481803</v>
      </c>
    </row>
    <row r="260" customFormat="false" ht="15" hidden="false" customHeight="false" outlineLevel="0" collapsed="false">
      <c r="A260" s="5" t="n">
        <v>195</v>
      </c>
      <c r="B260" s="35" t="n">
        <v>-2.7371</v>
      </c>
      <c r="C260" s="35" t="n">
        <v>-0.95061</v>
      </c>
      <c r="D260" s="35" t="n">
        <v>-1.41968</v>
      </c>
      <c r="E260" s="35" t="n">
        <v>-0.50502</v>
      </c>
      <c r="F260" s="31" t="n">
        <f aca="false">SUMPRODUCT($B$27:$E$27,B260:E260)</f>
        <v>-2.7371</v>
      </c>
      <c r="G260" s="31" t="n">
        <f aca="false">SUMPRODUCT($B$28:$E$28,B260:E260)</f>
        <v>-1.60469917468456</v>
      </c>
      <c r="H260" s="31" t="n">
        <f aca="false">SUMPRODUCT($B$29:$E$29,B260:E260)</f>
        <v>-1.05528059878118</v>
      </c>
      <c r="I260" s="31" t="n">
        <f aca="false">SUMPRODUCT($B$30:$E$30,B260:E260)</f>
        <v>0.139110553263119</v>
      </c>
      <c r="J260" s="31" t="n">
        <f aca="false">NORMSDIST(F260)</f>
        <v>0.00309917240666045</v>
      </c>
      <c r="K260" s="31" t="n">
        <f aca="false">NORMSDIST(G260)</f>
        <v>0.0542800118316851</v>
      </c>
      <c r="L260" s="31" t="n">
        <f aca="false">NORMSDIST(H260)</f>
        <v>0.14564850578586</v>
      </c>
      <c r="M260" s="31" t="n">
        <f aca="false">NORMSDIST(I260)</f>
        <v>0.555318605492339</v>
      </c>
      <c r="N260" s="28" t="n">
        <f aca="false">$C$61+J260*($E$61-$C$61)</f>
        <v>35.0619834481332</v>
      </c>
      <c r="O260" s="32" t="n">
        <f aca="false">$G$61+K260*($I$61-$G$61)</f>
        <v>1.02714000591584</v>
      </c>
      <c r="P260" s="32" t="n">
        <f aca="false">LOGINV(L260,LN($C$62),$E$62)</f>
        <v>0.801497040148119</v>
      </c>
      <c r="Q260" s="32" t="n">
        <f aca="false">$G$62+M260*($I$62-$G$62)</f>
        <v>5.99893372471553</v>
      </c>
    </row>
    <row r="261" customFormat="false" ht="15" hidden="false" customHeight="false" outlineLevel="0" collapsed="false">
      <c r="A261" s="5" t="n">
        <v>196</v>
      </c>
      <c r="B261" s="35" t="n">
        <v>-1.12752</v>
      </c>
      <c r="C261" s="35" t="n">
        <v>-0.79127</v>
      </c>
      <c r="D261" s="35" t="n">
        <v>0.50878</v>
      </c>
      <c r="E261" s="35" t="n">
        <v>0.17351</v>
      </c>
      <c r="F261" s="31" t="n">
        <f aca="false">SUMPRODUCT($B$27:$E$27,B261:E261)</f>
        <v>-1.12752</v>
      </c>
      <c r="G261" s="31" t="n">
        <f aca="false">SUMPRODUCT($B$28:$E$28,B261:E261)</f>
        <v>-1.04802388308839</v>
      </c>
      <c r="H261" s="31" t="n">
        <f aca="false">SUMPRODUCT($B$29:$E$29,B261:E261)</f>
        <v>0.728908544249653</v>
      </c>
      <c r="I261" s="31" t="n">
        <f aca="false">SUMPRODUCT($B$30:$E$30,B261:E261)</f>
        <v>-0.0566373686919272</v>
      </c>
      <c r="J261" s="31" t="n">
        <f aca="false">NORMSDIST(F261)</f>
        <v>0.129761344683219</v>
      </c>
      <c r="K261" s="31" t="n">
        <f aca="false">NORMSDIST(G261)</f>
        <v>0.14731380168351</v>
      </c>
      <c r="L261" s="31" t="n">
        <f aca="false">NORMSDIST(H261)</f>
        <v>0.76697119604436</v>
      </c>
      <c r="M261" s="31" t="n">
        <f aca="false">NORMSDIST(I261)</f>
        <v>0.477417033198003</v>
      </c>
      <c r="N261" s="28" t="n">
        <f aca="false">$C$61+J261*($E$61-$C$61)</f>
        <v>37.5952268936644</v>
      </c>
      <c r="O261" s="32" t="n">
        <f aca="false">$G$61+K261*($I$61-$G$61)</f>
        <v>1.07365690084176</v>
      </c>
      <c r="P261" s="32" t="n">
        <f aca="false">LOGINV(L261,LN($C$62),$E$62)</f>
        <v>1.36886611392946</v>
      </c>
      <c r="Q261" s="32" t="n">
        <f aca="false">$G$62+M261*($I$62-$G$62)</f>
        <v>5.64837664939101</v>
      </c>
    </row>
    <row r="262" customFormat="false" ht="15" hidden="false" customHeight="false" outlineLevel="0" collapsed="false">
      <c r="A262" s="5" t="n">
        <v>197</v>
      </c>
      <c r="B262" s="35" t="n">
        <v>0.05337</v>
      </c>
      <c r="C262" s="35" t="n">
        <v>1.7401</v>
      </c>
      <c r="D262" s="35" t="n">
        <v>-0.37853</v>
      </c>
      <c r="E262" s="35" t="n">
        <v>-0.29688</v>
      </c>
      <c r="F262" s="31" t="n">
        <f aca="false">SUMPRODUCT($B$27:$E$27,B262:E262)</f>
        <v>0.05337</v>
      </c>
      <c r="G262" s="31" t="n">
        <f aca="false">SUMPRODUCT($B$28:$E$28,B262:E262)</f>
        <v>1.69818708018388</v>
      </c>
      <c r="H262" s="31" t="n">
        <f aca="false">SUMPRODUCT($B$29:$E$29,B262:E262)</f>
        <v>-0.899052481064082</v>
      </c>
      <c r="I262" s="31" t="n">
        <f aca="false">SUMPRODUCT($B$30:$E$30,B262:E262)</f>
        <v>-0.110080278811958</v>
      </c>
      <c r="J262" s="31" t="n">
        <f aca="false">NORMSDIST(F262)</f>
        <v>0.521281446166768</v>
      </c>
      <c r="K262" s="31" t="n">
        <f aca="false">NORMSDIST(G262)</f>
        <v>0.955263770886179</v>
      </c>
      <c r="L262" s="31" t="n">
        <f aca="false">NORMSDIST(H262)</f>
        <v>0.184312353652581</v>
      </c>
      <c r="M262" s="31" t="n">
        <f aca="false">NORMSDIST(I262)</f>
        <v>0.45617285416202</v>
      </c>
      <c r="N262" s="28" t="n">
        <f aca="false">$C$61+J262*($E$61-$C$61)</f>
        <v>45.4256289233354</v>
      </c>
      <c r="O262" s="32" t="n">
        <f aca="false">$G$61+K262*($I$61-$G$61)</f>
        <v>1.47763188544309</v>
      </c>
      <c r="P262" s="32" t="n">
        <f aca="false">LOGINV(L262,LN($C$62),$E$62)</f>
        <v>0.839956172152519</v>
      </c>
      <c r="Q262" s="32" t="n">
        <f aca="false">$G$62+M262*($I$62-$G$62)</f>
        <v>5.55277784372909</v>
      </c>
    </row>
    <row r="263" customFormat="false" ht="15" hidden="false" customHeight="false" outlineLevel="0" collapsed="false">
      <c r="A263" s="5" t="n">
        <v>198</v>
      </c>
      <c r="B263" s="35" t="n">
        <v>1.35115</v>
      </c>
      <c r="C263" s="35" t="n">
        <v>-1.02535</v>
      </c>
      <c r="D263" s="35" t="n">
        <v>-1.54258</v>
      </c>
      <c r="E263" s="35" t="n">
        <v>1.39733</v>
      </c>
      <c r="F263" s="31" t="n">
        <f aca="false">SUMPRODUCT($B$27:$E$27,B263:E263)</f>
        <v>1.35115</v>
      </c>
      <c r="G263" s="31" t="n">
        <f aca="false">SUMPRODUCT($B$28:$E$28,B263:E263)</f>
        <v>-0.655003368508444</v>
      </c>
      <c r="H263" s="31" t="n">
        <f aca="false">SUMPRODUCT($B$29:$E$29,B263:E263)</f>
        <v>-1.14897524279115</v>
      </c>
      <c r="I263" s="31" t="n">
        <f aca="false">SUMPRODUCT($B$30:$E$30,B263:E263)</f>
        <v>1.91662375646005</v>
      </c>
      <c r="J263" s="31" t="n">
        <f aca="false">NORMSDIST(F263)</f>
        <v>0.911676306250306</v>
      </c>
      <c r="K263" s="31" t="n">
        <f aca="false">NORMSDIST(G263)</f>
        <v>0.256232792639292</v>
      </c>
      <c r="L263" s="31" t="n">
        <f aca="false">NORMSDIST(H263)</f>
        <v>0.125283094674078</v>
      </c>
      <c r="M263" s="31" t="n">
        <f aca="false">NORMSDIST(I263)</f>
        <v>0.972357126148869</v>
      </c>
      <c r="N263" s="28" t="n">
        <f aca="false">$C$61+J263*($E$61-$C$61)</f>
        <v>53.2335261250061</v>
      </c>
      <c r="O263" s="32" t="n">
        <f aca="false">$G$61+K263*($I$61-$G$61)</f>
        <v>1.12811639631965</v>
      </c>
      <c r="P263" s="32" t="n">
        <f aca="false">LOGINV(L263,LN($C$62),$E$62)</f>
        <v>0.77928192442375</v>
      </c>
      <c r="Q263" s="32" t="n">
        <f aca="false">$G$62+M263*($I$62-$G$62)</f>
        <v>7.87560706766991</v>
      </c>
    </row>
    <row r="264" customFormat="false" ht="15" hidden="false" customHeight="false" outlineLevel="0" collapsed="false">
      <c r="A264" s="5" t="n">
        <v>199</v>
      </c>
      <c r="B264" s="35" t="n">
        <v>0.42848</v>
      </c>
      <c r="C264" s="35" t="n">
        <v>0.69395</v>
      </c>
      <c r="D264" s="35" t="n">
        <v>0.7324</v>
      </c>
      <c r="E264" s="35" t="n">
        <v>1.00051</v>
      </c>
      <c r="F264" s="31" t="n">
        <f aca="false">SUMPRODUCT($B$27:$E$27,B264:E264)</f>
        <v>0.42848</v>
      </c>
      <c r="G264" s="31" t="n">
        <f aca="false">SUMPRODUCT($B$28:$E$28,B264:E264)</f>
        <v>0.779034198275159</v>
      </c>
      <c r="H264" s="31" t="n">
        <f aca="false">SUMPRODUCT($B$29:$E$29,B264:E264)</f>
        <v>0.481345427024033</v>
      </c>
      <c r="I264" s="31" t="n">
        <f aca="false">SUMPRODUCT($B$30:$E$30,B264:E264)</f>
        <v>0.599538027202267</v>
      </c>
      <c r="J264" s="31" t="n">
        <f aca="false">NORMSDIST(F264)</f>
        <v>0.665849154235953</v>
      </c>
      <c r="K264" s="31" t="n">
        <f aca="false">NORMSDIST(G264)</f>
        <v>0.782020215063479</v>
      </c>
      <c r="L264" s="31" t="n">
        <f aca="false">NORMSDIST(H264)</f>
        <v>0.684864491986386</v>
      </c>
      <c r="M264" s="31" t="n">
        <f aca="false">NORMSDIST(I264)</f>
        <v>0.725592920216435</v>
      </c>
      <c r="N264" s="28" t="n">
        <f aca="false">$C$61+J264*($E$61-$C$61)</f>
        <v>48.3169830847191</v>
      </c>
      <c r="O264" s="32" t="n">
        <f aca="false">$G$61+K264*($I$61-$G$61)</f>
        <v>1.39101010753174</v>
      </c>
      <c r="P264" s="32" t="n">
        <f aca="false">LOGINV(L264,LN($C$62),$E$62)</f>
        <v>1.27088538092856</v>
      </c>
      <c r="Q264" s="32" t="n">
        <f aca="false">$G$62+M264*($I$62-$G$62)</f>
        <v>6.76516814097396</v>
      </c>
    </row>
    <row r="265" customFormat="false" ht="15" hidden="false" customHeight="false" outlineLevel="0" collapsed="false">
      <c r="A265" s="5" t="n">
        <v>200</v>
      </c>
      <c r="B265" s="35" t="n">
        <v>-0.37342</v>
      </c>
      <c r="C265" s="35" t="n">
        <v>0.02477</v>
      </c>
      <c r="D265" s="35" t="n">
        <v>-1.01059</v>
      </c>
      <c r="E265" s="35" t="n">
        <v>0.24289</v>
      </c>
      <c r="F265" s="31" t="n">
        <f aca="false">SUMPRODUCT($B$27:$E$27,B265:E265)</f>
        <v>-0.37342</v>
      </c>
      <c r="G265" s="31" t="n">
        <f aca="false">SUMPRODUCT($B$28:$E$28,B265:E265)</f>
        <v>-0.0693715506286106</v>
      </c>
      <c r="H265" s="31" t="n">
        <f aca="false">SUMPRODUCT($B$29:$E$29,B265:E265)</f>
        <v>-0.968532706774519</v>
      </c>
      <c r="I265" s="31" t="n">
        <f aca="false">SUMPRODUCT($B$30:$E$30,B265:E265)</f>
        <v>0.645507816071562</v>
      </c>
      <c r="J265" s="31" t="n">
        <f aca="false">NORMSDIST(F265)</f>
        <v>0.354417938221484</v>
      </c>
      <c r="K265" s="31" t="n">
        <f aca="false">NORMSDIST(G265)</f>
        <v>0.472346936829632</v>
      </c>
      <c r="L265" s="31" t="n">
        <f aca="false">NORMSDIST(H265)</f>
        <v>0.166389196340415</v>
      </c>
      <c r="M265" s="31" t="n">
        <f aca="false">NORMSDIST(I265)</f>
        <v>0.740700922593411</v>
      </c>
      <c r="N265" s="28" t="n">
        <f aca="false">$C$61+J265*($E$61-$C$61)</f>
        <v>42.0883587644297</v>
      </c>
      <c r="O265" s="32" t="n">
        <f aca="false">$G$61+K265*($I$61-$G$61)</f>
        <v>1.23617346841482</v>
      </c>
      <c r="P265" s="32" t="n">
        <f aca="false">LOGINV(L265,LN($C$62),$E$62)</f>
        <v>0.822629277642879</v>
      </c>
      <c r="Q265" s="32" t="n">
        <f aca="false">$G$62+M265*($I$62-$G$62)</f>
        <v>6.83315415167035</v>
      </c>
    </row>
    <row r="267" customFormat="false" ht="15" hidden="false" customHeight="false" outlineLevel="0" collapsed="false">
      <c r="A267" s="3" t="s">
        <v>1331</v>
      </c>
      <c r="B267" s="20" t="s">
        <v>1332</v>
      </c>
      <c r="C267" s="32" t="n">
        <f aca="false">CORREL(F66:F265,G66:G265)</f>
        <v>0.234966224499607</v>
      </c>
      <c r="D267" s="20" t="s">
        <v>1333</v>
      </c>
      <c r="E267" s="32" t="n">
        <f aca="false">CORREL(G66:G265,H66:H265)</f>
        <v>-0.222366446431018</v>
      </c>
      <c r="F267" s="20" t="s">
        <v>1334</v>
      </c>
      <c r="G267" s="32" t="n">
        <f aca="false">CORREL(H66:H265,I66:I265)</f>
        <v>-0.399860782042487</v>
      </c>
      <c r="H267" s="20" t="s">
        <v>1335</v>
      </c>
      <c r="I267" s="32" t="n">
        <f aca="false">CORREL(F66:F265,H66:H265)</f>
        <v>-0.0746086867126809</v>
      </c>
      <c r="J267" s="20" t="s">
        <v>1336</v>
      </c>
      <c r="K267" s="32" t="n">
        <f aca="false">CORREL(F66:F265,I66:I265)</f>
        <v>0.21585502400327</v>
      </c>
      <c r="L267" s="20" t="s">
        <v>1337</v>
      </c>
      <c r="M267" s="32" t="n">
        <f aca="false">CORREL(G66:G265,I66:I265)</f>
        <v>-0.0979040047262652</v>
      </c>
    </row>
    <row r="268" customFormat="false" ht="15" hidden="false" customHeight="false" outlineLevel="0" collapsed="false">
      <c r="A268" s="20" t="s">
        <v>1338</v>
      </c>
    </row>
  </sheetData>
  <mergeCells count="8">
    <mergeCell ref="B4:Q4"/>
    <mergeCell ref="B5:Q5"/>
    <mergeCell ref="B6:Q6"/>
    <mergeCell ref="B7:Q7"/>
    <mergeCell ref="B8:Q8"/>
    <mergeCell ref="B9:Q9"/>
    <mergeCell ref="B10:Q10"/>
    <mergeCell ref="B11:Q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1339</v>
      </c>
    </row>
    <row r="2" customFormat="false" ht="15" hidden="false" customHeight="false" outlineLevel="0" collapsed="false">
      <c r="A2" s="2" t="s">
        <v>1340</v>
      </c>
    </row>
    <row r="4" customFormat="false" ht="45" hidden="false" customHeight="true" outlineLevel="0" collapsed="false">
      <c r="A4" s="7" t="s">
        <v>1341</v>
      </c>
      <c r="B4" s="7" t="s">
        <v>33</v>
      </c>
      <c r="C4" s="7" t="s">
        <v>1342</v>
      </c>
      <c r="D4" s="7" t="s">
        <v>1343</v>
      </c>
    </row>
    <row r="5" customFormat="false" ht="15" hidden="false" customHeight="false" outlineLevel="0" collapsed="false">
      <c r="A5" s="5" t="s">
        <v>1344</v>
      </c>
      <c r="B5" s="21" t="n">
        <f aca="false">SUM(Scenarios!I6:I105)</f>
        <v>1</v>
      </c>
      <c r="C5" s="5" t="s">
        <v>1345</v>
      </c>
      <c r="D5" s="5" t="s">
        <v>1346</v>
      </c>
    </row>
    <row r="6" customFormat="false" ht="15" hidden="false" customHeight="false" outlineLevel="0" collapsed="false">
      <c r="A6" s="5" t="s">
        <v>1347</v>
      </c>
      <c r="B6" s="23" t="n">
        <f aca="false">SUM(Scenarios!R6:R105)</f>
        <v>2.06760437466667E-008</v>
      </c>
      <c r="C6" s="5" t="s">
        <v>1348</v>
      </c>
      <c r="D6" s="5" t="s">
        <v>1349</v>
      </c>
    </row>
    <row r="7" customFormat="false" ht="15" hidden="false" customHeight="false" outlineLevel="0" collapsed="false">
      <c r="A7" s="5" t="s">
        <v>1350</v>
      </c>
      <c r="B7" s="23" t="n">
        <f aca="false">SUM(Scenarios!S6:S105)</f>
        <v>7.34607643466272E-007</v>
      </c>
      <c r="C7" s="5" t="s">
        <v>1348</v>
      </c>
      <c r="D7" s="5" t="s">
        <v>1351</v>
      </c>
    </row>
    <row r="8" customFormat="false" ht="15" hidden="false" customHeight="false" outlineLevel="0" collapsed="false">
      <c r="A8" s="5" t="s">
        <v>1352</v>
      </c>
      <c r="B8" s="36" t="n">
        <v>7.31889171687469E-008</v>
      </c>
      <c r="C8" s="5" t="s">
        <v>1348</v>
      </c>
      <c r="D8" s="5" t="s">
        <v>1353</v>
      </c>
    </row>
    <row r="9" customFormat="false" ht="15" hidden="false" customHeight="false" outlineLevel="0" collapsed="false">
      <c r="A9" s="5" t="s">
        <v>1354</v>
      </c>
      <c r="B9" s="36" t="n">
        <v>4.66137611819245E-008</v>
      </c>
      <c r="C9" s="5" t="s">
        <v>1348</v>
      </c>
      <c r="D9" s="5" t="s">
        <v>1355</v>
      </c>
    </row>
    <row r="10" customFormat="false" ht="15" hidden="false" customHeight="false" outlineLevel="0" collapsed="false">
      <c r="A10" s="5" t="s">
        <v>1356</v>
      </c>
      <c r="B10" s="23" t="n">
        <f aca="false">Inputs!B5</f>
        <v>1E-007</v>
      </c>
      <c r="C10" s="5" t="s">
        <v>1348</v>
      </c>
      <c r="D10" s="5"/>
    </row>
    <row r="11" customFormat="false" ht="15" hidden="false" customHeight="false" outlineLevel="0" collapsed="false">
      <c r="A11" s="5" t="s">
        <v>1357</v>
      </c>
      <c r="B11" s="23" t="n">
        <f aca="false">Inputs!B11</f>
        <v>9E-008</v>
      </c>
      <c r="C11" s="5" t="s">
        <v>1348</v>
      </c>
      <c r="D11" s="5" t="s">
        <v>1358</v>
      </c>
    </row>
    <row r="13" customFormat="false" ht="15" hidden="false" customHeight="false" outlineLevel="0" collapsed="false">
      <c r="A13" s="3" t="s">
        <v>1359</v>
      </c>
    </row>
    <row r="14" customFormat="false" ht="15" hidden="false" customHeight="false" outlineLevel="0" collapsed="false">
      <c r="A14" s="5" t="s">
        <v>27</v>
      </c>
      <c r="B14" s="32" t="n">
        <f aca="false">B6/B11</f>
        <v>0.229733819407407</v>
      </c>
      <c r="D14" s="5" t="str">
        <f aca="false">IF(B6&lt;=B11,"meets budget (point only — not a valid claim)","exceeds budget")</f>
        <v>meets budget (point only — not a valid claim)</v>
      </c>
    </row>
    <row r="15" customFormat="false" ht="15" hidden="false" customHeight="false" outlineLevel="0" collapsed="false">
      <c r="A15" s="5" t="s">
        <v>28</v>
      </c>
      <c r="B15" s="32" t="n">
        <f aca="false">B7/B11</f>
        <v>8.16230714962524</v>
      </c>
      <c r="D15" s="5" t="str">
        <f aca="false">IF(B7&lt;=B11,"PASS at confidence C","FAIL — evidence insufficient, see Validation Targets")</f>
        <v>FAIL — evidence insufficient, see Validation Targets</v>
      </c>
    </row>
    <row r="16" customFormat="false" ht="15" hidden="false" customHeight="false" outlineLevel="0" collapsed="false">
      <c r="A16" s="5" t="s">
        <v>29</v>
      </c>
      <c r="B16" s="32" t="n">
        <f aca="false">B8/B11</f>
        <v>0.813210190763855</v>
      </c>
      <c r="D16" s="5" t="str">
        <f aca="false">IF(B8&lt;=B11,"PASS at 95% posterior (prior must be justified to the assessor)","FAIL")</f>
        <v>PASS at 95% posterior (prior must be justified to the assessor)</v>
      </c>
    </row>
    <row r="18" customFormat="false" ht="15" hidden="false" customHeight="false" outlineLevel="0" collapsed="false">
      <c r="A18" s="3" t="s">
        <v>1360</v>
      </c>
    </row>
    <row r="19" customFormat="false" ht="15" hidden="false" customHeight="false" outlineLevel="0" collapsed="false">
      <c r="A19" s="5" t="s">
        <v>1361</v>
      </c>
      <c r="B19" s="13" t="n">
        <f aca="false">B6/SUMPRODUCT(Scenarios!I6:I105,Scenarios!J6:J105)</f>
        <v>0.000338951536830601</v>
      </c>
      <c r="D19" s="5" t="s">
        <v>1362</v>
      </c>
    </row>
    <row r="20" customFormat="false" ht="15" hidden="false" customHeight="false" outlineLevel="0" collapsed="false">
      <c r="A20" s="5" t="s">
        <v>1363</v>
      </c>
      <c r="B20" s="13" t="n">
        <f aca="false">B11/B19</f>
        <v>0.000265524684860714</v>
      </c>
      <c r="C20" s="5" t="s">
        <v>1348</v>
      </c>
    </row>
    <row r="21" customFormat="false" ht="15" hidden="false" customHeight="false" outlineLevel="0" collapsed="false">
      <c r="A21" s="5" t="s">
        <v>1364</v>
      </c>
      <c r="B21" s="19" t="n">
        <f aca="false">-LN(1-Inputs!B6)/B20</f>
        <v>11282.3117561573</v>
      </c>
      <c r="C21" s="5" t="s">
        <v>1279</v>
      </c>
      <c r="D21" s="5" t="s">
        <v>1365</v>
      </c>
    </row>
    <row r="22" customFormat="false" ht="15" hidden="false" customHeight="false" outlineLevel="0" collapsed="false">
      <c r="A22" s="5" t="s">
        <v>1366</v>
      </c>
      <c r="B22" s="19" t="n">
        <f aca="false">-LN(1-Inputs!B6)/(Inputs!B7*Inputs!B5/B19)</f>
        <v>101540.805805416</v>
      </c>
      <c r="C22" s="5" t="s">
        <v>1279</v>
      </c>
      <c r="D22" s="5" t="s">
        <v>1367</v>
      </c>
    </row>
    <row r="23" customFormat="false" ht="15" hidden="false" customHeight="false" outlineLevel="0" collapsed="false">
      <c r="A23" s="5" t="s">
        <v>1368</v>
      </c>
      <c r="B23" s="37" t="n">
        <f aca="false">'HB Evidence'!D27</f>
        <v>73500</v>
      </c>
      <c r="C23" s="5" t="s">
        <v>1279</v>
      </c>
    </row>
    <row r="25" customFormat="false" ht="15" hidden="false" customHeight="false" outlineLevel="0" collapsed="false">
      <c r="A25" s="3" t="s">
        <v>1369</v>
      </c>
      <c r="B25" s="3" t="s">
        <v>1370</v>
      </c>
      <c r="C25" s="3" t="s">
        <v>1371</v>
      </c>
      <c r="D25" s="3" t="s">
        <v>1372</v>
      </c>
    </row>
    <row r="26" customFormat="false" ht="15" hidden="false" customHeight="false" outlineLevel="0" collapsed="false">
      <c r="A26" s="5" t="s">
        <v>54</v>
      </c>
      <c r="B26" s="13" t="n">
        <f aca="false">SUMIF(Scenarios!$B$6:$B$105,A26,Scenarios!$R$6:$R$105)</f>
        <v>0</v>
      </c>
      <c r="C26" s="15" t="n">
        <f aca="false">B26/$B$6</f>
        <v>0</v>
      </c>
      <c r="D26" s="38" t="n">
        <f aca="false">SUMIF(Scenarios!$B$6:$B$105,A26,Scenarios!$X$6:$X$105)/SUM(Scenarios!$X$6:$X$105)</f>
        <v>0.181270376715661</v>
      </c>
    </row>
    <row r="27" customFormat="false" ht="15" hidden="false" customHeight="false" outlineLevel="0" collapsed="false">
      <c r="A27" s="5" t="s">
        <v>56</v>
      </c>
      <c r="B27" s="13" t="n">
        <f aca="false">SUMIF(Scenarios!$B$6:$B$105,A27,Scenarios!$R$6:$R$105)</f>
        <v>5.21878542583333E-009</v>
      </c>
      <c r="C27" s="15" t="n">
        <f aca="false">B27/$B$6</f>
        <v>0.25240735073772</v>
      </c>
      <c r="D27" s="38" t="n">
        <f aca="false">SUMIF(Scenarios!$B$6:$B$105,A27,Scenarios!$X$6:$X$105)/SUM(Scenarios!$X$6:$X$105)</f>
        <v>0.209811638347947</v>
      </c>
    </row>
    <row r="28" customFormat="false" ht="15" hidden="false" customHeight="false" outlineLevel="0" collapsed="false">
      <c r="A28" s="5" t="s">
        <v>57</v>
      </c>
      <c r="B28" s="13" t="n">
        <f aca="false">SUMIF(Scenarios!$B$6:$B$105,A28,Scenarios!$R$6:$R$105)</f>
        <v>3.95779851833333E-009</v>
      </c>
      <c r="C28" s="15" t="n">
        <f aca="false">B28/$B$6</f>
        <v>0.191419527199027</v>
      </c>
      <c r="D28" s="38" t="n">
        <f aca="false">SUMIF(Scenarios!$B$6:$B$105,A28,Scenarios!$X$6:$X$105)/SUM(Scenarios!$X$6:$X$105)</f>
        <v>0.152263840194663</v>
      </c>
    </row>
    <row r="29" customFormat="false" ht="15" hidden="false" customHeight="false" outlineLevel="0" collapsed="false">
      <c r="A29" s="5" t="s">
        <v>58</v>
      </c>
      <c r="B29" s="13" t="n">
        <f aca="false">SUMIF(Scenarios!$B$6:$B$105,A29,Scenarios!$R$6:$R$105)</f>
        <v>7.9186831725E-009</v>
      </c>
      <c r="C29" s="15" t="n">
        <f aca="false">B29/$B$6</f>
        <v>0.38298831582694</v>
      </c>
      <c r="D29" s="38" t="n">
        <f aca="false">SUMIF(Scenarios!$B$6:$B$105,A29,Scenarios!$X$6:$X$105)/SUM(Scenarios!$X$6:$X$105)</f>
        <v>0.351439477833588</v>
      </c>
    </row>
    <row r="30" customFormat="false" ht="15" hidden="false" customHeight="false" outlineLevel="0" collapsed="false">
      <c r="A30" s="5" t="s">
        <v>59</v>
      </c>
      <c r="B30" s="13" t="n">
        <f aca="false">SUMIF(Scenarios!$B$6:$B$105,A30,Scenarios!$R$6:$R$105)</f>
        <v>3.58077663E-009</v>
      </c>
      <c r="C30" s="15" t="n">
        <f aca="false">B30/$B$6</f>
        <v>0.173184806236313</v>
      </c>
      <c r="D30" s="38" t="n">
        <f aca="false">SUMIF(Scenarios!$B$6:$B$105,A30,Scenarios!$X$6:$X$105)/SUM(Scenarios!$X$6:$X$105)</f>
        <v>0.105214666908141</v>
      </c>
    </row>
    <row r="32" customFormat="false" ht="15" hidden="false" customHeight="false" outlineLevel="0" collapsed="false">
      <c r="A32" s="3" t="s">
        <v>1373</v>
      </c>
      <c r="B32" s="3" t="s">
        <v>1370</v>
      </c>
      <c r="C32" s="3" t="s">
        <v>1371</v>
      </c>
      <c r="D32" s="3" t="s">
        <v>1372</v>
      </c>
    </row>
    <row r="33" customFormat="false" ht="15" hidden="false" customHeight="false" outlineLevel="0" collapsed="false">
      <c r="A33" s="5" t="s">
        <v>68</v>
      </c>
      <c r="B33" s="13" t="n">
        <f aca="false">SUMIF(Scenarios!$D$6:$D$105,A33,Scenarios!$R$6:$R$105)</f>
        <v>0</v>
      </c>
      <c r="C33" s="15" t="n">
        <f aca="false">B33/$B$6</f>
        <v>0</v>
      </c>
      <c r="D33" s="38" t="n">
        <f aca="false">SUMIF(Scenarios!$D$6:$D$105,A33,Scenarios!$X$6:$X$105)/SUM(Scenarios!$X$6:$X$105)</f>
        <v>0</v>
      </c>
    </row>
    <row r="34" customFormat="false" ht="15" hidden="false" customHeight="false" outlineLevel="0" collapsed="false">
      <c r="A34" s="5" t="s">
        <v>70</v>
      </c>
      <c r="B34" s="13" t="n">
        <f aca="false">SUMIF(Scenarios!$D$6:$D$105,A34,Scenarios!$R$6:$R$105)</f>
        <v>2.23777866666667E-010</v>
      </c>
      <c r="C34" s="15" t="n">
        <f aca="false">B34/$B$6</f>
        <v>0.0108230505510873</v>
      </c>
      <c r="D34" s="38" t="n">
        <f aca="false">SUMIF(Scenarios!$D$6:$D$105,A34,Scenarios!$X$6:$X$105)/SUM(Scenarios!$X$6:$X$105)</f>
        <v>0.00840107714549192</v>
      </c>
    </row>
    <row r="35" customFormat="false" ht="15" hidden="false" customHeight="false" outlineLevel="0" collapsed="false">
      <c r="A35" s="5" t="s">
        <v>71</v>
      </c>
      <c r="B35" s="13" t="n">
        <f aca="false">SUMIF(Scenarios!$D$6:$D$105,A35,Scenarios!$R$6:$R$105)</f>
        <v>8.80883975E-010</v>
      </c>
      <c r="C35" s="15" t="n">
        <f aca="false">B35/$B$6</f>
        <v>0.0426040874063257</v>
      </c>
      <c r="D35" s="38" t="n">
        <f aca="false">SUMIF(Scenarios!$D$6:$D$105,A35,Scenarios!$X$6:$X$105)/SUM(Scenarios!$X$6:$X$105)</f>
        <v>0.0600010056720145</v>
      </c>
    </row>
    <row r="36" customFormat="false" ht="15" hidden="false" customHeight="false" outlineLevel="0" collapsed="false">
      <c r="A36" s="5" t="s">
        <v>72</v>
      </c>
      <c r="B36" s="13" t="n">
        <f aca="false">SUMIF(Scenarios!$D$6:$D$105,A36,Scenarios!$R$6:$R$105)</f>
        <v>6.78192523666667E-009</v>
      </c>
      <c r="C36" s="15" t="n">
        <f aca="false">B36/$B$6</f>
        <v>0.328008845394324</v>
      </c>
      <c r="D36" s="38" t="n">
        <f aca="false">SUMIF(Scenarios!$D$6:$D$105,A36,Scenarios!$X$6:$X$105)/SUM(Scenarios!$X$6:$X$105)</f>
        <v>0.317429893453344</v>
      </c>
    </row>
    <row r="37" customFormat="false" ht="15" hidden="false" customHeight="false" outlineLevel="0" collapsed="false">
      <c r="A37" s="5" t="s">
        <v>73</v>
      </c>
      <c r="B37" s="13" t="n">
        <f aca="false">SUMIF(Scenarios!$D$6:$D$105,A37,Scenarios!$R$6:$R$105)</f>
        <v>1.27894566683333E-008</v>
      </c>
      <c r="C37" s="15" t="n">
        <f aca="false">B37/$B$6</f>
        <v>0.618564016648263</v>
      </c>
      <c r="D37" s="38" t="n">
        <f aca="false">SUMIF(Scenarios!$D$6:$D$105,A37,Scenarios!$X$6:$X$105)/SUM(Scenarios!$X$6:$X$105)</f>
        <v>0.61416802372915</v>
      </c>
    </row>
    <row r="39" customFormat="false" ht="15" hidden="false" customHeight="false" outlineLevel="0" collapsed="false">
      <c r="A39" s="3" t="s">
        <v>1374</v>
      </c>
      <c r="B39" s="3" t="s">
        <v>1370</v>
      </c>
      <c r="C39" s="3" t="s">
        <v>1371</v>
      </c>
      <c r="D39" s="3" t="s">
        <v>1372</v>
      </c>
    </row>
    <row r="40" customFormat="false" ht="15" hidden="false" customHeight="false" outlineLevel="0" collapsed="false">
      <c r="A40" s="5" t="s">
        <v>62</v>
      </c>
      <c r="B40" s="13" t="n">
        <f aca="false">SUMIF(Scenarios!$C$6:$C$105,A40,Scenarios!$R$6:$R$105)</f>
        <v>1.70084491791667E-008</v>
      </c>
      <c r="C40" s="15" t="n">
        <f aca="false">B40/$B$6</f>
        <v>0.822616231014152</v>
      </c>
      <c r="D40" s="38" t="n">
        <f aca="false">SUMIF(Scenarios!$C$6:$C$105,A40,Scenarios!$X$6:$X$105)/SUM(Scenarios!$X$6:$X$105)</f>
        <v>0.498431599426066</v>
      </c>
    </row>
    <row r="41" customFormat="false" ht="15" hidden="false" customHeight="false" outlineLevel="0" collapsed="false">
      <c r="A41" s="5" t="s">
        <v>64</v>
      </c>
      <c r="B41" s="13" t="n">
        <f aca="false">SUMIF(Scenarios!$C$6:$C$105,A41,Scenarios!$R$6:$R$105)</f>
        <v>1.6843687E-009</v>
      </c>
      <c r="C41" s="15" t="n">
        <f aca="false">B41/$B$6</f>
        <v>0.081464748316348</v>
      </c>
      <c r="D41" s="38" t="n">
        <f aca="false">SUMIF(Scenarios!$C$6:$C$105,A41,Scenarios!$X$6:$X$105)/SUM(Scenarios!$X$6:$X$105)</f>
        <v>0.391711300473393</v>
      </c>
    </row>
    <row r="42" customFormat="false" ht="15" hidden="false" customHeight="false" outlineLevel="0" collapsed="false">
      <c r="A42" s="5" t="s">
        <v>65</v>
      </c>
      <c r="B42" s="13" t="n">
        <f aca="false">SUMIF(Scenarios!$C$6:$C$105,A42,Scenarios!$R$6:$R$105)</f>
        <v>1.1398644675E-009</v>
      </c>
      <c r="C42" s="15" t="n">
        <f aca="false">B42/$B$6</f>
        <v>0.0551297183090825</v>
      </c>
      <c r="D42" s="38" t="n">
        <f aca="false">SUMIF(Scenarios!$C$6:$C$105,A42,Scenarios!$X$6:$X$105)/SUM(Scenarios!$X$6:$X$105)</f>
        <v>0.0826349483276149</v>
      </c>
    </row>
    <row r="43" customFormat="false" ht="15" hidden="false" customHeight="false" outlineLevel="0" collapsed="false">
      <c r="A43" s="5" t="s">
        <v>66</v>
      </c>
      <c r="B43" s="13" t="n">
        <f aca="false">SUMIF(Scenarios!$C$6:$C$105,A43,Scenarios!$R$6:$R$105)</f>
        <v>8.433614E-010</v>
      </c>
      <c r="C43" s="15" t="n">
        <f aca="false">B43/$B$6</f>
        <v>0.0407893023604172</v>
      </c>
      <c r="D43" s="38" t="n">
        <f aca="false">SUMIF(Scenarios!$C$6:$C$105,A43,Scenarios!$X$6:$X$105)/SUM(Scenarios!$X$6:$X$105)</f>
        <v>0.0272221517729264</v>
      </c>
    </row>
    <row r="45" customFormat="false" ht="15" hidden="false" customHeight="false" outlineLevel="0" collapsed="false">
      <c r="A45" s="5" t="s">
        <v>1375</v>
      </c>
      <c r="B45" s="11" t="n">
        <f aca="false">COUNTIF(Scenarios!U6:U105,"&lt;="&amp;B11*0.001)</f>
        <v>0</v>
      </c>
    </row>
    <row r="46" customFormat="false" ht="15" hidden="false" customHeight="false" outlineLevel="0" collapsed="false">
      <c r="A46" s="5" t="s">
        <v>1376</v>
      </c>
      <c r="B46" s="13" t="n">
        <f aca="false">SUMIF(Scenarios!U6:U105,"&lt;="&amp;B11*0.001)</f>
        <v>0</v>
      </c>
      <c r="C46" s="5" t="s">
        <v>1348</v>
      </c>
    </row>
    <row r="48" customFormat="false" ht="15" hidden="false" customHeight="false" outlineLevel="0" collapsed="false">
      <c r="A48" s="3" t="s">
        <v>1377</v>
      </c>
    </row>
    <row r="49" customFormat="false" ht="15" hidden="false" customHeight="false" outlineLevel="0" collapsed="false">
      <c r="A49" s="5" t="s">
        <v>1378</v>
      </c>
      <c r="B49" s="18" t="n">
        <f aca="false">SUM(Scenarios!X6:X105)</f>
        <v>3.183104087355E-008</v>
      </c>
      <c r="C49" s="5" t="s">
        <v>1348</v>
      </c>
    </row>
    <row r="50" customFormat="false" ht="15" hidden="false" customHeight="false" outlineLevel="0" collapsed="false">
      <c r="A50" s="5" t="s">
        <v>1379</v>
      </c>
      <c r="B50" s="18" t="n">
        <f aca="false">SUMPRODUCT(Scenarios!I6:I105,Scenarios!W6:W105)</f>
        <v>9.612E-005</v>
      </c>
      <c r="C50" s="5" t="s">
        <v>1348</v>
      </c>
    </row>
    <row r="51" customFormat="false" ht="15" hidden="false" customHeight="false" outlineLevel="0" collapsed="false">
      <c r="A51" s="5" t="s">
        <v>1380</v>
      </c>
      <c r="B51" s="38" t="n">
        <f aca="false">EXP(-B50*B21)</f>
        <v>0.338085720061961</v>
      </c>
      <c r="D51" s="5" t="s">
        <v>1381</v>
      </c>
    </row>
    <row r="53" customFormat="false" ht="15" hidden="false" customHeight="false" outlineLevel="0" collapsed="false">
      <c r="A53" s="3" t="s">
        <v>1382</v>
      </c>
    </row>
    <row r="54" customFormat="false" ht="15" hidden="false" customHeight="false" outlineLevel="0" collapsed="false">
      <c r="A54" s="5" t="s">
        <v>1383</v>
      </c>
      <c r="B54" s="13" t="n">
        <f aca="false">SUM(Scenarios!AC6:AC105)</f>
        <v>1.51788913666128E-008</v>
      </c>
      <c r="C54" s="5" t="s">
        <v>1348</v>
      </c>
      <c r="D54" s="5" t="s">
        <v>1384</v>
      </c>
    </row>
    <row r="55" customFormat="false" ht="15" hidden="false" customHeight="false" outlineLevel="0" collapsed="false">
      <c r="A55" s="5" t="s">
        <v>1385</v>
      </c>
      <c r="B55" s="32" t="n">
        <f aca="false">B54/B6</f>
        <v>0.734129389190324</v>
      </c>
      <c r="D55" s="5" t="s">
        <v>1386</v>
      </c>
    </row>
    <row r="56" customFormat="false" ht="15" hidden="false" customHeight="false" outlineLevel="0" collapsed="false">
      <c r="A56" s="5" t="s">
        <v>1387</v>
      </c>
      <c r="B56" s="29" t="n">
        <f aca="false">SUM('Concrete Scenarios'!O6:O1005)</f>
        <v>117</v>
      </c>
    </row>
    <row r="57" customFormat="false" ht="15" hidden="false" customHeight="false" outlineLevel="0" collapsed="false">
      <c r="A57" s="5" t="s">
        <v>1388</v>
      </c>
      <c r="B57" s="28" t="n">
        <f aca="false">MEDIAN(Scenarios!Z6:Z105)</f>
        <v>4.27527897948262</v>
      </c>
      <c r="D57" s="5" t="s">
        <v>1389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9" min="7" style="0" width="14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1390</v>
      </c>
    </row>
    <row r="2" customFormat="false" ht="15" hidden="false" customHeight="false" outlineLevel="0" collapsed="false">
      <c r="A2" s="2" t="s">
        <v>1391</v>
      </c>
    </row>
    <row r="3" customFormat="false" ht="15" hidden="false" customHeight="false" outlineLevel="0" collapsed="false">
      <c r="A3" s="20" t="s">
        <v>1392</v>
      </c>
    </row>
    <row r="5" customFormat="false" ht="45" hidden="false" customHeight="true" outlineLevel="0" collapsed="false">
      <c r="A5" s="7" t="s">
        <v>78</v>
      </c>
      <c r="B5" s="7" t="s">
        <v>51</v>
      </c>
      <c r="C5" s="7" t="s">
        <v>79</v>
      </c>
      <c r="D5" s="7" t="s">
        <v>1393</v>
      </c>
      <c r="E5" s="7" t="s">
        <v>1394</v>
      </c>
      <c r="F5" s="7" t="s">
        <v>1395</v>
      </c>
      <c r="G5" s="7" t="s">
        <v>1396</v>
      </c>
      <c r="H5" s="7" t="s">
        <v>1397</v>
      </c>
      <c r="I5" s="7" t="s">
        <v>1398</v>
      </c>
      <c r="J5" s="7" t="s">
        <v>1399</v>
      </c>
      <c r="K5" s="7" t="s">
        <v>1400</v>
      </c>
      <c r="L5" s="7" t="s">
        <v>1401</v>
      </c>
      <c r="M5" s="7" t="s">
        <v>1402</v>
      </c>
    </row>
    <row r="6" customFormat="false" ht="15" hidden="false" customHeight="false" outlineLevel="0" collapsed="false">
      <c r="A6" s="6" t="str">
        <f aca="false">'HB Evidence'!A6</f>
        <v>T1S1</v>
      </c>
      <c r="B6" s="6" t="str">
        <f aca="false">'HB Evidence'!B6</f>
        <v>Clear road, no trigger</v>
      </c>
      <c r="C6" s="6" t="str">
        <f aca="false">'HB Evidence'!C6</f>
        <v>20–35 km/h</v>
      </c>
      <c r="D6" s="23" t="n">
        <f aca="false">'HB Evidence'!J6</f>
        <v>0.000179619870160129</v>
      </c>
      <c r="E6" s="29" t="n">
        <f aca="false">'HB Evidence'!E6</f>
        <v>0</v>
      </c>
      <c r="F6" s="37" t="n">
        <f aca="false">'HB Evidence'!D6</f>
        <v>12000</v>
      </c>
      <c r="G6" s="13" t="n">
        <f aca="false">Inputs!$B$11*SQRT(M6*D6)/SUMPRODUCT(SQRT($M$6:$M$25*$D$6:$D$25))</f>
        <v>1.49350428185399E-008</v>
      </c>
      <c r="H6" s="13" t="n">
        <f aca="false">G6/D6</f>
        <v>8.31480548628919E-005</v>
      </c>
      <c r="I6" s="19" t="n">
        <f aca="false">M6/H6</f>
        <v>93606.8081107899</v>
      </c>
      <c r="J6" s="19" t="n">
        <f aca="false">MAX(0,I6-F6)</f>
        <v>81606.8081107899</v>
      </c>
      <c r="K6" s="13" t="n">
        <f aca="false">Inputs!$B$11/20</f>
        <v>4.5E-009</v>
      </c>
      <c r="L6" s="19" t="n">
        <f aca="false">CHIINV(1-Inputs!$B$10,2*(E6+1))/2/(K6/D6)</f>
        <v>310671.486053666</v>
      </c>
      <c r="M6" s="31" t="n">
        <f aca="false">CHIINV(1-Inputs!$B$10,2*(E6+1))/2</f>
        <v>7.78322401633615</v>
      </c>
    </row>
    <row r="7" customFormat="false" ht="15" hidden="false" customHeight="false" outlineLevel="0" collapsed="false">
      <c r="A7" s="6" t="str">
        <f aca="false">'HB Evidence'!A7</f>
        <v>T1S2</v>
      </c>
      <c r="B7" s="6" t="str">
        <f aca="false">'HB Evidence'!B7</f>
        <v>Clear road, no trigger</v>
      </c>
      <c r="C7" s="6" t="str">
        <f aca="false">'HB Evidence'!C7</f>
        <v>35–55 km/h</v>
      </c>
      <c r="D7" s="23" t="n">
        <f aca="false">'HB Evidence'!J7</f>
        <v>0.000183684718747151</v>
      </c>
      <c r="E7" s="29" t="n">
        <f aca="false">'HB Evidence'!E7</f>
        <v>0</v>
      </c>
      <c r="F7" s="37" t="n">
        <f aca="false">'HB Evidence'!D7</f>
        <v>14000</v>
      </c>
      <c r="G7" s="13" t="n">
        <f aca="false">Inputs!$B$11*SQRT(M7*D7)/SUMPRODUCT(SQRT($M$6:$M$25*$D$6:$D$25))</f>
        <v>1.51030895278745E-008</v>
      </c>
      <c r="H7" s="13" t="n">
        <f aca="false">G7/D7</f>
        <v>8.22228960083745E-005</v>
      </c>
      <c r="I7" s="19" t="n">
        <f aca="false">M7/H7</f>
        <v>94660.0569206833</v>
      </c>
      <c r="J7" s="19" t="n">
        <f aca="false">MAX(0,I7-F7)</f>
        <v>80660.0569206833</v>
      </c>
      <c r="K7" s="13" t="n">
        <f aca="false">Inputs!$B$11/20</f>
        <v>4.5E-009</v>
      </c>
      <c r="L7" s="19" t="n">
        <f aca="false">CHIINV(1-Inputs!$B$10,2*(E7+1))/2/(K7/D7)</f>
        <v>317702.069863729</v>
      </c>
      <c r="M7" s="31" t="n">
        <f aca="false">CHIINV(1-Inputs!$B$10,2*(E7+1))/2</f>
        <v>7.78322401633615</v>
      </c>
    </row>
    <row r="8" customFormat="false" ht="15" hidden="false" customHeight="false" outlineLevel="0" collapsed="false">
      <c r="A8" s="6" t="str">
        <f aca="false">'HB Evidence'!A8</f>
        <v>T1S3</v>
      </c>
      <c r="B8" s="6" t="str">
        <f aca="false">'HB Evidence'!B8</f>
        <v>Clear road, no trigger</v>
      </c>
      <c r="C8" s="6" t="str">
        <f aca="false">'HB Evidence'!C8</f>
        <v>55–75 km/h</v>
      </c>
      <c r="D8" s="23" t="n">
        <f aca="false">'HB Evidence'!J8</f>
        <v>3.82325867721137E-005</v>
      </c>
      <c r="E8" s="29" t="n">
        <f aca="false">'HB Evidence'!E8</f>
        <v>0</v>
      </c>
      <c r="F8" s="37" t="n">
        <f aca="false">'HB Evidence'!D8</f>
        <v>6000</v>
      </c>
      <c r="G8" s="13" t="n">
        <f aca="false">Inputs!$B$11*SQRT(M8*D8)/SUMPRODUCT(SQRT($M$6:$M$25*$D$6:$D$25))</f>
        <v>6.89042681670432E-009</v>
      </c>
      <c r="H8" s="13" t="n">
        <f aca="false">G8/D8</f>
        <v>0.000180223924103668</v>
      </c>
      <c r="I8" s="19" t="n">
        <f aca="false">M8/H8</f>
        <v>43186.4085472865</v>
      </c>
      <c r="J8" s="19" t="n">
        <f aca="false">MAX(0,I8-F8)</f>
        <v>37186.4085472865</v>
      </c>
      <c r="K8" s="13" t="n">
        <f aca="false">Inputs!$B$11/20</f>
        <v>4.5E-009</v>
      </c>
      <c r="L8" s="19" t="n">
        <f aca="false">CHIINV(1-Inputs!$B$10,2*(E8+1))/2/(K8/D8)</f>
        <v>66127.2861269714</v>
      </c>
      <c r="M8" s="31" t="n">
        <f aca="false">CHIINV(1-Inputs!$B$10,2*(E8+1))/2</f>
        <v>7.78322401633615</v>
      </c>
    </row>
    <row r="9" customFormat="false" ht="15" hidden="false" customHeight="false" outlineLevel="0" collapsed="false">
      <c r="A9" s="6" t="str">
        <f aca="false">'HB Evidence'!A9</f>
        <v>T1S4</v>
      </c>
      <c r="B9" s="6" t="str">
        <f aca="false">'HB Evidence'!B9</f>
        <v>Clear road, no trigger</v>
      </c>
      <c r="C9" s="6" t="str">
        <f aca="false">'HB Evidence'!C9</f>
        <v>75–95 km/h</v>
      </c>
      <c r="D9" s="23" t="n">
        <f aca="false">'HB Evidence'!J9</f>
        <v>4.39092825555339E-005</v>
      </c>
      <c r="E9" s="29" t="n">
        <f aca="false">'HB Evidence'!E9</f>
        <v>0</v>
      </c>
      <c r="F9" s="37" t="n">
        <f aca="false">'HB Evidence'!D9</f>
        <v>4000</v>
      </c>
      <c r="G9" s="13" t="n">
        <f aca="false">Inputs!$B$11*SQRT(M9*D9)/SUMPRODUCT(SQRT($M$6:$M$25*$D$6:$D$25))</f>
        <v>7.38426805511303E-009</v>
      </c>
      <c r="H9" s="13" t="n">
        <f aca="false">G9/D9</f>
        <v>0.000168171002242495</v>
      </c>
      <c r="I9" s="19" t="n">
        <f aca="false">M9/H9</f>
        <v>46281.605702231</v>
      </c>
      <c r="J9" s="19" t="n">
        <f aca="false">MAX(0,I9-F9)</f>
        <v>42281.605702231</v>
      </c>
      <c r="K9" s="13" t="n">
        <f aca="false">Inputs!$B$11/20</f>
        <v>4.5E-009</v>
      </c>
      <c r="L9" s="19" t="n">
        <f aca="false">CHIINV(1-Inputs!$B$10,2*(E9+1))/2/(K9/D9)</f>
        <v>75945.7294502936</v>
      </c>
      <c r="M9" s="31" t="n">
        <f aca="false">CHIINV(1-Inputs!$B$10,2*(E9+1))/2</f>
        <v>7.78322401633615</v>
      </c>
    </row>
    <row r="10" customFormat="false" ht="15" hidden="false" customHeight="false" outlineLevel="0" collapsed="false">
      <c r="A10" s="6" t="str">
        <f aca="false">'HB Evidence'!A10</f>
        <v>T2S1</v>
      </c>
      <c r="B10" s="6" t="str">
        <f aca="false">'HB Evidence'!B10</f>
        <v>Overhead structure (bridge, gantry)</v>
      </c>
      <c r="C10" s="6" t="str">
        <f aca="false">'HB Evidence'!C10</f>
        <v>20–35 km/h</v>
      </c>
      <c r="D10" s="23" t="n">
        <f aca="false">'HB Evidence'!J10</f>
        <v>1.11905655120448E-005</v>
      </c>
      <c r="E10" s="29" t="n">
        <f aca="false">'HB Evidence'!E10</f>
        <v>1</v>
      </c>
      <c r="F10" s="37" t="n">
        <f aca="false">'HB Evidence'!D10</f>
        <v>3000</v>
      </c>
      <c r="G10" s="13" t="n">
        <f aca="false">Inputs!$B$11*SQRT(M10*D10)/SUMPRODUCT(SQRT($M$6:$M$25*$D$6:$D$25))</f>
        <v>4.26732249051506E-009</v>
      </c>
      <c r="H10" s="13" t="n">
        <f aca="false">G10/D10</f>
        <v>0.00038133215751447</v>
      </c>
      <c r="I10" s="19" t="n">
        <f aca="false">M10/H10</f>
        <v>26745.851509755</v>
      </c>
      <c r="J10" s="19" t="n">
        <f aca="false">MAX(0,I10-F10)</f>
        <v>23745.851509755</v>
      </c>
      <c r="K10" s="13" t="n">
        <f aca="false">Inputs!$B$11/20</f>
        <v>4.5E-009</v>
      </c>
      <c r="L10" s="19" t="n">
        <f aca="false">CHIINV(1-Inputs!$B$10,2*(E10+1))/2/(K10/D10)</f>
        <v>25362.9274834563</v>
      </c>
      <c r="M10" s="31" t="n">
        <f aca="false">CHIINV(1-Inputs!$B$10,2*(E10+1))/2</f>
        <v>10.1990532607765</v>
      </c>
    </row>
    <row r="11" customFormat="false" ht="15" hidden="false" customHeight="false" outlineLevel="0" collapsed="false">
      <c r="A11" s="6" t="str">
        <f aca="false">'HB Evidence'!A11</f>
        <v>T2S2</v>
      </c>
      <c r="B11" s="6" t="str">
        <f aca="false">'HB Evidence'!B11</f>
        <v>Overhead structure (bridge, gantry)</v>
      </c>
      <c r="C11" s="6" t="str">
        <f aca="false">'HB Evidence'!C11</f>
        <v>35–55 km/h</v>
      </c>
      <c r="D11" s="23" t="n">
        <f aca="false">'HB Evidence'!J11</f>
        <v>1.01055887178537E-005</v>
      </c>
      <c r="E11" s="29" t="n">
        <f aca="false">'HB Evidence'!E11</f>
        <v>1</v>
      </c>
      <c r="F11" s="37" t="n">
        <f aca="false">'HB Evidence'!D11</f>
        <v>4000</v>
      </c>
      <c r="G11" s="13" t="n">
        <f aca="false">Inputs!$B$11*SQRT(M11*D11)/SUMPRODUCT(SQRT($M$6:$M$25*$D$6:$D$25))</f>
        <v>4.05518112889687E-009</v>
      </c>
      <c r="H11" s="13" t="n">
        <f aca="false">G11/D11</f>
        <v>0.000401281037861013</v>
      </c>
      <c r="I11" s="19" t="n">
        <f aca="false">M11/H11</f>
        <v>25416.235252833</v>
      </c>
      <c r="J11" s="19" t="n">
        <f aca="false">MAX(0,I11-F11)</f>
        <v>21416.235252833</v>
      </c>
      <c r="K11" s="13" t="n">
        <f aca="false">Inputs!$B$11/20</f>
        <v>4.5E-009</v>
      </c>
      <c r="L11" s="19" t="n">
        <f aca="false">CHIINV(1-Inputs!$B$10,2*(E11+1))/2/(K11/D11)</f>
        <v>22903.8750144204</v>
      </c>
      <c r="M11" s="31" t="n">
        <f aca="false">CHIINV(1-Inputs!$B$10,2*(E11+1))/2</f>
        <v>10.1990532607765</v>
      </c>
    </row>
    <row r="12" customFormat="false" ht="15" hidden="false" customHeight="false" outlineLevel="0" collapsed="false">
      <c r="A12" s="6" t="str">
        <f aca="false">'HB Evidence'!A12</f>
        <v>T2S3</v>
      </c>
      <c r="B12" s="6" t="str">
        <f aca="false">'HB Evidence'!B12</f>
        <v>Overhead structure (bridge, gantry)</v>
      </c>
      <c r="C12" s="6" t="str">
        <f aca="false">'HB Evidence'!C12</f>
        <v>55–75 km/h</v>
      </c>
      <c r="D12" s="23" t="n">
        <f aca="false">'HB Evidence'!J12</f>
        <v>1.72910488641431E-006</v>
      </c>
      <c r="E12" s="29" t="n">
        <f aca="false">'HB Evidence'!E12</f>
        <v>1</v>
      </c>
      <c r="F12" s="37" t="n">
        <f aca="false">'HB Evidence'!D12</f>
        <v>2500</v>
      </c>
      <c r="G12" s="13" t="n">
        <f aca="false">Inputs!$B$11*SQRT(M12*D12)/SUMPRODUCT(SQRT($M$6:$M$25*$D$6:$D$25))</f>
        <v>1.67741343332633E-009</v>
      </c>
      <c r="H12" s="13" t="n">
        <f aca="false">G12/D12</f>
        <v>0.000970105079515927</v>
      </c>
      <c r="I12" s="19" t="n">
        <f aca="false">M12/H12</f>
        <v>10513.3489929418</v>
      </c>
      <c r="J12" s="19" t="n">
        <f aca="false">MAX(0,I12-F12)</f>
        <v>8013.3489929418</v>
      </c>
      <c r="K12" s="13" t="n">
        <f aca="false">Inputs!$B$11/20</f>
        <v>4.5E-009</v>
      </c>
      <c r="L12" s="19" t="n">
        <f aca="false">CHIINV(1-Inputs!$B$10,2*(E12+1))/2/(K12/D12)</f>
        <v>3918.94062889077</v>
      </c>
      <c r="M12" s="31" t="n">
        <f aca="false">CHIINV(1-Inputs!$B$10,2*(E12+1))/2</f>
        <v>10.1990532607765</v>
      </c>
    </row>
    <row r="13" customFormat="false" ht="15" hidden="false" customHeight="false" outlineLevel="0" collapsed="false">
      <c r="A13" s="6" t="str">
        <f aca="false">'HB Evidence'!A13</f>
        <v>T2S4</v>
      </c>
      <c r="B13" s="6" t="str">
        <f aca="false">'HB Evidence'!B13</f>
        <v>Overhead structure (bridge, gantry)</v>
      </c>
      <c r="C13" s="6" t="str">
        <f aca="false">'HB Evidence'!C13</f>
        <v>75–95 km/h</v>
      </c>
      <c r="D13" s="23" t="n">
        <f aca="false">'HB Evidence'!J13</f>
        <v>4.14013083505067E-007</v>
      </c>
      <c r="E13" s="29" t="n">
        <f aca="false">'HB Evidence'!E13</f>
        <v>4</v>
      </c>
      <c r="F13" s="37" t="n">
        <f aca="false">'HB Evidence'!D13</f>
        <v>2000</v>
      </c>
      <c r="G13" s="13" t="n">
        <f aca="false">Inputs!$B$11*SQRT(M13*D13)/SUMPRODUCT(SQRT($M$6:$M$25*$D$6:$D$25))</f>
        <v>1.02639014959128E-009</v>
      </c>
      <c r="H13" s="13" t="n">
        <f aca="false">G13/D13</f>
        <v>0.00247912491291768</v>
      </c>
      <c r="I13" s="19" t="n">
        <f aca="false">M13/H13</f>
        <v>6432.99834804145</v>
      </c>
      <c r="J13" s="19" t="n">
        <f aca="false">MAX(0,I13-F13)</f>
        <v>4432.99834804145</v>
      </c>
      <c r="K13" s="13" t="n">
        <f aca="false">Inputs!$B$11/20</f>
        <v>4.5E-009</v>
      </c>
      <c r="L13" s="19" t="n">
        <f aca="false">CHIINV(1-Inputs!$B$10,2*(E13+1))/2/(K13/D13)</f>
        <v>1467.28136372593</v>
      </c>
      <c r="M13" s="31" t="n">
        <f aca="false">CHIINV(1-Inputs!$B$10,2*(E13+1))/2</f>
        <v>15.9482064693878</v>
      </c>
    </row>
    <row r="14" customFormat="false" ht="15" hidden="false" customHeight="false" outlineLevel="0" collapsed="false">
      <c r="A14" s="6" t="str">
        <f aca="false">'HB Evidence'!A14</f>
        <v>T3S1</v>
      </c>
      <c r="B14" s="6" t="str">
        <f aca="false">'HB Evidence'!B14</f>
        <v>Low sun / hard shadow</v>
      </c>
      <c r="C14" s="6" t="str">
        <f aca="false">'HB Evidence'!C14</f>
        <v>20–35 km/h</v>
      </c>
      <c r="D14" s="23" t="n">
        <f aca="false">'HB Evidence'!J14</f>
        <v>1.55663624052224E-005</v>
      </c>
      <c r="E14" s="29" t="n">
        <f aca="false">'HB Evidence'!E14</f>
        <v>1</v>
      </c>
      <c r="F14" s="37" t="n">
        <f aca="false">'HB Evidence'!D14</f>
        <v>3000</v>
      </c>
      <c r="G14" s="13" t="n">
        <f aca="false">Inputs!$B$11*SQRT(M14*D14)/SUMPRODUCT(SQRT($M$6:$M$25*$D$6:$D$25))</f>
        <v>5.03295463910373E-009</v>
      </c>
      <c r="H14" s="13" t="n">
        <f aca="false">G14/D14</f>
        <v>0.000323322463404501</v>
      </c>
      <c r="I14" s="19" t="n">
        <f aca="false">M14/H14</f>
        <v>31544.5241675544</v>
      </c>
      <c r="J14" s="19" t="n">
        <f aca="false">MAX(0,I14-F14)</f>
        <v>28544.5241675544</v>
      </c>
      <c r="K14" s="13" t="n">
        <f aca="false">Inputs!$B$11/20</f>
        <v>4.5E-009</v>
      </c>
      <c r="L14" s="19" t="n">
        <f aca="false">CHIINV(1-Inputs!$B$10,2*(E14+1))/2/(K14/D14)</f>
        <v>35280.4798327583</v>
      </c>
      <c r="M14" s="31" t="n">
        <f aca="false">CHIINV(1-Inputs!$B$10,2*(E14+1))/2</f>
        <v>10.1990532607765</v>
      </c>
    </row>
    <row r="15" customFormat="false" ht="15" hidden="false" customHeight="false" outlineLevel="0" collapsed="false">
      <c r="A15" s="6" t="str">
        <f aca="false">'HB Evidence'!A15</f>
        <v>T3S2</v>
      </c>
      <c r="B15" s="6" t="str">
        <f aca="false">'HB Evidence'!B15</f>
        <v>Low sun / hard shadow</v>
      </c>
      <c r="C15" s="6" t="str">
        <f aca="false">'HB Evidence'!C15</f>
        <v>35–55 km/h</v>
      </c>
      <c r="D15" s="23" t="n">
        <f aca="false">'HB Evidence'!J15</f>
        <v>1.66474788072477E-005</v>
      </c>
      <c r="E15" s="29" t="n">
        <f aca="false">'HB Evidence'!E15</f>
        <v>0</v>
      </c>
      <c r="F15" s="37" t="n">
        <f aca="false">'HB Evidence'!D15</f>
        <v>3500</v>
      </c>
      <c r="G15" s="13" t="n">
        <f aca="false">Inputs!$B$11*SQRT(M15*D15)/SUMPRODUCT(SQRT($M$6:$M$25*$D$6:$D$25))</f>
        <v>4.54677557520579E-009</v>
      </c>
      <c r="H15" s="13" t="n">
        <f aca="false">G15/D15</f>
        <v>0.000273120970920011</v>
      </c>
      <c r="I15" s="19" t="n">
        <f aca="false">M15/H15</f>
        <v>28497.3504235807</v>
      </c>
      <c r="J15" s="19" t="n">
        <f aca="false">MAX(0,I15-F15)</f>
        <v>24997.3504235807</v>
      </c>
      <c r="K15" s="13" t="n">
        <f aca="false">Inputs!$B$11/20</f>
        <v>4.5E-009</v>
      </c>
      <c r="L15" s="19" t="n">
        <f aca="false">CHIINV(1-Inputs!$B$10,2*(E15+1))/2/(K15/D15)</f>
        <v>28793.5681920038</v>
      </c>
      <c r="M15" s="31" t="n">
        <f aca="false">CHIINV(1-Inputs!$B$10,2*(E15+1))/2</f>
        <v>7.78322401633615</v>
      </c>
    </row>
    <row r="16" customFormat="false" ht="15" hidden="false" customHeight="false" outlineLevel="0" collapsed="false">
      <c r="A16" s="6" t="str">
        <f aca="false">'HB Evidence'!A16</f>
        <v>T3S3</v>
      </c>
      <c r="B16" s="6" t="str">
        <f aca="false">'HB Evidence'!B16</f>
        <v>Low sun / hard shadow</v>
      </c>
      <c r="C16" s="6" t="str">
        <f aca="false">'HB Evidence'!C16</f>
        <v>55–75 km/h</v>
      </c>
      <c r="D16" s="23" t="n">
        <f aca="false">'HB Evidence'!J16</f>
        <v>4.75644765517173E-006</v>
      </c>
      <c r="E16" s="29" t="n">
        <f aca="false">'HB Evidence'!E16</f>
        <v>0</v>
      </c>
      <c r="F16" s="37" t="n">
        <f aca="false">'HB Evidence'!D16</f>
        <v>2000</v>
      </c>
      <c r="G16" s="13" t="n">
        <f aca="false">Inputs!$B$11*SQRT(M16*D16)/SUMPRODUCT(SQRT($M$6:$M$25*$D$6:$D$25))</f>
        <v>2.43036019634123E-009</v>
      </c>
      <c r="H16" s="13" t="n">
        <f aca="false">G16/D16</f>
        <v>0.000510961198889402</v>
      </c>
      <c r="I16" s="19" t="n">
        <f aca="false">M16/H16</f>
        <v>15232.5147843972</v>
      </c>
      <c r="J16" s="19" t="n">
        <f aca="false">MAX(0,I16-F16)</f>
        <v>13232.5147843972</v>
      </c>
      <c r="K16" s="13" t="n">
        <f aca="false">Inputs!$B$11/20</f>
        <v>4.5E-009</v>
      </c>
      <c r="L16" s="19" t="n">
        <f aca="false">CHIINV(1-Inputs!$B$10,2*(E16+1))/2/(K16/D16)</f>
        <v>8226.77724937297</v>
      </c>
      <c r="M16" s="31" t="n">
        <f aca="false">CHIINV(1-Inputs!$B$10,2*(E16+1))/2</f>
        <v>7.78322401633615</v>
      </c>
    </row>
    <row r="17" customFormat="false" ht="15" hidden="false" customHeight="false" outlineLevel="0" collapsed="false">
      <c r="A17" s="6" t="str">
        <f aca="false">'HB Evidence'!A17</f>
        <v>T3S4</v>
      </c>
      <c r="B17" s="6" t="str">
        <f aca="false">'HB Evidence'!B17</f>
        <v>Low sun / hard shadow</v>
      </c>
      <c r="C17" s="6" t="str">
        <f aca="false">'HB Evidence'!C17</f>
        <v>75–95 km/h</v>
      </c>
      <c r="D17" s="23" t="n">
        <f aca="false">'HB Evidence'!J17</f>
        <v>3.19742265801939E-006</v>
      </c>
      <c r="E17" s="29" t="n">
        <f aca="false">'HB Evidence'!E17</f>
        <v>0</v>
      </c>
      <c r="F17" s="37" t="n">
        <f aca="false">'HB Evidence'!D17</f>
        <v>1500</v>
      </c>
      <c r="G17" s="13" t="n">
        <f aca="false">Inputs!$B$11*SQRT(M17*D17)/SUMPRODUCT(SQRT($M$6:$M$25*$D$6:$D$25))</f>
        <v>1.99264212459212E-009</v>
      </c>
      <c r="H17" s="13" t="n">
        <f aca="false">G17/D17</f>
        <v>0.000623202603382576</v>
      </c>
      <c r="I17" s="19" t="n">
        <f aca="false">M17/H17</f>
        <v>12489.0749398204</v>
      </c>
      <c r="J17" s="19" t="n">
        <f aca="false">MAX(0,I17-F17)</f>
        <v>10989.0749398204</v>
      </c>
      <c r="K17" s="13" t="n">
        <f aca="false">Inputs!$B$11/20</f>
        <v>4.5E-009</v>
      </c>
      <c r="L17" s="19" t="n">
        <f aca="false">CHIINV(1-Inputs!$B$10,2*(E17+1))/2/(K17/D17)</f>
        <v>5530.27929383864</v>
      </c>
      <c r="M17" s="31" t="n">
        <f aca="false">CHIINV(1-Inputs!$B$10,2*(E17+1))/2</f>
        <v>7.78322401633615</v>
      </c>
    </row>
    <row r="18" customFormat="false" ht="15" hidden="false" customHeight="false" outlineLevel="0" collapsed="false">
      <c r="A18" s="6" t="str">
        <f aca="false">'HB Evidence'!A18</f>
        <v>T4S1</v>
      </c>
      <c r="B18" s="6" t="str">
        <f aca="false">'HB Evidence'!B18</f>
        <v>Spray / heavy rain</v>
      </c>
      <c r="C18" s="6" t="str">
        <f aca="false">'HB Evidence'!C18</f>
        <v>20–35 km/h</v>
      </c>
      <c r="D18" s="23" t="n">
        <f aca="false">'HB Evidence'!J18</f>
        <v>1.11643704958337E-005</v>
      </c>
      <c r="E18" s="29" t="n">
        <f aca="false">'HB Evidence'!E18</f>
        <v>2</v>
      </c>
      <c r="F18" s="37" t="n">
        <f aca="false">'HB Evidence'!D18</f>
        <v>2500</v>
      </c>
      <c r="G18" s="13" t="n">
        <f aca="false">Inputs!$B$11*SQRT(M18*D18)/SUMPRODUCT(SQRT($M$6:$M$25*$D$6:$D$25))</f>
        <v>4.67435054116941E-009</v>
      </c>
      <c r="H18" s="13" t="n">
        <f aca="false">G18/D18</f>
        <v>0.000418684648893886</v>
      </c>
      <c r="I18" s="19" t="n">
        <f aca="false">M18/H18</f>
        <v>29296.9387142733</v>
      </c>
      <c r="J18" s="19" t="n">
        <f aca="false">MAX(0,I18-F18)</f>
        <v>26796.9387142733</v>
      </c>
      <c r="K18" s="13" t="n">
        <f aca="false">Inputs!$B$11/20</f>
        <v>4.5E-009</v>
      </c>
      <c r="L18" s="19" t="n">
        <f aca="false">CHIINV(1-Inputs!$B$10,2*(E18+1))/2/(K18/D18)</f>
        <v>30432.0358519267</v>
      </c>
      <c r="M18" s="31" t="n">
        <f aca="false">CHIINV(1-Inputs!$B$10,2*(E18+1))/2</f>
        <v>12.2661784992512</v>
      </c>
    </row>
    <row r="19" customFormat="false" ht="15" hidden="false" customHeight="false" outlineLevel="0" collapsed="false">
      <c r="A19" s="6" t="str">
        <f aca="false">'HB Evidence'!A19</f>
        <v>T4S2</v>
      </c>
      <c r="B19" s="6" t="str">
        <f aca="false">'HB Evidence'!B19</f>
        <v>Spray / heavy rain</v>
      </c>
      <c r="C19" s="6" t="str">
        <f aca="false">'HB Evidence'!C19</f>
        <v>35–55 km/h</v>
      </c>
      <c r="D19" s="23" t="n">
        <f aca="false">'HB Evidence'!J19</f>
        <v>1.13105731395719E-005</v>
      </c>
      <c r="E19" s="29" t="n">
        <f aca="false">'HB Evidence'!E19</f>
        <v>0</v>
      </c>
      <c r="F19" s="37" t="n">
        <f aca="false">'HB Evidence'!D19</f>
        <v>3000</v>
      </c>
      <c r="G19" s="13" t="n">
        <f aca="false">Inputs!$B$11*SQRT(M19*D19)/SUMPRODUCT(SQRT($M$6:$M$25*$D$6:$D$25))</f>
        <v>3.74775842574602E-009</v>
      </c>
      <c r="H19" s="13" t="n">
        <f aca="false">G19/D19</f>
        <v>0.000331350001410084</v>
      </c>
      <c r="I19" s="19" t="n">
        <f aca="false">M19/H19</f>
        <v>23489.4340824327</v>
      </c>
      <c r="J19" s="19" t="n">
        <f aca="false">MAX(0,I19-F19)</f>
        <v>20489.4340824327</v>
      </c>
      <c r="K19" s="13" t="n">
        <f aca="false">Inputs!$B$11/20</f>
        <v>4.5E-009</v>
      </c>
      <c r="L19" s="19" t="n">
        <f aca="false">CHIINV(1-Inputs!$B$10,2*(E19+1))/2/(K19/D19)</f>
        <v>19562.8276663206</v>
      </c>
      <c r="M19" s="31" t="n">
        <f aca="false">CHIINV(1-Inputs!$B$10,2*(E19+1))/2</f>
        <v>7.78322401633615</v>
      </c>
    </row>
    <row r="20" customFormat="false" ht="15" hidden="false" customHeight="false" outlineLevel="0" collapsed="false">
      <c r="A20" s="6" t="str">
        <f aca="false">'HB Evidence'!A20</f>
        <v>T4S3</v>
      </c>
      <c r="B20" s="6" t="str">
        <f aca="false">'HB Evidence'!B20</f>
        <v>Spray / heavy rain</v>
      </c>
      <c r="C20" s="6" t="str">
        <f aca="false">'HB Evidence'!C20</f>
        <v>55–75 km/h</v>
      </c>
      <c r="D20" s="23" t="n">
        <f aca="false">'HB Evidence'!J20</f>
        <v>3.16062216585139E-006</v>
      </c>
      <c r="E20" s="29" t="n">
        <f aca="false">'HB Evidence'!E20</f>
        <v>1</v>
      </c>
      <c r="F20" s="37" t="n">
        <f aca="false">'HB Evidence'!D20</f>
        <v>2000</v>
      </c>
      <c r="G20" s="13" t="n">
        <f aca="false">Inputs!$B$11*SQRT(M20*D20)/SUMPRODUCT(SQRT($M$6:$M$25*$D$6:$D$25))</f>
        <v>2.26785737497611E-009</v>
      </c>
      <c r="H20" s="13" t="n">
        <f aca="false">G20/D20</f>
        <v>0.000717535110485187</v>
      </c>
      <c r="I20" s="19" t="n">
        <f aca="false">M20/H20</f>
        <v>14214.0128221462</v>
      </c>
      <c r="J20" s="19" t="n">
        <f aca="false">MAX(0,I20-F20)</f>
        <v>12214.0128221462</v>
      </c>
      <c r="K20" s="13" t="n">
        <f aca="false">Inputs!$B$11/20</f>
        <v>4.5E-009</v>
      </c>
      <c r="L20" s="19" t="n">
        <f aca="false">CHIINV(1-Inputs!$B$10,2*(E20+1))/2/(K20/D20)</f>
        <v>7163.41195704647</v>
      </c>
      <c r="M20" s="31" t="n">
        <f aca="false">CHIINV(1-Inputs!$B$10,2*(E20+1))/2</f>
        <v>10.1990532607765</v>
      </c>
    </row>
    <row r="21" customFormat="false" ht="15" hidden="false" customHeight="false" outlineLevel="0" collapsed="false">
      <c r="A21" s="6" t="str">
        <f aca="false">'HB Evidence'!A21</f>
        <v>T4S4</v>
      </c>
      <c r="B21" s="6" t="str">
        <f aca="false">'HB Evidence'!B21</f>
        <v>Spray / heavy rain</v>
      </c>
      <c r="C21" s="6" t="str">
        <f aca="false">'HB Evidence'!C21</f>
        <v>75–95 km/h</v>
      </c>
      <c r="D21" s="23" t="n">
        <f aca="false">'HB Evidence'!J21</f>
        <v>5.97638812602743E-007</v>
      </c>
      <c r="E21" s="29" t="n">
        <f aca="false">'HB Evidence'!E21</f>
        <v>0</v>
      </c>
      <c r="F21" s="37" t="n">
        <f aca="false">'HB Evidence'!D21</f>
        <v>1500</v>
      </c>
      <c r="G21" s="13" t="n">
        <f aca="false">Inputs!$B$11*SQRT(M21*D21)/SUMPRODUCT(SQRT($M$6:$M$25*$D$6:$D$25))</f>
        <v>8.61486904501278E-010</v>
      </c>
      <c r="H21" s="13" t="n">
        <f aca="false">G21/D21</f>
        <v>0.00144148419803839</v>
      </c>
      <c r="I21" s="19" t="n">
        <f aca="false">M21/H21</f>
        <v>5399.4515007017</v>
      </c>
      <c r="J21" s="19" t="n">
        <f aca="false">MAX(0,I21-F21)</f>
        <v>3899.4515007017</v>
      </c>
      <c r="K21" s="13" t="n">
        <f aca="false">Inputs!$B$11/20</f>
        <v>4.5E-009</v>
      </c>
      <c r="L21" s="19" t="n">
        <f aca="false">CHIINV(1-Inputs!$B$10,2*(E21+1))/2/(K21/D21)</f>
        <v>1033.67927985429</v>
      </c>
      <c r="M21" s="31" t="n">
        <f aca="false">CHIINV(1-Inputs!$B$10,2*(E21+1))/2</f>
        <v>7.78322401633615</v>
      </c>
    </row>
    <row r="22" customFormat="false" ht="15" hidden="false" customHeight="false" outlineLevel="0" collapsed="false">
      <c r="A22" s="6" t="str">
        <f aca="false">'HB Evidence'!A22</f>
        <v>T5S1</v>
      </c>
      <c r="B22" s="6" t="str">
        <f aca="false">'HB Evidence'!B22</f>
        <v>Roadside clutter / debris</v>
      </c>
      <c r="C22" s="6" t="str">
        <f aca="false">'HB Evidence'!C22</f>
        <v>20–35 km/h</v>
      </c>
      <c r="D22" s="23" t="n">
        <f aca="false">'HB Evidence'!J22</f>
        <v>7.56687854588731E-006</v>
      </c>
      <c r="E22" s="29" t="n">
        <f aca="false">'HB Evidence'!E22</f>
        <v>1</v>
      </c>
      <c r="F22" s="37" t="n">
        <f aca="false">'HB Evidence'!D22</f>
        <v>2000</v>
      </c>
      <c r="G22" s="13" t="n">
        <f aca="false">Inputs!$B$11*SQRT(M22*D22)/SUMPRODUCT(SQRT($M$6:$M$25*$D$6:$D$25))</f>
        <v>3.50903604443625E-009</v>
      </c>
      <c r="H22" s="13" t="n">
        <f aca="false">G22/D22</f>
        <v>0.000463736271588957</v>
      </c>
      <c r="I22" s="19" t="n">
        <f aca="false">M22/H22</f>
        <v>21993.2187444174</v>
      </c>
      <c r="J22" s="19" t="n">
        <f aca="false">MAX(0,I22-F22)</f>
        <v>19993.2187444174</v>
      </c>
      <c r="K22" s="13" t="n">
        <f aca="false">Inputs!$B$11/20</f>
        <v>4.5E-009</v>
      </c>
      <c r="L22" s="19" t="n">
        <f aca="false">CHIINV(1-Inputs!$B$10,2*(E22+1))/2/(K22/D22)</f>
        <v>17149.9994016293</v>
      </c>
      <c r="M22" s="31" t="n">
        <f aca="false">CHIINV(1-Inputs!$B$10,2*(E22+1))/2</f>
        <v>10.1990532607765</v>
      </c>
    </row>
    <row r="23" customFormat="false" ht="15" hidden="false" customHeight="false" outlineLevel="0" collapsed="false">
      <c r="A23" s="6" t="str">
        <f aca="false">'HB Evidence'!A23</f>
        <v>T5S2</v>
      </c>
      <c r="B23" s="6" t="str">
        <f aca="false">'HB Evidence'!B23</f>
        <v>Roadside clutter / debris</v>
      </c>
      <c r="C23" s="6" t="str">
        <f aca="false">'HB Evidence'!C23</f>
        <v>35–55 km/h</v>
      </c>
      <c r="D23" s="23" t="n">
        <f aca="false">'HB Evidence'!J23</f>
        <v>6.56277832928037E-006</v>
      </c>
      <c r="E23" s="29" t="n">
        <f aca="false">'HB Evidence'!E23</f>
        <v>0</v>
      </c>
      <c r="F23" s="37" t="n">
        <f aca="false">'HB Evidence'!D23</f>
        <v>2500</v>
      </c>
      <c r="G23" s="13" t="n">
        <f aca="false">Inputs!$B$11*SQRT(M23*D23)/SUMPRODUCT(SQRT($M$6:$M$25*$D$6:$D$25))</f>
        <v>2.85478332059368E-009</v>
      </c>
      <c r="H23" s="13" t="n">
        <f aca="false">G23/D23</f>
        <v>0.000434996152141363</v>
      </c>
      <c r="I23" s="19" t="n">
        <f aca="false">M23/H23</f>
        <v>17892.6272750265</v>
      </c>
      <c r="J23" s="19" t="n">
        <f aca="false">MAX(0,I23-F23)</f>
        <v>15392.6272750265</v>
      </c>
      <c r="K23" s="13" t="n">
        <f aca="false">Inputs!$B$11/20</f>
        <v>4.5E-009</v>
      </c>
      <c r="L23" s="19" t="n">
        <f aca="false">CHIINV(1-Inputs!$B$10,2*(E23+1))/2/(K23/D23)</f>
        <v>11351.0164236323</v>
      </c>
      <c r="M23" s="31" t="n">
        <f aca="false">CHIINV(1-Inputs!$B$10,2*(E23+1))/2</f>
        <v>7.78322401633615</v>
      </c>
    </row>
    <row r="24" customFormat="false" ht="15" hidden="false" customHeight="false" outlineLevel="0" collapsed="false">
      <c r="A24" s="6" t="str">
        <f aca="false">'HB Evidence'!A24</f>
        <v>T5S3</v>
      </c>
      <c r="B24" s="6" t="str">
        <f aca="false">'HB Evidence'!B24</f>
        <v>Roadside clutter / debris</v>
      </c>
      <c r="C24" s="6" t="str">
        <f aca="false">'HB Evidence'!C24</f>
        <v>55–75 km/h</v>
      </c>
      <c r="D24" s="23" t="n">
        <f aca="false">'HB Evidence'!J24</f>
        <v>1.62825014106754E-006</v>
      </c>
      <c r="E24" s="29" t="n">
        <f aca="false">'HB Evidence'!E24</f>
        <v>0</v>
      </c>
      <c r="F24" s="37" t="n">
        <f aca="false">'HB Evidence'!D24</f>
        <v>1500</v>
      </c>
      <c r="G24" s="13" t="n">
        <f aca="false">Inputs!$B$11*SQRT(M24*D24)/SUMPRODUCT(SQRT($M$6:$M$25*$D$6:$D$25))</f>
        <v>1.42196807237001E-009</v>
      </c>
      <c r="H24" s="13" t="n">
        <f aca="false">G24/D24</f>
        <v>0.000873310578335168</v>
      </c>
      <c r="I24" s="19" t="n">
        <f aca="false">M24/H24</f>
        <v>8912.32078188456</v>
      </c>
      <c r="J24" s="19" t="n">
        <f aca="false">MAX(0,I24-F24)</f>
        <v>7412.32078188456</v>
      </c>
      <c r="K24" s="13" t="n">
        <f aca="false">Inputs!$B$11/20</f>
        <v>4.5E-009</v>
      </c>
      <c r="L24" s="19" t="n">
        <f aca="false">CHIINV(1-Inputs!$B$10,2*(E24+1))/2/(K24/D24)</f>
        <v>2816.23013390213</v>
      </c>
      <c r="M24" s="31" t="n">
        <f aca="false">CHIINV(1-Inputs!$B$10,2*(E24+1))/2</f>
        <v>7.78322401633615</v>
      </c>
    </row>
    <row r="25" customFormat="false" ht="15" hidden="false" customHeight="false" outlineLevel="0" collapsed="false">
      <c r="A25" s="6" t="str">
        <f aca="false">'HB Evidence'!A25</f>
        <v>T5S4</v>
      </c>
      <c r="B25" s="6" t="str">
        <f aca="false">'HB Evidence'!B25</f>
        <v>Roadside clutter / debris</v>
      </c>
      <c r="C25" s="6" t="str">
        <f aca="false">'HB Evidence'!C25</f>
        <v>75–95 km/h</v>
      </c>
      <c r="D25" s="23" t="n">
        <f aca="false">'HB Evidence'!J25</f>
        <v>8.91510660826107E-007</v>
      </c>
      <c r="E25" s="29" t="n">
        <f aca="false">'HB Evidence'!E25</f>
        <v>2</v>
      </c>
      <c r="F25" s="37" t="n">
        <f aca="false">'HB Evidence'!D25</f>
        <v>1000</v>
      </c>
      <c r="G25" s="13" t="n">
        <f aca="false">Inputs!$B$11*SQRT(M25*D25)/SUMPRODUCT(SQRT($M$6:$M$25*$D$6:$D$25))</f>
        <v>1.32089236040303E-009</v>
      </c>
      <c r="H25" s="13" t="n">
        <f aca="false">G25/D25</f>
        <v>0.00148163383618883</v>
      </c>
      <c r="I25" s="19" t="n">
        <f aca="false">M25/H25</f>
        <v>8278.81909797846</v>
      </c>
      <c r="J25" s="19" t="n">
        <f aca="false">MAX(0,I25-F25)</f>
        <v>7278.81909797846</v>
      </c>
      <c r="K25" s="13" t="n">
        <f aca="false">Inputs!$B$11/20</f>
        <v>4.5E-009</v>
      </c>
      <c r="L25" s="19" t="n">
        <f aca="false">CHIINV(1-Inputs!$B$10,2*(E25+1))/2/(K25/D25)</f>
        <v>2430.09531103965</v>
      </c>
      <c r="M25" s="31" t="n">
        <f aca="false">CHIINV(1-Inputs!$B$10,2*(E25+1))/2</f>
        <v>12.2661784992512</v>
      </c>
    </row>
    <row r="27" customFormat="false" ht="15" hidden="false" customHeight="false" outlineLevel="0" collapsed="false">
      <c r="C27" s="3" t="s">
        <v>108</v>
      </c>
      <c r="F27" s="19" t="n">
        <f aca="false">SUM(F6:F25)</f>
        <v>73500</v>
      </c>
      <c r="I27" s="19" t="n">
        <f aca="false">SUM(I6:I25)</f>
        <v>564083.600718775</v>
      </c>
      <c r="J27" s="19" t="n">
        <f aca="false">SUM(J6:J25)</f>
        <v>490583.600718775</v>
      </c>
      <c r="L27" s="19" t="n">
        <f aca="false">SUM(L6:L25)</f>
        <v>993869.996578478</v>
      </c>
    </row>
    <row r="29" customFormat="false" ht="15" hidden="false" customHeight="false" outlineLevel="0" collapsed="false">
      <c r="A29" s="3" t="s">
        <v>1403</v>
      </c>
    </row>
    <row r="30" customFormat="false" ht="15" hidden="false" customHeight="false" outlineLevel="0" collapsed="false">
      <c r="A30" s="5" t="s">
        <v>1404</v>
      </c>
    </row>
    <row r="31" customFormat="false" ht="15" hidden="false" customHeight="false" outlineLevel="0" collapsed="false">
      <c r="A31" s="5" t="s">
        <v>1405</v>
      </c>
    </row>
    <row r="32" customFormat="false" ht="15" hidden="false" customHeight="false" outlineLevel="0" collapsed="false">
      <c r="A32" s="5" t="s">
        <v>1406</v>
      </c>
    </row>
    <row r="33" customFormat="false" ht="15" hidden="false" customHeight="false" outlineLevel="0" collapsed="false">
      <c r="A33" s="5" t="s">
        <v>1407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2026-10-27T08:23:21Z</dcterms:created>
  <dc:creator>openpyxl</dc:creator>
  <dc:description/>
  <dc:language>en-US</dc:language>
  <cp:lastModifiedBy/>
  <dcterms:modified xsi:type="dcterms:W3CDTF">2026-10-27T08:23:21Z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