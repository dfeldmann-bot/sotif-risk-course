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nputs" sheetId="2" state="visible" r:id="rId4"/>
    <sheet name="HB Evidence" sheetId="3" state="visible" r:id="rId5"/>
    <sheet name="Scenarios" sheetId="4" state="visible" r:id="rId6"/>
    <sheet name="Summary" sheetId="5" state="visible" r:id="rId7"/>
    <sheet name="Validation Target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7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8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9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0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1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2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3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4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5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6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7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8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9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20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21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22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23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24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25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E6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7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8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9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0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1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2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3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4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5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6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7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8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9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20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21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22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23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24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25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P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Ratio to budget</t>
        </r>
      </text>
    </comment>
  </commentList>
</comments>
</file>

<file path=xl/sharedStrings.xml><?xml version="1.0" encoding="utf-8"?>
<sst xmlns="http://schemas.openxmlformats.org/spreadsheetml/2006/main" count="787" uniqueCount="287">
  <si>
    <t xml:space="preserve">Unintended braking — scenario-based residual-risk example</t>
  </si>
  <si>
    <t xml:space="preserve">SYNTHETIC, ILLUSTRATIVE NUMBERS. Shows the calculation chain, not any real system.</t>
  </si>
  <si>
    <t xml:space="preserve">Validation target</t>
  </si>
  <si>
    <t xml:space="preserve">Rate of MAIS2+ injuries from rear-end collisions caused by unintended (phantom) braking of the ego vehicle ≤ A_H per operating hour, at confidence C.</t>
  </si>
  <si>
    <t xml:space="preserve">Hazardous behaviour (HB)</t>
  </si>
  <si>
    <t xml:space="preserve">Ego brakes without a valid reason (perception false positive → planner brake request).</t>
  </si>
  <si>
    <t xml:space="preserve">Hazardous event (HE)</t>
  </si>
  <si>
    <t xml:space="preserve">HB while a following vehicle is close enough that it cannot avoid a rear-end collision.</t>
  </si>
  <si>
    <t xml:space="preserve">ODD partition</t>
  </si>
  <si>
    <t xml:space="preserve">100 logical scenarios = 5 trigger contexts × 4 speed bands × 5 follower-headway classes. They are mutually exclusive and their time shares sum to 1 (checked on Summary).</t>
  </si>
  <si>
    <t xml:space="preserve">Risk equation</t>
  </si>
  <si>
    <t xml:space="preserve">R = Σ_l share_l · λ_HB(trigger, speed) · P(collision | HB, l) · E[P(MAIS2+ | Δv) | collision, l]</t>
  </si>
  <si>
    <t xml:space="preserve">Where each term comes from</t>
  </si>
  <si>
    <t xml:space="preserve">share_l: fleet operations logs (context tagging) · λ_HB: open-loop replay of targeted logs through perception+planner, counting unintended brake requests · P(collision|HB): kinematic Monte Carlo of the follower's response · P(MAIS2+|Δv): injury risk curve (illustrative; real curves are fit to accident data).</t>
  </si>
  <si>
    <t xml:space="preserve">Key modelling assumption</t>
  </si>
  <si>
    <t xml:space="preserve">λ_HB depends on trigger context and speed, not on whether a follower is present (forward perception does not see the follower). So 20 evidence cells serve 100 scenarios.</t>
  </si>
  <si>
    <t xml:space="preserve">Three ways to judge the target</t>
  </si>
  <si>
    <t xml:space="preserve">(1) Point estimate — not acceptable as evidence. (2) Bonferroni: simultaneous upper bounds on every estimated term, multiplied — rigorous but very conservative. (3) Bayesian posterior 95% quantile of R (Jeffreys priors) — computed in ub_sim.py.</t>
  </si>
  <si>
    <t xml:space="preserve">Sheets</t>
  </si>
  <si>
    <t xml:space="preserve">Inputs → HB Evidence (20 cells) → Scenarios (100 rows) → Summary → Validation Targets (how much more evidence each cell needs).</t>
  </si>
  <si>
    <t xml:space="preserve">Colour code</t>
  </si>
  <si>
    <t xml:space="preserve">Blue on yellow = input/assumption · blue = evidence value (from data or simulation) · black = formula · green = link to another sheet · grey italic = synthetic ground truth, for comparison only (unknown in reality).</t>
  </si>
  <si>
    <t xml:space="preserve">Verdict (from Summary)</t>
  </si>
  <si>
    <t xml:space="preserve">Point estimate</t>
  </si>
  <si>
    <t xml:space="preserve">Bonferroni upper bound</t>
  </si>
  <si>
    <t xml:space="preserve">Bayesian 95% quantile</t>
  </si>
  <si>
    <t xml:space="preserve">Inputs and assumptions</t>
  </si>
  <si>
    <t xml:space="preserve">Edit blue-on-yellow cells. Everything else recalculates.</t>
  </si>
  <si>
    <t xml:space="preserve">Parameter</t>
  </si>
  <si>
    <t xml:space="preserve">Value</t>
  </si>
  <si>
    <t xml:space="preserve">Note</t>
  </si>
  <si>
    <t xml:space="preserve">Acceptance criterion A_H [MAIS2+ injuries / h]</t>
  </si>
  <si>
    <t xml:space="preserve">Illustrative. In practice from Clause 6 (e.g. GAMAB vs. human rear-end injury rate in the same ODD).</t>
  </si>
  <si>
    <t xml:space="preserve">Confidence C</t>
  </si>
  <si>
    <t xml:space="preserve">Applies to the overall claim.</t>
  </si>
  <si>
    <t xml:space="preserve">Reserve for unknown triggers ε (share of A_H)</t>
  </si>
  <si>
    <t xml:space="preserve">Budget held back for HB from triggering conditions not in the taxonomy (Clause 11); bounded by field driving.</t>
  </si>
  <si>
    <t xml:space="preserve">Number of evidence cells (λ bounds)</t>
  </si>
  <si>
    <t xml:space="preserve">Formula</t>
  </si>
  <si>
    <t xml:space="preserve">Number of scenarios (collision-probability bounds)</t>
  </si>
  <si>
    <t xml:space="preserve">Per-bound confidence C_b (Bonferroni)</t>
  </si>
  <si>
    <t xml:space="preserve">Simultaneous bounds: Σ(1−C_b) = 1−C over all estimated terms.</t>
  </si>
  <si>
    <t xml:space="preserve">Known-scenario budget (1−ε)·A_H</t>
  </si>
  <si>
    <t xml:space="preserve">Trigger context</t>
  </si>
  <si>
    <t xml:space="preserve">Time share</t>
  </si>
  <si>
    <t xml:space="preserve">Source</t>
  </si>
  <si>
    <t xml:space="preserve">Clear road, no trigger</t>
  </si>
  <si>
    <t xml:space="preserve">Synthetic. Real: map + weather + sun-angle tagging of fleet operation logs.</t>
  </si>
  <si>
    <t xml:space="preserve">Overhead structure (bridge, gantry)</t>
  </si>
  <si>
    <t xml:space="preserve">Low sun / hard shadow</t>
  </si>
  <si>
    <t xml:space="preserve">Spray / heavy rain</t>
  </si>
  <si>
    <t xml:space="preserve">Roadside clutter / debris</t>
  </si>
  <si>
    <t xml:space="preserve">Sum (must be 100%)</t>
  </si>
  <si>
    <t xml:space="preserve">Ego speed band</t>
  </si>
  <si>
    <t xml:space="preserve">≤ 30 km/h</t>
  </si>
  <si>
    <t xml:space="preserve">Synthetic.</t>
  </si>
  <si>
    <t xml:space="preserve">31–50 km/h</t>
  </si>
  <si>
    <t xml:space="preserve">51–70 km/h</t>
  </si>
  <si>
    <t xml:space="preserve">71–90 km/h</t>
  </si>
  <si>
    <t xml:space="preserve">Follower headway class</t>
  </si>
  <si>
    <t xml:space="preserve">No follower within 3 s</t>
  </si>
  <si>
    <t xml:space="preserve">Synthetic. Real: rear radar / camera tracks in fleet logs.</t>
  </si>
  <si>
    <t xml:space="preserve">Follower 2–3 s</t>
  </si>
  <si>
    <t xml:space="preserve">Follower 1.5–2 s</t>
  </si>
  <si>
    <t xml:space="preserve">Follower 1–1.5 s</t>
  </si>
  <si>
    <t xml:space="preserve">Follower &lt; 1 s</t>
  </si>
  <si>
    <t xml:space="preserve">Independence assumption</t>
  </si>
  <si>
    <t xml:space="preserve">Scenario share = product of the three factor shares. In reality the factors are correlated (e.g. spray and speed, headway and speed) — measure joint shares directly or model the dependence (copula).</t>
  </si>
  <si>
    <t xml:space="preserve">Hazardous-behaviour rate per trigger context × speed band</t>
  </si>
  <si>
    <t xml:space="preserve">Open-loop replay of targeted logs through perception + planner. k = unintended brake requests observed in h hours.</t>
  </si>
  <si>
    <t xml:space="preserve">Cell</t>
  </si>
  <si>
    <t xml:space="preserve">Speed band</t>
  </si>
  <si>
    <t xml:space="preserve">Replay hours h</t>
  </si>
  <si>
    <t xml:space="preserve">Events k</t>
  </si>
  <si>
    <t xml:space="preserve">λ̂ = k/h [1/h]</t>
  </si>
  <si>
    <t xml:space="preserve">λ upper, single 95% [1/h]</t>
  </si>
  <si>
    <t xml:space="preserve">λ upper, Bonferroni C_b [1/h]</t>
  </si>
  <si>
    <t xml:space="preserve">True λ (synthetic) [1/h]</t>
  </si>
  <si>
    <t xml:space="preserve">Harm weight G (upper) [h⁻¹ per λ]</t>
  </si>
  <si>
    <t xml:space="preserve">Point risk of cell [1/h]</t>
  </si>
  <si>
    <t xml:space="preserve">T1S1</t>
  </si>
  <si>
    <t xml:space="preserve">T1S2</t>
  </si>
  <si>
    <t xml:space="preserve">T1S3</t>
  </si>
  <si>
    <t xml:space="preserve">T1S4</t>
  </si>
  <si>
    <t xml:space="preserve">T2S1</t>
  </si>
  <si>
    <t xml:space="preserve">T2S2</t>
  </si>
  <si>
    <t xml:space="preserve">T2S3</t>
  </si>
  <si>
    <t xml:space="preserve">T2S4</t>
  </si>
  <si>
    <t xml:space="preserve">T3S1</t>
  </si>
  <si>
    <t xml:space="preserve">T3S2</t>
  </si>
  <si>
    <t xml:space="preserve">T3S3</t>
  </si>
  <si>
    <t xml:space="preserve">T3S4</t>
  </si>
  <si>
    <t xml:space="preserve">T4S1</t>
  </si>
  <si>
    <t xml:space="preserve">T4S2</t>
  </si>
  <si>
    <t xml:space="preserve">T4S3</t>
  </si>
  <si>
    <t xml:space="preserve">T4S4</t>
  </si>
  <si>
    <t xml:space="preserve">T5S1</t>
  </si>
  <si>
    <t xml:space="preserve">T5S2</t>
  </si>
  <si>
    <t xml:space="preserve">T5S3</t>
  </si>
  <si>
    <t xml:space="preserve">T5S4</t>
  </si>
  <si>
    <t xml:space="preserve">Totals</t>
  </si>
  <si>
    <t xml:space="preserve">λ upper = ½·χ²_{2(k+1)}(C)/h — the lesson 1 formula, applied per cell. Zero events in h hours still gives a bound of ≈3/h at 95%.</t>
  </si>
  <si>
    <t xml:space="preserve">100 logical scenarios</t>
  </si>
  <si>
    <t xml:space="preserve">One row per element of the ODD partition. Contribution = share · λ · P(collision|HB) · E[P(MAIS2+)|collision].</t>
  </si>
  <si>
    <t xml:space="preserve">ID</t>
  </si>
  <si>
    <t xml:space="preserve">Follower headway</t>
  </si>
  <si>
    <t xml:space="preserve">Evidence cell</t>
  </si>
  <si>
    <t xml:space="preserve">Share trigger</t>
  </si>
  <si>
    <t xml:space="preserve">Share speed</t>
  </si>
  <si>
    <t xml:space="preserve">Share headway</t>
  </si>
  <si>
    <t xml:space="preserve">Scenario share</t>
  </si>
  <si>
    <t xml:space="preserve">λ̂ [1/h]</t>
  </si>
  <si>
    <t xml:space="preserve">λ upper (C_b) [1/h]</t>
  </si>
  <si>
    <t xml:space="preserve">Sim runs N</t>
  </si>
  <si>
    <t xml:space="preserve">Collisions c</t>
  </si>
  <si>
    <t xml:space="preserve">P̂(coll|HB)</t>
  </si>
  <si>
    <t xml:space="preserve">P upper (C_b)</t>
  </si>
  <si>
    <t xml:space="preserve">E[P(MAIS2+)|coll]</t>
  </si>
  <si>
    <t xml:space="preserve">Mean Δv at contact [km/h]</t>
  </si>
  <si>
    <t xml:space="preserve">Point contribution [1/h]</t>
  </si>
  <si>
    <t xml:space="preserve">Upper contribution [1/h]</t>
  </si>
  <si>
    <t xml:space="preserve">Share of point risk</t>
  </si>
  <si>
    <t xml:space="preserve">Screening bound share·λ_U [1/h]</t>
  </si>
  <si>
    <t xml:space="preserve">Harm weight share·P_U·inj</t>
  </si>
  <si>
    <t xml:space="preserve">Contribution with true λ [1/h]</t>
  </si>
  <si>
    <t xml:space="preserve">L001</t>
  </si>
  <si>
    <t xml:space="preserve">L002</t>
  </si>
  <si>
    <t xml:space="preserve">L003</t>
  </si>
  <si>
    <t xml:space="preserve">L004</t>
  </si>
  <si>
    <t xml:space="preserve">L005</t>
  </si>
  <si>
    <t xml:space="preserve">L006</t>
  </si>
  <si>
    <t xml:space="preserve">L007</t>
  </si>
  <si>
    <t xml:space="preserve">L008</t>
  </si>
  <si>
    <t xml:space="preserve">L009</t>
  </si>
  <si>
    <t xml:space="preserve">L010</t>
  </si>
  <si>
    <t xml:space="preserve">L011</t>
  </si>
  <si>
    <t xml:space="preserve">L012</t>
  </si>
  <si>
    <t xml:space="preserve">L013</t>
  </si>
  <si>
    <t xml:space="preserve">L014</t>
  </si>
  <si>
    <t xml:space="preserve">L015</t>
  </si>
  <si>
    <t xml:space="preserve">L016</t>
  </si>
  <si>
    <t xml:space="preserve">L017</t>
  </si>
  <si>
    <t xml:space="preserve">L018</t>
  </si>
  <si>
    <t xml:space="preserve">L019</t>
  </si>
  <si>
    <t xml:space="preserve">L020</t>
  </si>
  <si>
    <t xml:space="preserve">L021</t>
  </si>
  <si>
    <t xml:space="preserve">L022</t>
  </si>
  <si>
    <t xml:space="preserve">L023</t>
  </si>
  <si>
    <t xml:space="preserve">L024</t>
  </si>
  <si>
    <t xml:space="preserve">L025</t>
  </si>
  <si>
    <t xml:space="preserve">L026</t>
  </si>
  <si>
    <t xml:space="preserve">L027</t>
  </si>
  <si>
    <t xml:space="preserve">L028</t>
  </si>
  <si>
    <t xml:space="preserve">L029</t>
  </si>
  <si>
    <t xml:space="preserve">L030</t>
  </si>
  <si>
    <t xml:space="preserve">L031</t>
  </si>
  <si>
    <t xml:space="preserve">L032</t>
  </si>
  <si>
    <t xml:space="preserve">L033</t>
  </si>
  <si>
    <t xml:space="preserve">L034</t>
  </si>
  <si>
    <t xml:space="preserve">L035</t>
  </si>
  <si>
    <t xml:space="preserve">L036</t>
  </si>
  <si>
    <t xml:space="preserve">L037</t>
  </si>
  <si>
    <t xml:space="preserve">L038</t>
  </si>
  <si>
    <t xml:space="preserve">L039</t>
  </si>
  <si>
    <t xml:space="preserve">L040</t>
  </si>
  <si>
    <t xml:space="preserve">L041</t>
  </si>
  <si>
    <t xml:space="preserve">L042</t>
  </si>
  <si>
    <t xml:space="preserve">L043</t>
  </si>
  <si>
    <t xml:space="preserve">L044</t>
  </si>
  <si>
    <t xml:space="preserve">L045</t>
  </si>
  <si>
    <t xml:space="preserve">L046</t>
  </si>
  <si>
    <t xml:space="preserve">L047</t>
  </si>
  <si>
    <t xml:space="preserve">L048</t>
  </si>
  <si>
    <t xml:space="preserve">L049</t>
  </si>
  <si>
    <t xml:space="preserve">L050</t>
  </si>
  <si>
    <t xml:space="preserve">L051</t>
  </si>
  <si>
    <t xml:space="preserve">L052</t>
  </si>
  <si>
    <t xml:space="preserve">L053</t>
  </si>
  <si>
    <t xml:space="preserve">L054</t>
  </si>
  <si>
    <t xml:space="preserve">L055</t>
  </si>
  <si>
    <t xml:space="preserve">L056</t>
  </si>
  <si>
    <t xml:space="preserve">L057</t>
  </si>
  <si>
    <t xml:space="preserve">L058</t>
  </si>
  <si>
    <t xml:space="preserve">L059</t>
  </si>
  <si>
    <t xml:space="preserve">L060</t>
  </si>
  <si>
    <t xml:space="preserve">L061</t>
  </si>
  <si>
    <t xml:space="preserve">L062</t>
  </si>
  <si>
    <t xml:space="preserve">L063</t>
  </si>
  <si>
    <t xml:space="preserve">L064</t>
  </si>
  <si>
    <t xml:space="preserve">L065</t>
  </si>
  <si>
    <t xml:space="preserve">L066</t>
  </si>
  <si>
    <t xml:space="preserve">L067</t>
  </si>
  <si>
    <t xml:space="preserve">L068</t>
  </si>
  <si>
    <t xml:space="preserve">L069</t>
  </si>
  <si>
    <t xml:space="preserve">L070</t>
  </si>
  <si>
    <t xml:space="preserve">L071</t>
  </si>
  <si>
    <t xml:space="preserve">L072</t>
  </si>
  <si>
    <t xml:space="preserve">L073</t>
  </si>
  <si>
    <t xml:space="preserve">L074</t>
  </si>
  <si>
    <t xml:space="preserve">L075</t>
  </si>
  <si>
    <t xml:space="preserve">L076</t>
  </si>
  <si>
    <t xml:space="preserve">L077</t>
  </si>
  <si>
    <t xml:space="preserve">L078</t>
  </si>
  <si>
    <t xml:space="preserve">L079</t>
  </si>
  <si>
    <t xml:space="preserve">L080</t>
  </si>
  <si>
    <t xml:space="preserve">L081</t>
  </si>
  <si>
    <t xml:space="preserve">L082</t>
  </si>
  <si>
    <t xml:space="preserve">L083</t>
  </si>
  <si>
    <t xml:space="preserve">L084</t>
  </si>
  <si>
    <t xml:space="preserve">L085</t>
  </si>
  <si>
    <t xml:space="preserve">L086</t>
  </si>
  <si>
    <t xml:space="preserve">L087</t>
  </si>
  <si>
    <t xml:space="preserve">L088</t>
  </si>
  <si>
    <t xml:space="preserve">L089</t>
  </si>
  <si>
    <t xml:space="preserve">L090</t>
  </si>
  <si>
    <t xml:space="preserve">L091</t>
  </si>
  <si>
    <t xml:space="preserve">L092</t>
  </si>
  <si>
    <t xml:space="preserve">L093</t>
  </si>
  <si>
    <t xml:space="preserve">L094</t>
  </si>
  <si>
    <t xml:space="preserve">L095</t>
  </si>
  <si>
    <t xml:space="preserve">L096</t>
  </si>
  <si>
    <t xml:space="preserve">L097</t>
  </si>
  <si>
    <t xml:space="preserve">L098</t>
  </si>
  <si>
    <t xml:space="preserve">L099</t>
  </si>
  <si>
    <t xml:space="preserve">L100</t>
  </si>
  <si>
    <t xml:space="preserve">Clopper–Pearson upper bound: P_U = BETAINV(C_b; c+1; N−c). With c = 0 and N = 2000 this is ≈ 7.8/2000 at C_b — the rule of three again, with a Bonferroni-sized confidence.</t>
  </si>
  <si>
    <t xml:space="preserve">Summary — does the validation target hold?</t>
  </si>
  <si>
    <t xml:space="preserve">All values recalculate from Inputs, HB Evidence and Scenarios.</t>
  </si>
  <si>
    <t xml:space="preserve">Quantity</t>
  </si>
  <si>
    <t xml:space="preserve">Unit</t>
  </si>
  <si>
    <t xml:space="preserve">Verdict / note</t>
  </si>
  <si>
    <t xml:space="preserve">Scenario shares sum (partition check)</t>
  </si>
  <si>
    <t xml:space="preserve">-</t>
  </si>
  <si>
    <t xml:space="preserve">Must be 100%: logical scenarios are mutually exclusive and exhaustive within the ODD.</t>
  </si>
  <si>
    <t xml:space="preserve">Point estimate R̂</t>
  </si>
  <si>
    <t xml:space="preserve">1/h</t>
  </si>
  <si>
    <t xml:space="preserve">Not evidence by itself — no confidence.</t>
  </si>
  <si>
    <t xml:space="preserve">Bonferroni upper bound R_U</t>
  </si>
  <si>
    <t xml:space="preserve">All 120 estimated terms bounded simultaneously at C_b; products of upper bounds → conservative.</t>
  </si>
  <si>
    <t xml:space="preserve">Bayesian posterior 95% quantile</t>
  </si>
  <si>
    <t xml:space="preserve">From ub_sim.py: 200,000 posterior draws, Gamma(k+½, h) for λ, Beta(c+½, N−c+½) for P(coll). Value, not formula.</t>
  </si>
  <si>
    <t xml:space="preserve">Bayesian posterior mean</t>
  </si>
  <si>
    <t xml:space="preserve">From ub_sim.py.</t>
  </si>
  <si>
    <t xml:space="preserve">Acceptance criterion A_H</t>
  </si>
  <si>
    <t xml:space="preserve">Budget for known scenarios (1−ε)·A_H</t>
  </si>
  <si>
    <t xml:space="preserve">The remaining ε·A_H is reserved for unknown triggers (row 21).</t>
  </si>
  <si>
    <t xml:space="preserve">Verdicts against the known-scenario budget</t>
  </si>
  <si>
    <t xml:space="preserve">Link to the Annex C / lesson 1 view</t>
  </si>
  <si>
    <t xml:space="preserve">Average P(harm | HB) = R̂ / Σ share·λ̂</t>
  </si>
  <si>
    <t xml:space="preserve">This is the scenario-averaged product P(E|HB)·P(C̄|E)·P(S|C̄) of Annex C.2.</t>
  </si>
  <si>
    <t xml:space="preserve">Tolerable overall HB rate R_HB = budget / avg P(harm|HB)</t>
  </si>
  <si>
    <t xml:space="preserve">Field-only alternative: failure-free hours τ = −ln(1−C)/R_HB</t>
  </si>
  <si>
    <t xml:space="preserve">h</t>
  </si>
  <si>
    <t xml:space="preserve">Lesson 1 approach: drive representative hours with zero unintended brakes. Compare with the replay hours in HB Evidence.</t>
  </si>
  <si>
    <t xml:space="preserve">Unknown-trigger reserve: field hours with no unexplained HB</t>
  </si>
  <si>
    <t xml:space="preserve">Every HB in this field driving must map to a known trigger; an unexplained one counts against ε·A_H.</t>
  </si>
  <si>
    <t xml:space="preserve">Replay hours used so far</t>
  </si>
  <si>
    <t xml:space="preserve">Point risk by trigger context</t>
  </si>
  <si>
    <t xml:space="preserve">R̂ [1/h]</t>
  </si>
  <si>
    <t xml:space="preserve">Share</t>
  </si>
  <si>
    <t xml:space="preserve">Share if λ were known (synthetic truth)</t>
  </si>
  <si>
    <t xml:space="preserve">Point risk by follower headway</t>
  </si>
  <si>
    <t xml:space="preserve">Point risk by speed band</t>
  </si>
  <si>
    <t xml:space="preserve">Screening: scenarios whose bound share·λ_U ≤ 0.1% of budget (safe to skip simulation)</t>
  </si>
  <si>
    <t xml:space="preserve">Sum of their screening bounds</t>
  </si>
  <si>
    <t xml:space="preserve">Reality check (synthetic truth — unknowable in practice)</t>
  </si>
  <si>
    <t xml:space="preserve">Risk if λ were known exactly</t>
  </si>
  <si>
    <t xml:space="preserve">True overall HB rate Σ share·λ</t>
  </si>
  <si>
    <t xml:space="preserve">P(field-only zero-failure test of row 21 passes)</t>
  </si>
  <si>
    <t xml:space="preserve">The field-only target looks cheap, but at the true HB rate it is close to a coin flip; a k &gt; 0 plan costs more hours (lesson 1). It also needs avg P(harm|HB), which only the scenario model provides.</t>
  </si>
  <si>
    <t xml:space="preserve">Validation targets per evidence cell</t>
  </si>
  <si>
    <t xml:space="preserve">How many replay hours each cell needs so the Bonferroni bound fits the budget.</t>
  </si>
  <si>
    <t xml:space="preserve">Optimal allocation: minimise total hours Σ λ_k·G_j/B_j subject to Σ B_j = budget ⇒ B_j ∝ √G_j (Lagrange multiplier). Required hours assume no further events (observed k kept).</t>
  </si>
  <si>
    <t xml:space="preserve">Harm weight G_j</t>
  </si>
  <si>
    <t xml:space="preserve">Events k so far</t>
  </si>
  <si>
    <t xml:space="preserve">Hours so far</t>
  </si>
  <si>
    <t xml:space="preserve">Budget B_j (optimal, ∝ √G)</t>
  </si>
  <si>
    <t xml:space="preserve">λ target = B_j/G_j [1/h]</t>
  </si>
  <si>
    <t xml:space="preserve">Required hours (optimal)</t>
  </si>
  <si>
    <t xml:space="preserve">Additional hours</t>
  </si>
  <si>
    <t xml:space="preserve">Budget B_j (equal split)</t>
  </si>
  <si>
    <t xml:space="preserve">Required hours (equal)</t>
  </si>
  <si>
    <t xml:space="preserve">Caveats</t>
  </si>
  <si>
    <t xml:space="preserve">1. G_j uses the Bonferroni upper collision probability, so it also shrinks as you add simulation runs — the two evidence types trade off.</t>
  </si>
  <si>
    <t xml:space="preserve">2. Required hours assume the observed k stays fixed; new events raise the requirement. Plan with margin and fix the plan before testing (lesson 1).</t>
  </si>
  <si>
    <t xml:space="preserve">3. Replay hours only count if the replayed software equals the release candidate and replay (open loop) reproduces the brake decision faithfully.</t>
  </si>
  <si>
    <t xml:space="preserve">4. The Bayesian route (Summary row 8) needs far less evidence but must defend its prior; Jeffreys is the usual 'minimally informative' choice.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</si>
</sst>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E+00"/>
    <numFmt numFmtId="166" formatCode="0.00"/>
    <numFmt numFmtId="167" formatCode="0.0%"/>
    <numFmt numFmtId="168" formatCode="0"/>
    <numFmt numFmtId="169" formatCode="0.000000"/>
    <numFmt numFmtId="170" formatCode="#,##0"/>
    <numFmt numFmtId="171" formatCode="0.000%"/>
    <numFmt numFmtId="172" formatCode="0.0000"/>
    <numFmt numFmtId="173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E6B63"/>
        <bgColor rgb="FF00808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B63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26.8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39.55" hidden="false" customHeight="false" outlineLevel="0" collapsed="false">
      <c r="A9" s="3" t="s">
        <v>12</v>
      </c>
      <c r="B9" s="4" t="s">
        <v>13</v>
      </c>
    </row>
    <row r="10" customFormat="false" ht="26.85" hidden="false" customHeight="false" outlineLevel="0" collapsed="false">
      <c r="A10" s="3" t="s">
        <v>14</v>
      </c>
      <c r="B10" s="4" t="s">
        <v>15</v>
      </c>
    </row>
    <row r="11" customFormat="false" ht="26.85" hidden="false" customHeight="false" outlineLevel="0" collapsed="false">
      <c r="A11" s="3" t="s">
        <v>16</v>
      </c>
      <c r="B11" s="4" t="s">
        <v>17</v>
      </c>
    </row>
    <row r="12" customFormat="false" ht="26.85" hidden="false" customHeight="false" outlineLevel="0" collapsed="false">
      <c r="A12" s="3" t="s">
        <v>18</v>
      </c>
      <c r="B12" s="4" t="s">
        <v>19</v>
      </c>
    </row>
    <row r="13" customFormat="false" ht="26.85" hidden="false" customHeight="false" outlineLevel="0" collapsed="false">
      <c r="A13" s="3" t="s">
        <v>20</v>
      </c>
      <c r="B13" s="4" t="s">
        <v>21</v>
      </c>
    </row>
    <row r="16" customFormat="false" ht="15" hidden="false" customHeight="false" outlineLevel="0" collapsed="false">
      <c r="A16" s="3" t="s">
        <v>22</v>
      </c>
    </row>
    <row r="17" customFormat="false" ht="15" hidden="false" customHeight="false" outlineLevel="0" collapsed="false">
      <c r="A17" s="5" t="s">
        <v>23</v>
      </c>
      <c r="B17" s="6" t="str">
        <f aca="false">Summary!D14</f>
        <v>meets budget (point only — not a valid claim)</v>
      </c>
    </row>
    <row r="18" customFormat="false" ht="15" hidden="false" customHeight="false" outlineLevel="0" collapsed="false">
      <c r="A18" s="5" t="s">
        <v>24</v>
      </c>
      <c r="B18" s="6" t="str">
        <f aca="false">Summary!D15</f>
        <v>FAIL — evidence insufficient, see Validation Targets</v>
      </c>
    </row>
    <row r="19" customFormat="false" ht="15" hidden="false" customHeight="false" outlineLevel="0" collapsed="false">
      <c r="A19" s="5" t="s">
        <v>25</v>
      </c>
      <c r="B19" s="6" t="str">
        <f aca="false">Summary!D16</f>
        <v>PASS at 95% posterior (prior must be justified to the assessor)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45" hidden="false" customHeight="true" outlineLevel="0" collapsed="false">
      <c r="A4" s="7" t="s">
        <v>28</v>
      </c>
      <c r="B4" s="7" t="s">
        <v>29</v>
      </c>
      <c r="C4" s="7" t="s">
        <v>30</v>
      </c>
    </row>
    <row r="5" customFormat="false" ht="15" hidden="false" customHeight="false" outlineLevel="0" collapsed="false">
      <c r="A5" s="5" t="s">
        <v>31</v>
      </c>
      <c r="B5" s="8" t="n">
        <v>1E-007</v>
      </c>
      <c r="C5" s="5" t="s">
        <v>32</v>
      </c>
    </row>
    <row r="6" customFormat="false" ht="15" hidden="false" customHeight="false" outlineLevel="0" collapsed="false">
      <c r="A6" s="5" t="s">
        <v>33</v>
      </c>
      <c r="B6" s="9" t="n">
        <v>0.95</v>
      </c>
      <c r="C6" s="5" t="s">
        <v>34</v>
      </c>
    </row>
    <row r="7" customFormat="false" ht="15" hidden="false" customHeight="false" outlineLevel="0" collapsed="false">
      <c r="A7" s="5" t="s">
        <v>35</v>
      </c>
      <c r="B7" s="10" t="n">
        <v>0.1</v>
      </c>
      <c r="C7" s="5" t="s">
        <v>36</v>
      </c>
    </row>
    <row r="8" customFormat="false" ht="15" hidden="false" customHeight="false" outlineLevel="0" collapsed="false">
      <c r="A8" s="5" t="s">
        <v>37</v>
      </c>
      <c r="B8" s="11" t="n">
        <f aca="false">COUNTA('HB Evidence'!A6:A25)</f>
        <v>20</v>
      </c>
      <c r="C8" s="5" t="s">
        <v>38</v>
      </c>
    </row>
    <row r="9" customFormat="false" ht="15" hidden="false" customHeight="false" outlineLevel="0" collapsed="false">
      <c r="A9" s="5" t="s">
        <v>39</v>
      </c>
      <c r="B9" s="11" t="n">
        <f aca="false">COUNTA(Scenarios!A6:A105)</f>
        <v>100</v>
      </c>
      <c r="C9" s="5" t="s">
        <v>38</v>
      </c>
    </row>
    <row r="10" customFormat="false" ht="15" hidden="false" customHeight="false" outlineLevel="0" collapsed="false">
      <c r="A10" s="5" t="s">
        <v>40</v>
      </c>
      <c r="B10" s="12" t="n">
        <f aca="false">1-(1-B6)/(B8+B9)</f>
        <v>0.999583333333333</v>
      </c>
      <c r="C10" s="5" t="s">
        <v>41</v>
      </c>
    </row>
    <row r="11" customFormat="false" ht="15" hidden="false" customHeight="false" outlineLevel="0" collapsed="false">
      <c r="A11" s="5" t="s">
        <v>42</v>
      </c>
      <c r="B11" s="13" t="n">
        <f aca="false">(1-B7)*B5</f>
        <v>9E-008</v>
      </c>
      <c r="C11" s="5" t="s">
        <v>38</v>
      </c>
    </row>
    <row r="14" customFormat="false" ht="15" hidden="false" customHeight="false" outlineLevel="0" collapsed="false">
      <c r="A14" s="3" t="s">
        <v>43</v>
      </c>
      <c r="B14" s="3" t="s">
        <v>44</v>
      </c>
      <c r="C14" s="3" t="s">
        <v>45</v>
      </c>
    </row>
    <row r="15" customFormat="false" ht="15" hidden="false" customHeight="false" outlineLevel="0" collapsed="false">
      <c r="A15" s="5" t="s">
        <v>46</v>
      </c>
      <c r="B15" s="10" t="n">
        <v>0.8</v>
      </c>
      <c r="C15" s="5" t="s">
        <v>47</v>
      </c>
    </row>
    <row r="16" customFormat="false" ht="15" hidden="false" customHeight="false" outlineLevel="0" collapsed="false">
      <c r="A16" s="5" t="s">
        <v>48</v>
      </c>
      <c r="B16" s="10" t="n">
        <v>0.05</v>
      </c>
      <c r="C16" s="5" t="s">
        <v>47</v>
      </c>
    </row>
    <row r="17" customFormat="false" ht="15" hidden="false" customHeight="false" outlineLevel="0" collapsed="false">
      <c r="A17" s="5" t="s">
        <v>49</v>
      </c>
      <c r="B17" s="10" t="n">
        <v>0.07</v>
      </c>
      <c r="C17" s="5" t="s">
        <v>47</v>
      </c>
    </row>
    <row r="18" customFormat="false" ht="15" hidden="false" customHeight="false" outlineLevel="0" collapsed="false">
      <c r="A18" s="5" t="s">
        <v>50</v>
      </c>
      <c r="B18" s="10" t="n">
        <v>0.05</v>
      </c>
      <c r="C18" s="5" t="s">
        <v>47</v>
      </c>
    </row>
    <row r="19" customFormat="false" ht="15" hidden="false" customHeight="false" outlineLevel="0" collapsed="false">
      <c r="A19" s="5" t="s">
        <v>51</v>
      </c>
      <c r="B19" s="10" t="n">
        <v>0.03</v>
      </c>
      <c r="C19" s="5" t="s">
        <v>47</v>
      </c>
    </row>
    <row r="20" customFormat="false" ht="15" hidden="false" customHeight="false" outlineLevel="0" collapsed="false">
      <c r="A20" s="3" t="s">
        <v>52</v>
      </c>
      <c r="B20" s="14" t="n">
        <f aca="false">SUM(B15:B19)</f>
        <v>1</v>
      </c>
    </row>
    <row r="22" customFormat="false" ht="15" hidden="false" customHeight="false" outlineLevel="0" collapsed="false">
      <c r="A22" s="3" t="s">
        <v>53</v>
      </c>
      <c r="B22" s="3" t="s">
        <v>44</v>
      </c>
    </row>
    <row r="23" customFormat="false" ht="15" hidden="false" customHeight="false" outlineLevel="0" collapsed="false">
      <c r="A23" s="5" t="s">
        <v>54</v>
      </c>
      <c r="B23" s="10" t="n">
        <v>0.35</v>
      </c>
      <c r="C23" s="5" t="s">
        <v>55</v>
      </c>
    </row>
    <row r="24" customFormat="false" ht="15" hidden="false" customHeight="false" outlineLevel="0" collapsed="false">
      <c r="A24" s="5" t="s">
        <v>56</v>
      </c>
      <c r="B24" s="10" t="n">
        <v>0.4</v>
      </c>
      <c r="C24" s="5" t="s">
        <v>55</v>
      </c>
    </row>
    <row r="25" customFormat="false" ht="15" hidden="false" customHeight="false" outlineLevel="0" collapsed="false">
      <c r="A25" s="5" t="s">
        <v>57</v>
      </c>
      <c r="B25" s="10" t="n">
        <v>0.15</v>
      </c>
      <c r="C25" s="5" t="s">
        <v>55</v>
      </c>
    </row>
    <row r="26" customFormat="false" ht="15" hidden="false" customHeight="false" outlineLevel="0" collapsed="false">
      <c r="A26" s="5" t="s">
        <v>58</v>
      </c>
      <c r="B26" s="10" t="n">
        <v>0.1</v>
      </c>
      <c r="C26" s="5" t="s">
        <v>55</v>
      </c>
    </row>
    <row r="27" customFormat="false" ht="15" hidden="false" customHeight="false" outlineLevel="0" collapsed="false">
      <c r="A27" s="3" t="s">
        <v>52</v>
      </c>
      <c r="B27" s="14" t="n">
        <f aca="false">SUM(B23:B26)</f>
        <v>1</v>
      </c>
    </row>
    <row r="29" customFormat="false" ht="15" hidden="false" customHeight="false" outlineLevel="0" collapsed="false">
      <c r="A29" s="3" t="s">
        <v>59</v>
      </c>
      <c r="B29" s="3" t="s">
        <v>44</v>
      </c>
    </row>
    <row r="30" customFormat="false" ht="15" hidden="false" customHeight="false" outlineLevel="0" collapsed="false">
      <c r="A30" s="5" t="s">
        <v>60</v>
      </c>
      <c r="B30" s="10" t="n">
        <v>0.45</v>
      </c>
      <c r="C30" s="5" t="s">
        <v>61</v>
      </c>
    </row>
    <row r="31" customFormat="false" ht="15" hidden="false" customHeight="false" outlineLevel="0" collapsed="false">
      <c r="A31" s="5" t="s">
        <v>62</v>
      </c>
      <c r="B31" s="10" t="n">
        <v>0.2</v>
      </c>
      <c r="C31" s="5" t="s">
        <v>61</v>
      </c>
    </row>
    <row r="32" customFormat="false" ht="15" hidden="false" customHeight="false" outlineLevel="0" collapsed="false">
      <c r="A32" s="5" t="s">
        <v>63</v>
      </c>
      <c r="B32" s="10" t="n">
        <v>0.15</v>
      </c>
      <c r="C32" s="5" t="s">
        <v>61</v>
      </c>
    </row>
    <row r="33" customFormat="false" ht="15" hidden="false" customHeight="false" outlineLevel="0" collapsed="false">
      <c r="A33" s="5" t="s">
        <v>64</v>
      </c>
      <c r="B33" s="10" t="n">
        <v>0.13</v>
      </c>
      <c r="C33" s="5" t="s">
        <v>61</v>
      </c>
    </row>
    <row r="34" customFormat="false" ht="15" hidden="false" customHeight="false" outlineLevel="0" collapsed="false">
      <c r="A34" s="5" t="s">
        <v>65</v>
      </c>
      <c r="B34" s="10" t="n">
        <v>0.07</v>
      </c>
      <c r="C34" s="5" t="s">
        <v>61</v>
      </c>
    </row>
    <row r="35" customFormat="false" ht="15" hidden="false" customHeight="false" outlineLevel="0" collapsed="false">
      <c r="A35" s="3" t="s">
        <v>52</v>
      </c>
      <c r="B35" s="14" t="n">
        <f aca="false">SUM(B30:B34)</f>
        <v>1</v>
      </c>
    </row>
    <row r="37" customFormat="false" ht="26.85" hidden="false" customHeight="true" outlineLevel="0" collapsed="false">
      <c r="A37" s="3" t="s">
        <v>66</v>
      </c>
      <c r="B37" s="4" t="s">
        <v>67</v>
      </c>
      <c r="C37" s="4"/>
    </row>
  </sheetData>
  <mergeCells count="1">
    <mergeCell ref="B37:C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8" min="7" style="0" width="16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1" min="11" style="0" width="15"/>
  </cols>
  <sheetData>
    <row r="1" customFormat="false" ht="17.35" hidden="false" customHeight="false" outlineLevel="0" collapsed="false">
      <c r="A1" s="1" t="s">
        <v>68</v>
      </c>
    </row>
    <row r="2" customFormat="false" ht="15" hidden="false" customHeight="false" outlineLevel="0" collapsed="false">
      <c r="A2" s="2" t="s">
        <v>69</v>
      </c>
    </row>
    <row r="5" customFormat="false" ht="45" hidden="false" customHeight="true" outlineLevel="0" collapsed="false">
      <c r="A5" s="7" t="s">
        <v>70</v>
      </c>
      <c r="B5" s="7" t="s">
        <v>43</v>
      </c>
      <c r="C5" s="7" t="s">
        <v>71</v>
      </c>
      <c r="D5" s="7" t="s">
        <v>72</v>
      </c>
      <c r="E5" s="7" t="s">
        <v>73</v>
      </c>
      <c r="F5" s="7" t="s">
        <v>74</v>
      </c>
      <c r="G5" s="7" t="s">
        <v>75</v>
      </c>
      <c r="H5" s="7" t="s">
        <v>76</v>
      </c>
      <c r="I5" s="7" t="s">
        <v>77</v>
      </c>
      <c r="J5" s="7" t="s">
        <v>78</v>
      </c>
      <c r="K5" s="7" t="s">
        <v>79</v>
      </c>
    </row>
    <row r="6" customFormat="false" ht="15" hidden="false" customHeight="false" outlineLevel="0" collapsed="false">
      <c r="A6" s="5" t="s">
        <v>80</v>
      </c>
      <c r="B6" s="5" t="s">
        <v>46</v>
      </c>
      <c r="C6" s="5" t="s">
        <v>54</v>
      </c>
      <c r="D6" s="15" t="n">
        <v>12000</v>
      </c>
      <c r="E6" s="16" t="n">
        <v>0</v>
      </c>
      <c r="F6" s="13" t="n">
        <f aca="false">E6/D6</f>
        <v>0</v>
      </c>
      <c r="G6" s="13" t="n">
        <f aca="false">CHIINV(1-Inputs!$B$6,2*(E6+1))/2/D6</f>
        <v>0.000249644356129499</v>
      </c>
      <c r="H6" s="13" t="n">
        <f aca="false">CHIINV(1-Inputs!$B$10,2*(E6+1))/2/D6</f>
        <v>0.000648602001361346</v>
      </c>
      <c r="I6" s="17" t="n">
        <v>2E-005</v>
      </c>
      <c r="J6" s="13" t="n">
        <f aca="false">SUMIF(Scenarios!$E$6:$E$105,A6,Scenarios!$V$6:$V$105)</f>
        <v>0.000162227073767628</v>
      </c>
      <c r="K6" s="13" t="n">
        <f aca="false">SUMIF(Scenarios!$E$6:$E$105,A6,Scenarios!$R$6:$R$105)</f>
        <v>0</v>
      </c>
    </row>
    <row r="7" customFormat="false" ht="15" hidden="false" customHeight="false" outlineLevel="0" collapsed="false">
      <c r="A7" s="5" t="s">
        <v>81</v>
      </c>
      <c r="B7" s="5" t="s">
        <v>46</v>
      </c>
      <c r="C7" s="5" t="s">
        <v>56</v>
      </c>
      <c r="D7" s="15" t="n">
        <v>14000</v>
      </c>
      <c r="E7" s="16" t="n">
        <v>0</v>
      </c>
      <c r="F7" s="13" t="n">
        <f aca="false">E7/D7</f>
        <v>0</v>
      </c>
      <c r="G7" s="13" t="n">
        <f aca="false">CHIINV(1-Inputs!$B$6,2*(E7+1))/2/D7</f>
        <v>0.000213980876682428</v>
      </c>
      <c r="H7" s="13" t="n">
        <f aca="false">CHIINV(1-Inputs!$B$10,2*(E7+1))/2/D7</f>
        <v>0.000555944572595439</v>
      </c>
      <c r="I7" s="17" t="n">
        <v>2E-005</v>
      </c>
      <c r="J7" s="13" t="n">
        <f aca="false">SUMIF(Scenarios!$E$6:$E$105,A7,Scenarios!$V$6:$V$105)</f>
        <v>0.000119767712199465</v>
      </c>
      <c r="K7" s="13" t="n">
        <f aca="false">SUMIF(Scenarios!$E$6:$E$105,A7,Scenarios!$R$6:$R$105)</f>
        <v>0</v>
      </c>
    </row>
    <row r="8" customFormat="false" ht="15" hidden="false" customHeight="false" outlineLevel="0" collapsed="false">
      <c r="A8" s="5" t="s">
        <v>82</v>
      </c>
      <c r="B8" s="5" t="s">
        <v>46</v>
      </c>
      <c r="C8" s="5" t="s">
        <v>57</v>
      </c>
      <c r="D8" s="15" t="n">
        <v>6000</v>
      </c>
      <c r="E8" s="16" t="n">
        <v>0</v>
      </c>
      <c r="F8" s="13" t="n">
        <f aca="false">E8/D8</f>
        <v>0</v>
      </c>
      <c r="G8" s="13" t="n">
        <f aca="false">CHIINV(1-Inputs!$B$6,2*(E8+1))/2/D8</f>
        <v>0.000499288712258998</v>
      </c>
      <c r="H8" s="13" t="n">
        <f aca="false">CHIINV(1-Inputs!$B$10,2*(E8+1))/2/D8</f>
        <v>0.00129720400272269</v>
      </c>
      <c r="I8" s="17" t="n">
        <v>2.4E-005</v>
      </c>
      <c r="J8" s="13" t="n">
        <f aca="false">SUMIF(Scenarios!$E$6:$E$105,A8,Scenarios!$V$6:$V$105)</f>
        <v>2.32869397378673E-005</v>
      </c>
      <c r="K8" s="13" t="n">
        <f aca="false">SUMIF(Scenarios!$E$6:$E$105,A8,Scenarios!$R$6:$R$105)</f>
        <v>0</v>
      </c>
    </row>
    <row r="9" customFormat="false" ht="15" hidden="false" customHeight="false" outlineLevel="0" collapsed="false">
      <c r="A9" s="5" t="s">
        <v>83</v>
      </c>
      <c r="B9" s="5" t="s">
        <v>46</v>
      </c>
      <c r="C9" s="5" t="s">
        <v>58</v>
      </c>
      <c r="D9" s="15" t="n">
        <v>4000</v>
      </c>
      <c r="E9" s="16" t="n">
        <v>0</v>
      </c>
      <c r="F9" s="13" t="n">
        <f aca="false">E9/D9</f>
        <v>0</v>
      </c>
      <c r="G9" s="13" t="n">
        <f aca="false">CHIINV(1-Inputs!$B$6,2*(E9+1))/2/D9</f>
        <v>0.000748933068388497</v>
      </c>
      <c r="H9" s="13" t="n">
        <f aca="false">CHIINV(1-Inputs!$B$10,2*(E9+1))/2/D9</f>
        <v>0.00194580600408404</v>
      </c>
      <c r="I9" s="17" t="n">
        <v>3E-005</v>
      </c>
      <c r="J9" s="13" t="n">
        <f aca="false">SUMIF(Scenarios!$E$6:$E$105,A9,Scenarios!$V$6:$V$105)</f>
        <v>7.01347475768966E-006</v>
      </c>
      <c r="K9" s="13" t="n">
        <f aca="false">SUMIF(Scenarios!$E$6:$E$105,A9,Scenarios!$R$6:$R$105)</f>
        <v>0</v>
      </c>
    </row>
    <row r="10" customFormat="false" ht="15" hidden="false" customHeight="false" outlineLevel="0" collapsed="false">
      <c r="A10" s="5" t="s">
        <v>84</v>
      </c>
      <c r="B10" s="5" t="s">
        <v>48</v>
      </c>
      <c r="C10" s="5" t="s">
        <v>54</v>
      </c>
      <c r="D10" s="15" t="n">
        <v>3000</v>
      </c>
      <c r="E10" s="16" t="n">
        <v>1</v>
      </c>
      <c r="F10" s="13" t="n">
        <f aca="false">E10/D10</f>
        <v>0.000333333333333333</v>
      </c>
      <c r="G10" s="13" t="n">
        <f aca="false">CHIINV(1-Inputs!$B$6,2*(E10+1))/2/D10</f>
        <v>0.00158128817279686</v>
      </c>
      <c r="H10" s="13" t="n">
        <f aca="false">CHIINV(1-Inputs!$B$10,2*(E10+1))/2/D10</f>
        <v>0.00339968442025883</v>
      </c>
      <c r="I10" s="17" t="n">
        <v>0.0004</v>
      </c>
      <c r="J10" s="13" t="n">
        <f aca="false">SUMIF(Scenarios!$E$6:$E$105,A10,Scenarios!$V$6:$V$105)</f>
        <v>1.08908557989372E-005</v>
      </c>
      <c r="K10" s="13" t="n">
        <f aca="false">SUMIF(Scenarios!$E$6:$E$105,A10,Scenarios!$R$6:$R$105)</f>
        <v>2.812141675E-009</v>
      </c>
    </row>
    <row r="11" customFormat="false" ht="15" hidden="false" customHeight="false" outlineLevel="0" collapsed="false">
      <c r="A11" s="5" t="s">
        <v>85</v>
      </c>
      <c r="B11" s="5" t="s">
        <v>48</v>
      </c>
      <c r="C11" s="5" t="s">
        <v>56</v>
      </c>
      <c r="D11" s="15" t="n">
        <v>4000</v>
      </c>
      <c r="E11" s="16" t="n">
        <v>1</v>
      </c>
      <c r="F11" s="13" t="n">
        <f aca="false">E11/D11</f>
        <v>0.00025</v>
      </c>
      <c r="G11" s="13" t="n">
        <f aca="false">CHIINV(1-Inputs!$B$6,2*(E11+1))/2/D11</f>
        <v>0.00118596612959764</v>
      </c>
      <c r="H11" s="13" t="n">
        <f aca="false">CHIINV(1-Inputs!$B$10,2*(E11+1))/2/D11</f>
        <v>0.00254976331519412</v>
      </c>
      <c r="I11" s="17" t="n">
        <v>0.0004</v>
      </c>
      <c r="J11" s="13" t="n">
        <f aca="false">SUMIF(Scenarios!$E$6:$E$105,A11,Scenarios!$V$6:$V$105)</f>
        <v>6.99426480162254E-006</v>
      </c>
      <c r="K11" s="13" t="n">
        <f aca="false">SUMIF(Scenarios!$E$6:$E$105,A11,Scenarios!$R$6:$R$105)</f>
        <v>1.15205505E-009</v>
      </c>
    </row>
    <row r="12" customFormat="false" ht="15" hidden="false" customHeight="false" outlineLevel="0" collapsed="false">
      <c r="A12" s="5" t="s">
        <v>86</v>
      </c>
      <c r="B12" s="5" t="s">
        <v>48</v>
      </c>
      <c r="C12" s="5" t="s">
        <v>57</v>
      </c>
      <c r="D12" s="15" t="n">
        <v>2500</v>
      </c>
      <c r="E12" s="16" t="n">
        <v>1</v>
      </c>
      <c r="F12" s="13" t="n">
        <f aca="false">E12/D12</f>
        <v>0.0004</v>
      </c>
      <c r="G12" s="13" t="n">
        <f aca="false">CHIINV(1-Inputs!$B$6,2*(E12+1))/2/D12</f>
        <v>0.00189754580735623</v>
      </c>
      <c r="H12" s="13" t="n">
        <f aca="false">CHIINV(1-Inputs!$B$10,2*(E12+1))/2/D12</f>
        <v>0.0040796213043106</v>
      </c>
      <c r="I12" s="17" t="n">
        <v>0.00048</v>
      </c>
      <c r="J12" s="13" t="n">
        <f aca="false">SUMIF(Scenarios!$E$6:$E$105,A12,Scenarios!$V$6:$V$105)</f>
        <v>9.59157995448264E-007</v>
      </c>
      <c r="K12" s="13" t="n">
        <f aca="false">SUMIF(Scenarios!$E$6:$E$105,A12,Scenarios!$R$6:$R$105)</f>
        <v>1.7963334E-010</v>
      </c>
    </row>
    <row r="13" customFormat="false" ht="15" hidden="false" customHeight="false" outlineLevel="0" collapsed="false">
      <c r="A13" s="5" t="s">
        <v>87</v>
      </c>
      <c r="B13" s="5" t="s">
        <v>48</v>
      </c>
      <c r="C13" s="5" t="s">
        <v>58</v>
      </c>
      <c r="D13" s="15" t="n">
        <v>2000</v>
      </c>
      <c r="E13" s="16" t="n">
        <v>4</v>
      </c>
      <c r="F13" s="13" t="n">
        <f aca="false">E13/D13</f>
        <v>0.002</v>
      </c>
      <c r="G13" s="13" t="n">
        <f aca="false">CHIINV(1-Inputs!$B$6,2*(E13+1))/2/D13</f>
        <v>0.00457675951331879</v>
      </c>
      <c r="H13" s="13" t="n">
        <f aca="false">CHIINV(1-Inputs!$B$10,2*(E13+1))/2/D13</f>
        <v>0.0079741032346939</v>
      </c>
      <c r="I13" s="17" t="n">
        <v>0.0006</v>
      </c>
      <c r="J13" s="13" t="n">
        <f aca="false">SUMIF(Scenarios!$E$6:$E$105,A13,Scenarios!$V$6:$V$105)</f>
        <v>3.72480315876747E-007</v>
      </c>
      <c r="K13" s="13" t="n">
        <f aca="false">SUMIF(Scenarios!$E$6:$E$105,A13,Scenarios!$R$6:$R$105)</f>
        <v>3.5710115E-010</v>
      </c>
    </row>
    <row r="14" customFormat="false" ht="15" hidden="false" customHeight="false" outlineLevel="0" collapsed="false">
      <c r="A14" s="5" t="s">
        <v>88</v>
      </c>
      <c r="B14" s="5" t="s">
        <v>49</v>
      </c>
      <c r="C14" s="5" t="s">
        <v>54</v>
      </c>
      <c r="D14" s="15" t="n">
        <v>3000</v>
      </c>
      <c r="E14" s="16" t="n">
        <v>1</v>
      </c>
      <c r="F14" s="13" t="n">
        <f aca="false">E14/D14</f>
        <v>0.000333333333333333</v>
      </c>
      <c r="G14" s="13" t="n">
        <f aca="false">CHIINV(1-Inputs!$B$6,2*(E14+1))/2/D14</f>
        <v>0.00158128817279686</v>
      </c>
      <c r="H14" s="13" t="n">
        <f aca="false">CHIINV(1-Inputs!$B$10,2*(E14+1))/2/D14</f>
        <v>0.00339968442025883</v>
      </c>
      <c r="I14" s="17" t="n">
        <v>0.0002</v>
      </c>
      <c r="J14" s="13" t="n">
        <f aca="false">SUMIF(Scenarios!$E$6:$E$105,A14,Scenarios!$V$6:$V$105)</f>
        <v>1.18308206308125E-005</v>
      </c>
      <c r="K14" s="13" t="n">
        <f aca="false">SUMIF(Scenarios!$E$6:$E$105,A14,Scenarios!$R$6:$R$105)</f>
        <v>3.15995703916667E-009</v>
      </c>
    </row>
    <row r="15" customFormat="false" ht="15" hidden="false" customHeight="false" outlineLevel="0" collapsed="false">
      <c r="A15" s="5" t="s">
        <v>89</v>
      </c>
      <c r="B15" s="5" t="s">
        <v>49</v>
      </c>
      <c r="C15" s="5" t="s">
        <v>56</v>
      </c>
      <c r="D15" s="15" t="n">
        <v>3500</v>
      </c>
      <c r="E15" s="16" t="n">
        <v>0</v>
      </c>
      <c r="F15" s="13" t="n">
        <f aca="false">E15/D15</f>
        <v>0</v>
      </c>
      <c r="G15" s="13" t="n">
        <f aca="false">CHIINV(1-Inputs!$B$6,2*(E15+1))/2/D15</f>
        <v>0.000855923506729711</v>
      </c>
      <c r="H15" s="13" t="n">
        <f aca="false">CHIINV(1-Inputs!$B$10,2*(E15+1))/2/D15</f>
        <v>0.00222377829038176</v>
      </c>
      <c r="I15" s="17" t="n">
        <v>0.0002</v>
      </c>
      <c r="J15" s="13" t="n">
        <f aca="false">SUMIF(Scenarios!$E$6:$E$105,A15,Scenarios!$V$6:$V$105)</f>
        <v>8.93493664892457E-006</v>
      </c>
      <c r="K15" s="13" t="n">
        <f aca="false">SUMIF(Scenarios!$E$6:$E$105,A15,Scenarios!$R$6:$R$105)</f>
        <v>0</v>
      </c>
    </row>
    <row r="16" customFormat="false" ht="15" hidden="false" customHeight="false" outlineLevel="0" collapsed="false">
      <c r="A16" s="5" t="s">
        <v>90</v>
      </c>
      <c r="B16" s="5" t="s">
        <v>49</v>
      </c>
      <c r="C16" s="5" t="s">
        <v>57</v>
      </c>
      <c r="D16" s="15" t="n">
        <v>2000</v>
      </c>
      <c r="E16" s="16" t="n">
        <v>0</v>
      </c>
      <c r="F16" s="13" t="n">
        <f aca="false">E16/D16</f>
        <v>0</v>
      </c>
      <c r="G16" s="13" t="n">
        <f aca="false">CHIINV(1-Inputs!$B$6,2*(E16+1))/2/D16</f>
        <v>0.00149786613677699</v>
      </c>
      <c r="H16" s="13" t="n">
        <f aca="false">CHIINV(1-Inputs!$B$10,2*(E16+1))/2/D16</f>
        <v>0.00389161200816807</v>
      </c>
      <c r="I16" s="17" t="n">
        <v>0.00024</v>
      </c>
      <c r="J16" s="13" t="n">
        <f aca="false">SUMIF(Scenarios!$E$6:$E$105,A16,Scenarios!$V$6:$V$105)</f>
        <v>4.21202636194024E-006</v>
      </c>
      <c r="K16" s="13" t="n">
        <f aca="false">SUMIF(Scenarios!$E$6:$E$105,A16,Scenarios!$R$6:$R$105)</f>
        <v>0</v>
      </c>
    </row>
    <row r="17" customFormat="false" ht="15" hidden="false" customHeight="false" outlineLevel="0" collapsed="false">
      <c r="A17" s="5" t="s">
        <v>91</v>
      </c>
      <c r="B17" s="5" t="s">
        <v>49</v>
      </c>
      <c r="C17" s="5" t="s">
        <v>58</v>
      </c>
      <c r="D17" s="15" t="n">
        <v>1500</v>
      </c>
      <c r="E17" s="16" t="n">
        <v>0</v>
      </c>
      <c r="F17" s="13" t="n">
        <f aca="false">E17/D17</f>
        <v>0</v>
      </c>
      <c r="G17" s="13" t="n">
        <f aca="false">CHIINV(1-Inputs!$B$6,2*(E17+1))/2/D17</f>
        <v>0.00199715484903599</v>
      </c>
      <c r="H17" s="13" t="n">
        <f aca="false">CHIINV(1-Inputs!$B$10,2*(E17+1))/2/D17</f>
        <v>0.00518881601089077</v>
      </c>
      <c r="I17" s="17" t="n">
        <v>0.0003</v>
      </c>
      <c r="J17" s="13" t="n">
        <f aca="false">SUMIF(Scenarios!$E$6:$E$105,A17,Scenarios!$V$6:$V$105)</f>
        <v>3.83851167973904E-006</v>
      </c>
      <c r="K17" s="13" t="n">
        <f aca="false">SUMIF(Scenarios!$E$6:$E$105,A17,Scenarios!$R$6:$R$105)</f>
        <v>0</v>
      </c>
    </row>
    <row r="18" customFormat="false" ht="15" hidden="false" customHeight="false" outlineLevel="0" collapsed="false">
      <c r="A18" s="5" t="s">
        <v>92</v>
      </c>
      <c r="B18" s="5" t="s">
        <v>50</v>
      </c>
      <c r="C18" s="5" t="s">
        <v>54</v>
      </c>
      <c r="D18" s="15" t="n">
        <v>2500</v>
      </c>
      <c r="E18" s="16" t="n">
        <v>2</v>
      </c>
      <c r="F18" s="13" t="n">
        <f aca="false">E18/D18</f>
        <v>0.0008</v>
      </c>
      <c r="G18" s="13" t="n">
        <f aca="false">CHIINV(1-Inputs!$B$6,2*(E18+1))/2/D18</f>
        <v>0.0025183174487488</v>
      </c>
      <c r="H18" s="13" t="n">
        <f aca="false">CHIINV(1-Inputs!$B$10,2*(E18+1))/2/D18</f>
        <v>0.00490647139970048</v>
      </c>
      <c r="I18" s="17" t="n">
        <v>0.0006</v>
      </c>
      <c r="J18" s="13" t="n">
        <f aca="false">SUMIF(Scenarios!$E$6:$E$105,A18,Scenarios!$V$6:$V$105)</f>
        <v>9.46355294383304E-006</v>
      </c>
      <c r="K18" s="13" t="n">
        <f aca="false">SUMIF(Scenarios!$E$6:$E$105,A18,Scenarios!$R$6:$R$105)</f>
        <v>6.0573114E-009</v>
      </c>
    </row>
    <row r="19" customFormat="false" ht="15" hidden="false" customHeight="false" outlineLevel="0" collapsed="false">
      <c r="A19" s="5" t="s">
        <v>93</v>
      </c>
      <c r="B19" s="5" t="s">
        <v>50</v>
      </c>
      <c r="C19" s="5" t="s">
        <v>56</v>
      </c>
      <c r="D19" s="15" t="n">
        <v>3000</v>
      </c>
      <c r="E19" s="16" t="n">
        <v>0</v>
      </c>
      <c r="F19" s="13" t="n">
        <f aca="false">E19/D19</f>
        <v>0</v>
      </c>
      <c r="G19" s="13" t="n">
        <f aca="false">CHIINV(1-Inputs!$B$6,2*(E19+1))/2/D19</f>
        <v>0.000998577424517997</v>
      </c>
      <c r="H19" s="13" t="n">
        <f aca="false">CHIINV(1-Inputs!$B$10,2*(E19+1))/2/D19</f>
        <v>0.00259440800544538</v>
      </c>
      <c r="I19" s="17" t="n">
        <v>0.0006</v>
      </c>
      <c r="J19" s="13" t="n">
        <f aca="false">SUMIF(Scenarios!$E$6:$E$105,A19,Scenarios!$V$6:$V$105)</f>
        <v>7.15313144522955E-006</v>
      </c>
      <c r="K19" s="13" t="n">
        <f aca="false">SUMIF(Scenarios!$E$6:$E$105,A19,Scenarios!$R$6:$R$105)</f>
        <v>0</v>
      </c>
    </row>
    <row r="20" customFormat="false" ht="15" hidden="false" customHeight="false" outlineLevel="0" collapsed="false">
      <c r="A20" s="5" t="s">
        <v>94</v>
      </c>
      <c r="B20" s="5" t="s">
        <v>50</v>
      </c>
      <c r="C20" s="5" t="s">
        <v>57</v>
      </c>
      <c r="D20" s="15" t="n">
        <v>2000</v>
      </c>
      <c r="E20" s="16" t="n">
        <v>1</v>
      </c>
      <c r="F20" s="13" t="n">
        <f aca="false">E20/D20</f>
        <v>0.0005</v>
      </c>
      <c r="G20" s="13" t="n">
        <f aca="false">CHIINV(1-Inputs!$B$6,2*(E20+1))/2/D20</f>
        <v>0.00237193225919529</v>
      </c>
      <c r="H20" s="13" t="n">
        <f aca="false">CHIINV(1-Inputs!$B$10,2*(E20+1))/2/D20</f>
        <v>0.00509952663038825</v>
      </c>
      <c r="I20" s="17" t="n">
        <v>0.00072</v>
      </c>
      <c r="J20" s="13" t="n">
        <f aca="false">SUMIF(Scenarios!$E$6:$E$105,A20,Scenarios!$V$6:$V$105)</f>
        <v>1.06852450174407E-006</v>
      </c>
      <c r="K20" s="13" t="n">
        <f aca="false">SUMIF(Scenarios!$E$6:$E$105,A20,Scenarios!$R$6:$R$105)</f>
        <v>2.737840875E-010</v>
      </c>
    </row>
    <row r="21" customFormat="false" ht="15" hidden="false" customHeight="false" outlineLevel="0" collapsed="false">
      <c r="A21" s="5" t="s">
        <v>95</v>
      </c>
      <c r="B21" s="5" t="s">
        <v>50</v>
      </c>
      <c r="C21" s="5" t="s">
        <v>58</v>
      </c>
      <c r="D21" s="15" t="n">
        <v>1500</v>
      </c>
      <c r="E21" s="16" t="n">
        <v>0</v>
      </c>
      <c r="F21" s="13" t="n">
        <f aca="false">E21/D21</f>
        <v>0</v>
      </c>
      <c r="G21" s="13" t="n">
        <f aca="false">CHIINV(1-Inputs!$B$6,2*(E21+1))/2/D21</f>
        <v>0.00199715484903599</v>
      </c>
      <c r="H21" s="13" t="n">
        <f aca="false">CHIINV(1-Inputs!$B$10,2*(E21+1))/2/D21</f>
        <v>0.00518881601089077</v>
      </c>
      <c r="I21" s="17" t="n">
        <v>0.0009</v>
      </c>
      <c r="J21" s="13" t="n">
        <f aca="false">SUMIF(Scenarios!$E$6:$E$105,A21,Scenarios!$V$6:$V$105)</f>
        <v>5.19984701728053E-007</v>
      </c>
      <c r="K21" s="13" t="n">
        <f aca="false">SUMIF(Scenarios!$E$6:$E$105,A21,Scenarios!$R$6:$R$105)</f>
        <v>0</v>
      </c>
    </row>
    <row r="22" customFormat="false" ht="15" hidden="false" customHeight="false" outlineLevel="0" collapsed="false">
      <c r="A22" s="5" t="s">
        <v>96</v>
      </c>
      <c r="B22" s="5" t="s">
        <v>51</v>
      </c>
      <c r="C22" s="5" t="s">
        <v>54</v>
      </c>
      <c r="D22" s="15" t="n">
        <v>2000</v>
      </c>
      <c r="E22" s="16" t="n">
        <v>1</v>
      </c>
      <c r="F22" s="13" t="n">
        <f aca="false">E22/D22</f>
        <v>0.0005</v>
      </c>
      <c r="G22" s="13" t="n">
        <f aca="false">CHIINV(1-Inputs!$B$6,2*(E22+1))/2/D22</f>
        <v>0.00237193225919529</v>
      </c>
      <c r="H22" s="13" t="n">
        <f aca="false">CHIINV(1-Inputs!$B$10,2*(E22+1))/2/D22</f>
        <v>0.00509952663038825</v>
      </c>
      <c r="I22" s="17" t="n">
        <v>0.0003</v>
      </c>
      <c r="J22" s="13" t="n">
        <f aca="false">SUMIF(Scenarios!$E$6:$E$105,A22,Scenarios!$V$6:$V$105)</f>
        <v>5.81284077319545E-006</v>
      </c>
      <c r="K22" s="13" t="n">
        <f aca="false">SUMIF(Scenarios!$E$6:$E$105,A22,Scenarios!$R$6:$R$105)</f>
        <v>2.3384829825E-009</v>
      </c>
    </row>
    <row r="23" customFormat="false" ht="15" hidden="false" customHeight="false" outlineLevel="0" collapsed="false">
      <c r="A23" s="5" t="s">
        <v>97</v>
      </c>
      <c r="B23" s="5" t="s">
        <v>51</v>
      </c>
      <c r="C23" s="5" t="s">
        <v>56</v>
      </c>
      <c r="D23" s="15" t="n">
        <v>2500</v>
      </c>
      <c r="E23" s="16" t="n">
        <v>0</v>
      </c>
      <c r="F23" s="13" t="n">
        <f aca="false">E23/D23</f>
        <v>0</v>
      </c>
      <c r="G23" s="13" t="n">
        <f aca="false">CHIINV(1-Inputs!$B$6,2*(E23+1))/2/D23</f>
        <v>0.0011982929094216</v>
      </c>
      <c r="H23" s="13" t="n">
        <f aca="false">CHIINV(1-Inputs!$B$10,2*(E23+1))/2/D23</f>
        <v>0.00311328960653446</v>
      </c>
      <c r="I23" s="17" t="n">
        <v>0.0003</v>
      </c>
      <c r="J23" s="13" t="n">
        <f aca="false">SUMIF(Scenarios!$E$6:$E$105,A23,Scenarios!$V$6:$V$105)</f>
        <v>3.67775291056349E-006</v>
      </c>
      <c r="K23" s="13" t="n">
        <f aca="false">SUMIF(Scenarios!$E$6:$E$105,A23,Scenarios!$R$6:$R$105)</f>
        <v>0</v>
      </c>
    </row>
    <row r="24" customFormat="false" ht="15" hidden="false" customHeight="false" outlineLevel="0" collapsed="false">
      <c r="A24" s="5" t="s">
        <v>98</v>
      </c>
      <c r="B24" s="5" t="s">
        <v>51</v>
      </c>
      <c r="C24" s="5" t="s">
        <v>57</v>
      </c>
      <c r="D24" s="15" t="n">
        <v>1500</v>
      </c>
      <c r="E24" s="16" t="n">
        <v>0</v>
      </c>
      <c r="F24" s="13" t="n">
        <f aca="false">E24/D24</f>
        <v>0</v>
      </c>
      <c r="G24" s="13" t="n">
        <f aca="false">CHIINV(1-Inputs!$B$6,2*(E24+1))/2/D24</f>
        <v>0.00199715484903599</v>
      </c>
      <c r="H24" s="13" t="n">
        <f aca="false">CHIINV(1-Inputs!$B$10,2*(E24+1))/2/D24</f>
        <v>0.00518881601089077</v>
      </c>
      <c r="I24" s="17" t="n">
        <v>0.00036</v>
      </c>
      <c r="J24" s="13" t="n">
        <f aca="false">SUMIF(Scenarios!$E$6:$E$105,A24,Scenarios!$V$6:$V$105)</f>
        <v>7.07188144892193E-007</v>
      </c>
      <c r="K24" s="13" t="n">
        <f aca="false">SUMIF(Scenarios!$E$6:$E$105,A24,Scenarios!$R$6:$R$105)</f>
        <v>0</v>
      </c>
    </row>
    <row r="25" customFormat="false" ht="15" hidden="false" customHeight="false" outlineLevel="0" collapsed="false">
      <c r="A25" s="5" t="s">
        <v>99</v>
      </c>
      <c r="B25" s="5" t="s">
        <v>51</v>
      </c>
      <c r="C25" s="5" t="s">
        <v>58</v>
      </c>
      <c r="D25" s="15" t="n">
        <v>1000</v>
      </c>
      <c r="E25" s="16" t="n">
        <v>2</v>
      </c>
      <c r="F25" s="13" t="n">
        <f aca="false">E25/D25</f>
        <v>0.002</v>
      </c>
      <c r="G25" s="13" t="n">
        <f aca="false">CHIINV(1-Inputs!$B$6,2*(E25+1))/2/D25</f>
        <v>0.00629579362187199</v>
      </c>
      <c r="H25" s="13" t="n">
        <f aca="false">CHIINV(1-Inputs!$B$10,2*(E25+1))/2/D25</f>
        <v>0.0122661784992512</v>
      </c>
      <c r="I25" s="17" t="n">
        <v>0.00045</v>
      </c>
      <c r="J25" s="13" t="n">
        <f aca="false">SUMIF(Scenarios!$E$6:$E$105,A25,Scenarios!$V$6:$V$105)</f>
        <v>1.89890814781939E-007</v>
      </c>
      <c r="K25" s="13" t="n">
        <f aca="false">SUMIF(Scenarios!$E$6:$E$105,A25,Scenarios!$R$6:$R$105)</f>
        <v>1.4580585E-010</v>
      </c>
    </row>
    <row r="27" customFormat="false" ht="15" hidden="false" customHeight="false" outlineLevel="0" collapsed="false">
      <c r="C27" s="3" t="s">
        <v>100</v>
      </c>
      <c r="D27" s="18" t="n">
        <f aca="false">SUM(D6:D25)</f>
        <v>73500</v>
      </c>
      <c r="E27" s="11" t="n">
        <f aca="false">SUM(E6:E25)</f>
        <v>14</v>
      </c>
    </row>
    <row r="29" customFormat="false" ht="15" hidden="false" customHeight="false" outlineLevel="0" collapsed="false">
      <c r="A29" s="19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8" min="6" style="0" width="9"/>
    <col collapsed="false" customWidth="true" hidden="false" outlineLevel="0" max="9" min="9" style="0" width="10"/>
    <col collapsed="false" customWidth="true" hidden="false" outlineLevel="0" max="11" min="10" style="0" width="11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7" min="14" style="0" width="10"/>
    <col collapsed="false" customWidth="true" hidden="false" outlineLevel="0" max="19" min="18" style="0" width="12"/>
    <col collapsed="false" customWidth="true" hidden="false" outlineLevel="0" max="20" min="20" style="0" width="9"/>
    <col collapsed="false" customWidth="true" hidden="false" outlineLevel="0" max="24" min="21" style="0" width="12"/>
  </cols>
  <sheetData>
    <row r="1" customFormat="false" ht="17.3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103</v>
      </c>
    </row>
    <row r="5" customFormat="false" ht="45" hidden="false" customHeight="true" outlineLevel="0" collapsed="false">
      <c r="A5" s="7" t="s">
        <v>104</v>
      </c>
      <c r="B5" s="7" t="s">
        <v>43</v>
      </c>
      <c r="C5" s="7" t="s">
        <v>71</v>
      </c>
      <c r="D5" s="7" t="s">
        <v>105</v>
      </c>
      <c r="E5" s="7" t="s">
        <v>106</v>
      </c>
      <c r="F5" s="7" t="s">
        <v>107</v>
      </c>
      <c r="G5" s="7" t="s">
        <v>108</v>
      </c>
      <c r="H5" s="7" t="s">
        <v>109</v>
      </c>
      <c r="I5" s="7" t="s">
        <v>110</v>
      </c>
      <c r="J5" s="7" t="s">
        <v>111</v>
      </c>
      <c r="K5" s="7" t="s">
        <v>112</v>
      </c>
      <c r="L5" s="7" t="s">
        <v>113</v>
      </c>
      <c r="M5" s="7" t="s">
        <v>114</v>
      </c>
      <c r="N5" s="7" t="s">
        <v>115</v>
      </c>
      <c r="O5" s="7" t="s">
        <v>116</v>
      </c>
      <c r="P5" s="7" t="s">
        <v>117</v>
      </c>
      <c r="Q5" s="7" t="s">
        <v>118</v>
      </c>
      <c r="R5" s="7" t="s">
        <v>119</v>
      </c>
      <c r="S5" s="7" t="s">
        <v>120</v>
      </c>
      <c r="T5" s="7" t="s">
        <v>121</v>
      </c>
      <c r="U5" s="7" t="s">
        <v>122</v>
      </c>
      <c r="V5" s="7" t="s">
        <v>123</v>
      </c>
      <c r="W5" s="7" t="s">
        <v>77</v>
      </c>
      <c r="X5" s="7" t="s">
        <v>124</v>
      </c>
    </row>
    <row r="6" customFormat="false" ht="15" hidden="false" customHeight="false" outlineLevel="0" collapsed="false">
      <c r="A6" s="5" t="s">
        <v>125</v>
      </c>
      <c r="B6" s="5" t="s">
        <v>46</v>
      </c>
      <c r="C6" s="5" t="s">
        <v>54</v>
      </c>
      <c r="D6" s="5" t="s">
        <v>60</v>
      </c>
      <c r="E6" s="5" t="s">
        <v>80</v>
      </c>
      <c r="F6" s="20" t="n">
        <f aca="false">INDEX(Inputs!$B$15:$B$19,MATCH(B6,Inputs!$A$15:$A$19,0))</f>
        <v>0.8</v>
      </c>
      <c r="G6" s="20" t="n">
        <f aca="false">INDEX(Inputs!$B$23:$B$26,MATCH(C6,Inputs!$A$23:$A$26,0))</f>
        <v>0.35</v>
      </c>
      <c r="H6" s="20" t="n">
        <f aca="false">INDEX(Inputs!$B$30:$B$34,MATCH(D6,Inputs!$A$30:$A$34,0))</f>
        <v>0.45</v>
      </c>
      <c r="I6" s="21" t="n">
        <f aca="false">F6*G6*H6</f>
        <v>0.126</v>
      </c>
      <c r="J6" s="22" t="n">
        <f aca="false">INDEX('HB Evidence'!$F$6:$F$25,MATCH(E6,'HB Evidence'!$A$6:$A$25,0))</f>
        <v>0</v>
      </c>
      <c r="K6" s="22" t="n">
        <f aca="false">INDEX('HB Evidence'!$H$6:$H$25,MATCH(E6,'HB Evidence'!$A$6:$A$25,0))</f>
        <v>0.000648602001361346</v>
      </c>
      <c r="L6" s="15" t="n">
        <v>2000</v>
      </c>
      <c r="M6" s="15" t="n">
        <v>0</v>
      </c>
      <c r="N6" s="23" t="n">
        <f aca="false">M6/L6</f>
        <v>0</v>
      </c>
      <c r="O6" s="23" t="n">
        <f aca="false">IF(M6=L6,1,BETAINV(Inputs!$B$10,M6+1,L6-M6))</f>
        <v>0.00388404949945426</v>
      </c>
      <c r="P6" s="24" t="n">
        <v>0</v>
      </c>
      <c r="Q6" s="25" t="n">
        <v>0</v>
      </c>
      <c r="R6" s="13" t="n">
        <f aca="false">I6*J6*N6*P6</f>
        <v>0</v>
      </c>
      <c r="S6" s="13" t="n">
        <f aca="false">I6*K6*O6*P6</f>
        <v>0</v>
      </c>
      <c r="T6" s="14" t="n">
        <f aca="false">IF(Summary!$B$6&gt;0,R6/Summary!$B$6,0)</f>
        <v>0</v>
      </c>
      <c r="U6" s="13" t="n">
        <f aca="false">I6*K6</f>
        <v>8.17238521715296E-005</v>
      </c>
      <c r="V6" s="13" t="n">
        <f aca="false">I6*O6*P6</f>
        <v>0</v>
      </c>
      <c r="W6" s="17" t="n">
        <f aca="false">INDEX('HB Evidence'!$I$6:$I$25,MATCH(E6,'HB Evidence'!$A$6:$A$25,0))</f>
        <v>2E-005</v>
      </c>
      <c r="X6" s="17" t="n">
        <f aca="false">I6*W6*N6*P6</f>
        <v>0</v>
      </c>
    </row>
    <row r="7" customFormat="false" ht="15" hidden="false" customHeight="false" outlineLevel="0" collapsed="false">
      <c r="A7" s="5" t="s">
        <v>126</v>
      </c>
      <c r="B7" s="5" t="s">
        <v>46</v>
      </c>
      <c r="C7" s="5" t="s">
        <v>54</v>
      </c>
      <c r="D7" s="5" t="s">
        <v>62</v>
      </c>
      <c r="E7" s="5" t="s">
        <v>80</v>
      </c>
      <c r="F7" s="20" t="n">
        <f aca="false">INDEX(Inputs!$B$15:$B$19,MATCH(B7,Inputs!$A$15:$A$19,0))</f>
        <v>0.8</v>
      </c>
      <c r="G7" s="20" t="n">
        <f aca="false">INDEX(Inputs!$B$23:$B$26,MATCH(C7,Inputs!$A$23:$A$26,0))</f>
        <v>0.35</v>
      </c>
      <c r="H7" s="20" t="n">
        <f aca="false">INDEX(Inputs!$B$30:$B$34,MATCH(D7,Inputs!$A$30:$A$34,0))</f>
        <v>0.2</v>
      </c>
      <c r="I7" s="21" t="n">
        <f aca="false">F7*G7*H7</f>
        <v>0.056</v>
      </c>
      <c r="J7" s="22" t="n">
        <f aca="false">INDEX('HB Evidence'!$F$6:$F$25,MATCH(E7,'HB Evidence'!$A$6:$A$25,0))</f>
        <v>0</v>
      </c>
      <c r="K7" s="22" t="n">
        <f aca="false">INDEX('HB Evidence'!$H$6:$H$25,MATCH(E7,'HB Evidence'!$A$6:$A$25,0))</f>
        <v>0.000648602001361346</v>
      </c>
      <c r="L7" s="15" t="n">
        <v>2000</v>
      </c>
      <c r="M7" s="15" t="n">
        <v>2</v>
      </c>
      <c r="N7" s="23" t="n">
        <f aca="false">M7/L7</f>
        <v>0.001</v>
      </c>
      <c r="O7" s="23" t="n">
        <f aca="false">IF(M7=L7,1,BETAINV(Inputs!$B$10,M7+1,L7-M7))</f>
        <v>0.00611737163154275</v>
      </c>
      <c r="P7" s="24" t="n">
        <v>0.017653</v>
      </c>
      <c r="Q7" s="25" t="n">
        <v>16.19</v>
      </c>
      <c r="R7" s="13" t="n">
        <f aca="false">I7*J7*N7*P7</f>
        <v>0</v>
      </c>
      <c r="S7" s="13" t="n">
        <f aca="false">I7*K7*O7*P7</f>
        <v>3.92238028551678E-009</v>
      </c>
      <c r="T7" s="14" t="n">
        <f aca="false">IF(Summary!$B$6&gt;0,R7/Summary!$B$6,0)</f>
        <v>0</v>
      </c>
      <c r="U7" s="13" t="n">
        <f aca="false">I7*K7</f>
        <v>3.63217120762354E-005</v>
      </c>
      <c r="V7" s="13" t="n">
        <f aca="false">I7*O7*P7</f>
        <v>6.04743783905095E-006</v>
      </c>
      <c r="W7" s="17" t="n">
        <f aca="false">INDEX('HB Evidence'!$I$6:$I$25,MATCH(E7,'HB Evidence'!$A$6:$A$25,0))</f>
        <v>2E-005</v>
      </c>
      <c r="X7" s="17" t="n">
        <f aca="false">I7*W7*N7*P7</f>
        <v>1.977136E-011</v>
      </c>
    </row>
    <row r="8" customFormat="false" ht="15" hidden="false" customHeight="false" outlineLevel="0" collapsed="false">
      <c r="A8" s="5" t="s">
        <v>127</v>
      </c>
      <c r="B8" s="5" t="s">
        <v>46</v>
      </c>
      <c r="C8" s="5" t="s">
        <v>54</v>
      </c>
      <c r="D8" s="5" t="s">
        <v>63</v>
      </c>
      <c r="E8" s="5" t="s">
        <v>80</v>
      </c>
      <c r="F8" s="20" t="n">
        <f aca="false">INDEX(Inputs!$B$15:$B$19,MATCH(B8,Inputs!$A$15:$A$19,0))</f>
        <v>0.8</v>
      </c>
      <c r="G8" s="20" t="n">
        <f aca="false">INDEX(Inputs!$B$23:$B$26,MATCH(C8,Inputs!$A$23:$A$26,0))</f>
        <v>0.35</v>
      </c>
      <c r="H8" s="20" t="n">
        <f aca="false">INDEX(Inputs!$B$30:$B$34,MATCH(D8,Inputs!$A$30:$A$34,0))</f>
        <v>0.15</v>
      </c>
      <c r="I8" s="21" t="n">
        <f aca="false">F8*G8*H8</f>
        <v>0.042</v>
      </c>
      <c r="J8" s="22" t="n">
        <f aca="false">INDEX('HB Evidence'!$F$6:$F$25,MATCH(E8,'HB Evidence'!$A$6:$A$25,0))</f>
        <v>0</v>
      </c>
      <c r="K8" s="22" t="n">
        <f aca="false">INDEX('HB Evidence'!$H$6:$H$25,MATCH(E8,'HB Evidence'!$A$6:$A$25,0))</f>
        <v>0.000648602001361346</v>
      </c>
      <c r="L8" s="15" t="n">
        <v>2000</v>
      </c>
      <c r="M8" s="15" t="n">
        <v>13</v>
      </c>
      <c r="N8" s="23" t="n">
        <f aca="false">M8/L8</f>
        <v>0.0065</v>
      </c>
      <c r="O8" s="23" t="n">
        <f aca="false">IF(M8=L8,1,BETAINV(Inputs!$B$10,M8+1,L8-M8))</f>
        <v>0.0149171900716892</v>
      </c>
      <c r="P8" s="24" t="n">
        <v>0.024706</v>
      </c>
      <c r="Q8" s="25" t="n">
        <v>14.75</v>
      </c>
      <c r="R8" s="13" t="n">
        <f aca="false">I8*J8*N8*P8</f>
        <v>0</v>
      </c>
      <c r="S8" s="13" t="n">
        <f aca="false">I8*K8*O8*P8</f>
        <v>1.00396144587936E-008</v>
      </c>
      <c r="T8" s="14" t="n">
        <f aca="false">IF(Summary!$B$6&gt;0,R8/Summary!$B$6,0)</f>
        <v>0</v>
      </c>
      <c r="U8" s="13" t="n">
        <f aca="false">I8*K8</f>
        <v>2.72412840571765E-005</v>
      </c>
      <c r="V8" s="13" t="n">
        <f aca="false">I8*O8*P8</f>
        <v>1.54788521122685E-005</v>
      </c>
      <c r="W8" s="17" t="n">
        <f aca="false">INDEX('HB Evidence'!$I$6:$I$25,MATCH(E8,'HB Evidence'!$A$6:$A$25,0))</f>
        <v>2E-005</v>
      </c>
      <c r="X8" s="17" t="n">
        <f aca="false">I8*W8*N8*P8</f>
        <v>1.3489476E-010</v>
      </c>
    </row>
    <row r="9" customFormat="false" ht="15" hidden="false" customHeight="false" outlineLevel="0" collapsed="false">
      <c r="A9" s="5" t="s">
        <v>128</v>
      </c>
      <c r="B9" s="5" t="s">
        <v>46</v>
      </c>
      <c r="C9" s="5" t="s">
        <v>54</v>
      </c>
      <c r="D9" s="5" t="s">
        <v>64</v>
      </c>
      <c r="E9" s="5" t="s">
        <v>80</v>
      </c>
      <c r="F9" s="20" t="n">
        <f aca="false">INDEX(Inputs!$B$15:$B$19,MATCH(B9,Inputs!$A$15:$A$19,0))</f>
        <v>0.8</v>
      </c>
      <c r="G9" s="20" t="n">
        <f aca="false">INDEX(Inputs!$B$23:$B$26,MATCH(C9,Inputs!$A$23:$A$26,0))</f>
        <v>0.35</v>
      </c>
      <c r="H9" s="20" t="n">
        <f aca="false">INDEX(Inputs!$B$30:$B$34,MATCH(D9,Inputs!$A$30:$A$34,0))</f>
        <v>0.13</v>
      </c>
      <c r="I9" s="21" t="n">
        <f aca="false">F9*G9*H9</f>
        <v>0.0364</v>
      </c>
      <c r="J9" s="22" t="n">
        <f aca="false">INDEX('HB Evidence'!$F$6:$F$25,MATCH(E9,'HB Evidence'!$A$6:$A$25,0))</f>
        <v>0</v>
      </c>
      <c r="K9" s="22" t="n">
        <f aca="false">INDEX('HB Evidence'!$H$6:$H$25,MATCH(E9,'HB Evidence'!$A$6:$A$25,0))</f>
        <v>0.000648602001361346</v>
      </c>
      <c r="L9" s="15" t="n">
        <v>2000</v>
      </c>
      <c r="M9" s="15" t="n">
        <v>111</v>
      </c>
      <c r="N9" s="23" t="n">
        <f aca="false">M9/L9</f>
        <v>0.0555</v>
      </c>
      <c r="O9" s="23" t="n">
        <f aca="false">IF(M9=L9,1,BETAINV(Inputs!$B$10,M9+1,L9-M9))</f>
        <v>0.0746364068665671</v>
      </c>
      <c r="P9" s="24" t="n">
        <v>0.017816</v>
      </c>
      <c r="Q9" s="25" t="n">
        <v>13.37</v>
      </c>
      <c r="R9" s="13" t="n">
        <f aca="false">I9*J9*N9*P9</f>
        <v>0</v>
      </c>
      <c r="S9" s="13" t="n">
        <f aca="false">I9*K9*O9*P9</f>
        <v>3.13935620623216E-008</v>
      </c>
      <c r="T9" s="14" t="n">
        <f aca="false">IF(Summary!$B$6&gt;0,R9/Summary!$B$6,0)</f>
        <v>0</v>
      </c>
      <c r="U9" s="13" t="n">
        <f aca="false">I9*K9</f>
        <v>2.3609112849553E-005</v>
      </c>
      <c r="V9" s="13" t="n">
        <f aca="false">I9*O9*P9</f>
        <v>4.84018889803453E-005</v>
      </c>
      <c r="W9" s="17" t="n">
        <f aca="false">INDEX('HB Evidence'!$I$6:$I$25,MATCH(E9,'HB Evidence'!$A$6:$A$25,0))</f>
        <v>2E-005</v>
      </c>
      <c r="X9" s="17" t="n">
        <f aca="false">I9*W9*N9*P9</f>
        <v>7.19837664E-010</v>
      </c>
    </row>
    <row r="10" customFormat="false" ht="15" hidden="false" customHeight="false" outlineLevel="0" collapsed="false">
      <c r="A10" s="5" t="s">
        <v>129</v>
      </c>
      <c r="B10" s="5" t="s">
        <v>46</v>
      </c>
      <c r="C10" s="5" t="s">
        <v>54</v>
      </c>
      <c r="D10" s="5" t="s">
        <v>65</v>
      </c>
      <c r="E10" s="5" t="s">
        <v>80</v>
      </c>
      <c r="F10" s="20" t="n">
        <f aca="false">INDEX(Inputs!$B$15:$B$19,MATCH(B10,Inputs!$A$15:$A$19,0))</f>
        <v>0.8</v>
      </c>
      <c r="G10" s="20" t="n">
        <f aca="false">INDEX(Inputs!$B$23:$B$26,MATCH(C10,Inputs!$A$23:$A$26,0))</f>
        <v>0.35</v>
      </c>
      <c r="H10" s="20" t="n">
        <f aca="false">INDEX(Inputs!$B$30:$B$34,MATCH(D10,Inputs!$A$30:$A$34,0))</f>
        <v>0.07</v>
      </c>
      <c r="I10" s="21" t="n">
        <f aca="false">F10*G10*H10</f>
        <v>0.0196</v>
      </c>
      <c r="J10" s="22" t="n">
        <f aca="false">INDEX('HB Evidence'!$F$6:$F$25,MATCH(E10,'HB Evidence'!$A$6:$A$25,0))</f>
        <v>0</v>
      </c>
      <c r="K10" s="22" t="n">
        <f aca="false">INDEX('HB Evidence'!$H$6:$H$25,MATCH(E10,'HB Evidence'!$A$6:$A$25,0))</f>
        <v>0.000648602001361346</v>
      </c>
      <c r="L10" s="15" t="n">
        <v>2000</v>
      </c>
      <c r="M10" s="15" t="n">
        <v>448</v>
      </c>
      <c r="N10" s="23" t="n">
        <f aca="false">M10/L10</f>
        <v>0.224</v>
      </c>
      <c r="O10" s="23" t="n">
        <f aca="false">IF(M10=L10,1,BETAINV(Inputs!$B$10,M10+1,L10-M10))</f>
        <v>0.256446511329802</v>
      </c>
      <c r="P10" s="24" t="n">
        <v>0.018363</v>
      </c>
      <c r="Q10" s="25" t="n">
        <v>14.46</v>
      </c>
      <c r="R10" s="13" t="n">
        <f aca="false">I10*J10*N10*P10</f>
        <v>0</v>
      </c>
      <c r="S10" s="13" t="n">
        <f aca="false">I10*K10*O10*P10</f>
        <v>5.98652479140462E-008</v>
      </c>
      <c r="T10" s="14" t="n">
        <f aca="false">IF(Summary!$B$6&gt;0,R10/Summary!$B$6,0)</f>
        <v>0</v>
      </c>
      <c r="U10" s="13" t="n">
        <f aca="false">I10*K10</f>
        <v>1.27125992266824E-005</v>
      </c>
      <c r="V10" s="13" t="n">
        <f aca="false">I10*O10*P10</f>
        <v>9.22988948359633E-005</v>
      </c>
      <c r="W10" s="17" t="n">
        <f aca="false">INDEX('HB Evidence'!$I$6:$I$25,MATCH(E10,'HB Evidence'!$A$6:$A$25,0))</f>
        <v>2E-005</v>
      </c>
      <c r="X10" s="17" t="n">
        <f aca="false">I10*W10*N10*P10</f>
        <v>1.612418304E-009</v>
      </c>
    </row>
    <row r="11" customFormat="false" ht="15" hidden="false" customHeight="false" outlineLevel="0" collapsed="false">
      <c r="A11" s="5" t="s">
        <v>130</v>
      </c>
      <c r="B11" s="5" t="s">
        <v>46</v>
      </c>
      <c r="C11" s="5" t="s">
        <v>56</v>
      </c>
      <c r="D11" s="5" t="s">
        <v>60</v>
      </c>
      <c r="E11" s="5" t="s">
        <v>81</v>
      </c>
      <c r="F11" s="20" t="n">
        <f aca="false">INDEX(Inputs!$B$15:$B$19,MATCH(B11,Inputs!$A$15:$A$19,0))</f>
        <v>0.8</v>
      </c>
      <c r="G11" s="20" t="n">
        <f aca="false">INDEX(Inputs!$B$23:$B$26,MATCH(C11,Inputs!$A$23:$A$26,0))</f>
        <v>0.4</v>
      </c>
      <c r="H11" s="20" t="n">
        <f aca="false">INDEX(Inputs!$B$30:$B$34,MATCH(D11,Inputs!$A$30:$A$34,0))</f>
        <v>0.45</v>
      </c>
      <c r="I11" s="21" t="n">
        <f aca="false">F11*G11*H11</f>
        <v>0.144</v>
      </c>
      <c r="J11" s="22" t="n">
        <f aca="false">INDEX('HB Evidence'!$F$6:$F$25,MATCH(E11,'HB Evidence'!$A$6:$A$25,0))</f>
        <v>0</v>
      </c>
      <c r="K11" s="22" t="n">
        <f aca="false">INDEX('HB Evidence'!$H$6:$H$25,MATCH(E11,'HB Evidence'!$A$6:$A$25,0))</f>
        <v>0.000555944572595439</v>
      </c>
      <c r="L11" s="15" t="n">
        <v>2000</v>
      </c>
      <c r="M11" s="15" t="n">
        <v>0</v>
      </c>
      <c r="N11" s="23" t="n">
        <f aca="false">M11/L11</f>
        <v>0</v>
      </c>
      <c r="O11" s="23" t="n">
        <f aca="false">IF(M11=L11,1,BETAINV(Inputs!$B$10,M11+1,L11-M11))</f>
        <v>0.00388404949945426</v>
      </c>
      <c r="P11" s="24" t="n">
        <v>0</v>
      </c>
      <c r="Q11" s="25" t="n">
        <v>0</v>
      </c>
      <c r="R11" s="13" t="n">
        <f aca="false">I11*J11*N11*P11</f>
        <v>0</v>
      </c>
      <c r="S11" s="13" t="n">
        <f aca="false">I11*K11*O11*P11</f>
        <v>0</v>
      </c>
      <c r="T11" s="14" t="n">
        <f aca="false">IF(Summary!$B$6&gt;0,R11/Summary!$B$6,0)</f>
        <v>0</v>
      </c>
      <c r="U11" s="13" t="n">
        <f aca="false">I11*K11</f>
        <v>8.00560184537433E-005</v>
      </c>
      <c r="V11" s="13" t="n">
        <f aca="false">I11*O11*P11</f>
        <v>0</v>
      </c>
      <c r="W11" s="17" t="n">
        <f aca="false">INDEX('HB Evidence'!$I$6:$I$25,MATCH(E11,'HB Evidence'!$A$6:$A$25,0))</f>
        <v>2E-005</v>
      </c>
      <c r="X11" s="17" t="n">
        <f aca="false">I11*W11*N11*P11</f>
        <v>0</v>
      </c>
    </row>
    <row r="12" customFormat="false" ht="15" hidden="false" customHeight="false" outlineLevel="0" collapsed="false">
      <c r="A12" s="5" t="s">
        <v>131</v>
      </c>
      <c r="B12" s="5" t="s">
        <v>46</v>
      </c>
      <c r="C12" s="5" t="s">
        <v>56</v>
      </c>
      <c r="D12" s="5" t="s">
        <v>62</v>
      </c>
      <c r="E12" s="5" t="s">
        <v>81</v>
      </c>
      <c r="F12" s="20" t="n">
        <f aca="false">INDEX(Inputs!$B$15:$B$19,MATCH(B12,Inputs!$A$15:$A$19,0))</f>
        <v>0.8</v>
      </c>
      <c r="G12" s="20" t="n">
        <f aca="false">INDEX(Inputs!$B$23:$B$26,MATCH(C12,Inputs!$A$23:$A$26,0))</f>
        <v>0.4</v>
      </c>
      <c r="H12" s="20" t="n">
        <f aca="false">INDEX(Inputs!$B$30:$B$34,MATCH(D12,Inputs!$A$30:$A$34,0))</f>
        <v>0.2</v>
      </c>
      <c r="I12" s="21" t="n">
        <f aca="false">F12*G12*H12</f>
        <v>0.064</v>
      </c>
      <c r="J12" s="22" t="n">
        <f aca="false">INDEX('HB Evidence'!$F$6:$F$25,MATCH(E12,'HB Evidence'!$A$6:$A$25,0))</f>
        <v>0</v>
      </c>
      <c r="K12" s="22" t="n">
        <f aca="false">INDEX('HB Evidence'!$H$6:$H$25,MATCH(E12,'HB Evidence'!$A$6:$A$25,0))</f>
        <v>0.000555944572595439</v>
      </c>
      <c r="L12" s="15" t="n">
        <v>2000</v>
      </c>
      <c r="M12" s="15" t="n">
        <v>1</v>
      </c>
      <c r="N12" s="23" t="n">
        <f aca="false">M12/L12</f>
        <v>0.0005</v>
      </c>
      <c r="O12" s="23" t="n">
        <f aca="false">IF(M12=L12,1,BETAINV(Inputs!$B$10,M12+1,L12-M12))</f>
        <v>0.00508781553003008</v>
      </c>
      <c r="P12" s="24" t="n">
        <v>0.00982</v>
      </c>
      <c r="Q12" s="25" t="n">
        <v>12.71</v>
      </c>
      <c r="R12" s="13" t="n">
        <f aca="false">I12*J12*N12*P12</f>
        <v>0</v>
      </c>
      <c r="S12" s="13" t="n">
        <f aca="false">I12*K12*O12*P12</f>
        <v>1.77768297506678E-009</v>
      </c>
      <c r="T12" s="14" t="n">
        <f aca="false">IF(Summary!$B$6&gt;0,R12/Summary!$B$6,0)</f>
        <v>0</v>
      </c>
      <c r="U12" s="13" t="n">
        <f aca="false">I12*K12</f>
        <v>3.55804526461081E-005</v>
      </c>
      <c r="V12" s="13" t="n">
        <f aca="false">I12*O12*P12</f>
        <v>3.19759030431331E-006</v>
      </c>
      <c r="W12" s="17" t="n">
        <f aca="false">INDEX('HB Evidence'!$I$6:$I$25,MATCH(E12,'HB Evidence'!$A$6:$A$25,0))</f>
        <v>2E-005</v>
      </c>
      <c r="X12" s="17" t="n">
        <f aca="false">I12*W12*N12*P12</f>
        <v>6.2848E-012</v>
      </c>
    </row>
    <row r="13" customFormat="false" ht="15" hidden="false" customHeight="false" outlineLevel="0" collapsed="false">
      <c r="A13" s="5" t="s">
        <v>132</v>
      </c>
      <c r="B13" s="5" t="s">
        <v>46</v>
      </c>
      <c r="C13" s="5" t="s">
        <v>56</v>
      </c>
      <c r="D13" s="5" t="s">
        <v>63</v>
      </c>
      <c r="E13" s="5" t="s">
        <v>81</v>
      </c>
      <c r="F13" s="20" t="n">
        <f aca="false">INDEX(Inputs!$B$15:$B$19,MATCH(B13,Inputs!$A$15:$A$19,0))</f>
        <v>0.8</v>
      </c>
      <c r="G13" s="20" t="n">
        <f aca="false">INDEX(Inputs!$B$23:$B$26,MATCH(C13,Inputs!$A$23:$A$26,0))</f>
        <v>0.4</v>
      </c>
      <c r="H13" s="20" t="n">
        <f aca="false">INDEX(Inputs!$B$30:$B$34,MATCH(D13,Inputs!$A$30:$A$34,0))</f>
        <v>0.15</v>
      </c>
      <c r="I13" s="21" t="n">
        <f aca="false">F13*G13*H13</f>
        <v>0.048</v>
      </c>
      <c r="J13" s="22" t="n">
        <f aca="false">INDEX('HB Evidence'!$F$6:$F$25,MATCH(E13,'HB Evidence'!$A$6:$A$25,0))</f>
        <v>0</v>
      </c>
      <c r="K13" s="22" t="n">
        <f aca="false">INDEX('HB Evidence'!$H$6:$H$25,MATCH(E13,'HB Evidence'!$A$6:$A$25,0))</f>
        <v>0.000555944572595439</v>
      </c>
      <c r="L13" s="15" t="n">
        <v>2000</v>
      </c>
      <c r="M13" s="15" t="n">
        <v>6</v>
      </c>
      <c r="N13" s="23" t="n">
        <f aca="false">M13/L13</f>
        <v>0.003</v>
      </c>
      <c r="O13" s="23" t="n">
        <f aca="false">IF(M13=L13,1,BETAINV(Inputs!$B$10,M13+1,L13-M13))</f>
        <v>0.00962418520988131</v>
      </c>
      <c r="P13" s="24" t="n">
        <v>0.005681</v>
      </c>
      <c r="Q13" s="25" t="n">
        <v>7.65</v>
      </c>
      <c r="R13" s="13" t="n">
        <f aca="false">I13*J13*N13*P13</f>
        <v>0</v>
      </c>
      <c r="S13" s="13" t="n">
        <f aca="false">I13*K13*O13*P13</f>
        <v>1.45902083431038E-009</v>
      </c>
      <c r="T13" s="14" t="n">
        <f aca="false">IF(Summary!$B$6&gt;0,R13/Summary!$B$6,0)</f>
        <v>0</v>
      </c>
      <c r="U13" s="13" t="n">
        <f aca="false">I13*K13</f>
        <v>2.66853394845811E-005</v>
      </c>
      <c r="V13" s="13" t="n">
        <f aca="false">I13*O13*P13</f>
        <v>2.62439981651212E-006</v>
      </c>
      <c r="W13" s="17" t="n">
        <f aca="false">INDEX('HB Evidence'!$I$6:$I$25,MATCH(E13,'HB Evidence'!$A$6:$A$25,0))</f>
        <v>2E-005</v>
      </c>
      <c r="X13" s="17" t="n">
        <f aca="false">I13*W13*N13*P13</f>
        <v>1.636128E-011</v>
      </c>
    </row>
    <row r="14" customFormat="false" ht="15" hidden="false" customHeight="false" outlineLevel="0" collapsed="false">
      <c r="A14" s="5" t="s">
        <v>133</v>
      </c>
      <c r="B14" s="5" t="s">
        <v>46</v>
      </c>
      <c r="C14" s="5" t="s">
        <v>56</v>
      </c>
      <c r="D14" s="5" t="s">
        <v>64</v>
      </c>
      <c r="E14" s="5" t="s">
        <v>81</v>
      </c>
      <c r="F14" s="20" t="n">
        <f aca="false">INDEX(Inputs!$B$15:$B$19,MATCH(B14,Inputs!$A$15:$A$19,0))</f>
        <v>0.8</v>
      </c>
      <c r="G14" s="20" t="n">
        <f aca="false">INDEX(Inputs!$B$23:$B$26,MATCH(C14,Inputs!$A$23:$A$26,0))</f>
        <v>0.4</v>
      </c>
      <c r="H14" s="20" t="n">
        <f aca="false">INDEX(Inputs!$B$30:$B$34,MATCH(D14,Inputs!$A$30:$A$34,0))</f>
        <v>0.13</v>
      </c>
      <c r="I14" s="21" t="n">
        <f aca="false">F14*G14*H14</f>
        <v>0.0416</v>
      </c>
      <c r="J14" s="22" t="n">
        <f aca="false">INDEX('HB Evidence'!$F$6:$F$25,MATCH(E14,'HB Evidence'!$A$6:$A$25,0))</f>
        <v>0</v>
      </c>
      <c r="K14" s="22" t="n">
        <f aca="false">INDEX('HB Evidence'!$H$6:$H$25,MATCH(E14,'HB Evidence'!$A$6:$A$25,0))</f>
        <v>0.000555944572595439</v>
      </c>
      <c r="L14" s="15" t="n">
        <v>2000</v>
      </c>
      <c r="M14" s="15" t="n">
        <v>29</v>
      </c>
      <c r="N14" s="23" t="n">
        <f aca="false">M14/L14</f>
        <v>0.0145</v>
      </c>
      <c r="O14" s="23" t="n">
        <f aca="false">IF(M14=L14,1,BETAINV(Inputs!$B$10,M14+1,L14-M14))</f>
        <v>0.0257253699946604</v>
      </c>
      <c r="P14" s="24" t="n">
        <v>0.033846</v>
      </c>
      <c r="Q14" s="25" t="n">
        <v>17.08</v>
      </c>
      <c r="R14" s="13" t="n">
        <f aca="false">I14*J14*N14*P14</f>
        <v>0</v>
      </c>
      <c r="S14" s="13" t="n">
        <f aca="false">I14*K14*O14*P14</f>
        <v>2.01369552637388E-008</v>
      </c>
      <c r="T14" s="14" t="n">
        <f aca="false">IF(Summary!$B$6&gt;0,R14/Summary!$B$6,0)</f>
        <v>0</v>
      </c>
      <c r="U14" s="13" t="n">
        <f aca="false">I14*K14</f>
        <v>2.31272942199703E-005</v>
      </c>
      <c r="V14" s="13" t="n">
        <f aca="false">I14*O14*P14</f>
        <v>3.62211563101138E-005</v>
      </c>
      <c r="W14" s="17" t="n">
        <f aca="false">INDEX('HB Evidence'!$I$6:$I$25,MATCH(E14,'HB Evidence'!$A$6:$A$25,0))</f>
        <v>2E-005</v>
      </c>
      <c r="X14" s="17" t="n">
        <f aca="false">I14*W14*N14*P14</f>
        <v>4.08318144E-010</v>
      </c>
    </row>
    <row r="15" customFormat="false" ht="15" hidden="false" customHeight="false" outlineLevel="0" collapsed="false">
      <c r="A15" s="5" t="s">
        <v>134</v>
      </c>
      <c r="B15" s="5" t="s">
        <v>46</v>
      </c>
      <c r="C15" s="5" t="s">
        <v>56</v>
      </c>
      <c r="D15" s="5" t="s">
        <v>65</v>
      </c>
      <c r="E15" s="5" t="s">
        <v>81</v>
      </c>
      <c r="F15" s="20" t="n">
        <f aca="false">INDEX(Inputs!$B$15:$B$19,MATCH(B15,Inputs!$A$15:$A$19,0))</f>
        <v>0.8</v>
      </c>
      <c r="G15" s="20" t="n">
        <f aca="false">INDEX(Inputs!$B$23:$B$26,MATCH(C15,Inputs!$A$23:$A$26,0))</f>
        <v>0.4</v>
      </c>
      <c r="H15" s="20" t="n">
        <f aca="false">INDEX(Inputs!$B$30:$B$34,MATCH(D15,Inputs!$A$30:$A$34,0))</f>
        <v>0.07</v>
      </c>
      <c r="I15" s="21" t="n">
        <f aca="false">F15*G15*H15</f>
        <v>0.0224</v>
      </c>
      <c r="J15" s="22" t="n">
        <f aca="false">INDEX('HB Evidence'!$F$6:$F$25,MATCH(E15,'HB Evidence'!$A$6:$A$25,0))</f>
        <v>0</v>
      </c>
      <c r="K15" s="22" t="n">
        <f aca="false">INDEX('HB Evidence'!$H$6:$H$25,MATCH(E15,'HB Evidence'!$A$6:$A$25,0))</f>
        <v>0.000555944572595439</v>
      </c>
      <c r="L15" s="15" t="n">
        <v>2000</v>
      </c>
      <c r="M15" s="15" t="n">
        <v>158</v>
      </c>
      <c r="N15" s="23" t="n">
        <f aca="false">M15/L15</f>
        <v>0.079</v>
      </c>
      <c r="O15" s="23" t="n">
        <f aca="false">IF(M15=L15,1,BETAINV(Inputs!$B$10,M15+1,L15-M15))</f>
        <v>0.10107036457123</v>
      </c>
      <c r="P15" s="24" t="n">
        <v>0.034331</v>
      </c>
      <c r="Q15" s="25" t="n">
        <v>16.83</v>
      </c>
      <c r="R15" s="13" t="n">
        <f aca="false">I15*J15*N15*P15</f>
        <v>0</v>
      </c>
      <c r="S15" s="13" t="n">
        <f aca="false">I15*K15*O15*P15</f>
        <v>4.32105504963493E-008</v>
      </c>
      <c r="T15" s="14" t="n">
        <f aca="false">IF(Summary!$B$6&gt;0,R15/Summary!$B$6,0)</f>
        <v>0</v>
      </c>
      <c r="U15" s="13" t="n">
        <f aca="false">I15*K15</f>
        <v>1.24531584261378E-005</v>
      </c>
      <c r="V15" s="13" t="n">
        <f aca="false">I15*O15*P15</f>
        <v>7.77245657685259E-005</v>
      </c>
      <c r="W15" s="17" t="n">
        <f aca="false">INDEX('HB Evidence'!$I$6:$I$25,MATCH(E15,'HB Evidence'!$A$6:$A$25,0))</f>
        <v>2E-005</v>
      </c>
      <c r="X15" s="17" t="n">
        <f aca="false">I15*W15*N15*P15</f>
        <v>1.215042752E-009</v>
      </c>
    </row>
    <row r="16" customFormat="false" ht="15" hidden="false" customHeight="false" outlineLevel="0" collapsed="false">
      <c r="A16" s="5" t="s">
        <v>135</v>
      </c>
      <c r="B16" s="5" t="s">
        <v>46</v>
      </c>
      <c r="C16" s="5" t="s">
        <v>57</v>
      </c>
      <c r="D16" s="5" t="s">
        <v>60</v>
      </c>
      <c r="E16" s="5" t="s">
        <v>82</v>
      </c>
      <c r="F16" s="20" t="n">
        <f aca="false">INDEX(Inputs!$B$15:$B$19,MATCH(B16,Inputs!$A$15:$A$19,0))</f>
        <v>0.8</v>
      </c>
      <c r="G16" s="20" t="n">
        <f aca="false">INDEX(Inputs!$B$23:$B$26,MATCH(C16,Inputs!$A$23:$A$26,0))</f>
        <v>0.15</v>
      </c>
      <c r="H16" s="20" t="n">
        <f aca="false">INDEX(Inputs!$B$30:$B$34,MATCH(D16,Inputs!$A$30:$A$34,0))</f>
        <v>0.45</v>
      </c>
      <c r="I16" s="21" t="n">
        <f aca="false">F16*G16*H16</f>
        <v>0.054</v>
      </c>
      <c r="J16" s="22" t="n">
        <f aca="false">INDEX('HB Evidence'!$F$6:$F$25,MATCH(E16,'HB Evidence'!$A$6:$A$25,0))</f>
        <v>0</v>
      </c>
      <c r="K16" s="22" t="n">
        <f aca="false">INDEX('HB Evidence'!$H$6:$H$25,MATCH(E16,'HB Evidence'!$A$6:$A$25,0))</f>
        <v>0.00129720400272269</v>
      </c>
      <c r="L16" s="15" t="n">
        <v>2000</v>
      </c>
      <c r="M16" s="15" t="n">
        <v>0</v>
      </c>
      <c r="N16" s="23" t="n">
        <f aca="false">M16/L16</f>
        <v>0</v>
      </c>
      <c r="O16" s="23" t="n">
        <f aca="false">IF(M16=L16,1,BETAINV(Inputs!$B$10,M16+1,L16-M16))</f>
        <v>0.00388404949945426</v>
      </c>
      <c r="P16" s="24" t="n">
        <v>0</v>
      </c>
      <c r="Q16" s="25" t="n">
        <v>0</v>
      </c>
      <c r="R16" s="13" t="n">
        <f aca="false">I16*J16*N16*P16</f>
        <v>0</v>
      </c>
      <c r="S16" s="13" t="n">
        <f aca="false">I16*K16*O16*P16</f>
        <v>0</v>
      </c>
      <c r="T16" s="14" t="n">
        <f aca="false">IF(Summary!$B$6&gt;0,R16/Summary!$B$6,0)</f>
        <v>0</v>
      </c>
      <c r="U16" s="13" t="n">
        <f aca="false">I16*K16</f>
        <v>7.00490161470253E-005</v>
      </c>
      <c r="V16" s="13" t="n">
        <f aca="false">I16*O16*P16</f>
        <v>0</v>
      </c>
      <c r="W16" s="17" t="n">
        <f aca="false">INDEX('HB Evidence'!$I$6:$I$25,MATCH(E16,'HB Evidence'!$A$6:$A$25,0))</f>
        <v>2.4E-005</v>
      </c>
      <c r="X16" s="17" t="n">
        <f aca="false">I16*W16*N16*P16</f>
        <v>0</v>
      </c>
    </row>
    <row r="17" customFormat="false" ht="15" hidden="false" customHeight="false" outlineLevel="0" collapsed="false">
      <c r="A17" s="5" t="s">
        <v>136</v>
      </c>
      <c r="B17" s="5" t="s">
        <v>46</v>
      </c>
      <c r="C17" s="5" t="s">
        <v>57</v>
      </c>
      <c r="D17" s="5" t="s">
        <v>62</v>
      </c>
      <c r="E17" s="5" t="s">
        <v>82</v>
      </c>
      <c r="F17" s="20" t="n">
        <f aca="false">INDEX(Inputs!$B$15:$B$19,MATCH(B17,Inputs!$A$15:$A$19,0))</f>
        <v>0.8</v>
      </c>
      <c r="G17" s="20" t="n">
        <f aca="false">INDEX(Inputs!$B$23:$B$26,MATCH(C17,Inputs!$A$23:$A$26,0))</f>
        <v>0.15</v>
      </c>
      <c r="H17" s="20" t="n">
        <f aca="false">INDEX(Inputs!$B$30:$B$34,MATCH(D17,Inputs!$A$30:$A$34,0))</f>
        <v>0.2</v>
      </c>
      <c r="I17" s="21" t="n">
        <f aca="false">F17*G17*H17</f>
        <v>0.024</v>
      </c>
      <c r="J17" s="22" t="n">
        <f aca="false">INDEX('HB Evidence'!$F$6:$F$25,MATCH(E17,'HB Evidence'!$A$6:$A$25,0))</f>
        <v>0</v>
      </c>
      <c r="K17" s="22" t="n">
        <f aca="false">INDEX('HB Evidence'!$H$6:$H$25,MATCH(E17,'HB Evidence'!$A$6:$A$25,0))</f>
        <v>0.00129720400272269</v>
      </c>
      <c r="L17" s="15" t="n">
        <v>2000</v>
      </c>
      <c r="M17" s="15" t="n">
        <v>1</v>
      </c>
      <c r="N17" s="23" t="n">
        <f aca="false">M17/L17</f>
        <v>0.0005</v>
      </c>
      <c r="O17" s="23" t="n">
        <f aca="false">IF(M17=L17,1,BETAINV(Inputs!$B$10,M17+1,L17-M17))</f>
        <v>0.00508781553003008</v>
      </c>
      <c r="P17" s="24" t="n">
        <v>0.005716</v>
      </c>
      <c r="Q17" s="25" t="n">
        <v>8.89</v>
      </c>
      <c r="R17" s="13" t="n">
        <f aca="false">I17*J17*N17*P17</f>
        <v>0</v>
      </c>
      <c r="S17" s="13" t="n">
        <f aca="false">I17*K17*O17*P17</f>
        <v>9.05405437861151E-010</v>
      </c>
      <c r="T17" s="14" t="n">
        <f aca="false">IF(Summary!$B$6&gt;0,R17/Summary!$B$6,0)</f>
        <v>0</v>
      </c>
      <c r="U17" s="13" t="n">
        <f aca="false">I17*K17</f>
        <v>3.11328960653446E-005</v>
      </c>
      <c r="V17" s="13" t="n">
        <f aca="false">I17*O17*P17</f>
        <v>6.97966885671647E-007</v>
      </c>
      <c r="W17" s="17" t="n">
        <f aca="false">INDEX('HB Evidence'!$I$6:$I$25,MATCH(E17,'HB Evidence'!$A$6:$A$25,0))</f>
        <v>2.4E-005</v>
      </c>
      <c r="X17" s="17" t="n">
        <f aca="false">I17*W17*N17*P17</f>
        <v>1.646208E-012</v>
      </c>
    </row>
    <row r="18" customFormat="false" ht="15" hidden="false" customHeight="false" outlineLevel="0" collapsed="false">
      <c r="A18" s="5" t="s">
        <v>137</v>
      </c>
      <c r="B18" s="5" t="s">
        <v>46</v>
      </c>
      <c r="C18" s="5" t="s">
        <v>57</v>
      </c>
      <c r="D18" s="5" t="s">
        <v>63</v>
      </c>
      <c r="E18" s="5" t="s">
        <v>82</v>
      </c>
      <c r="F18" s="20" t="n">
        <f aca="false">INDEX(Inputs!$B$15:$B$19,MATCH(B18,Inputs!$A$15:$A$19,0))</f>
        <v>0.8</v>
      </c>
      <c r="G18" s="20" t="n">
        <f aca="false">INDEX(Inputs!$B$23:$B$26,MATCH(C18,Inputs!$A$23:$A$26,0))</f>
        <v>0.15</v>
      </c>
      <c r="H18" s="20" t="n">
        <f aca="false">INDEX(Inputs!$B$30:$B$34,MATCH(D18,Inputs!$A$30:$A$34,0))</f>
        <v>0.15</v>
      </c>
      <c r="I18" s="21" t="n">
        <f aca="false">F18*G18*H18</f>
        <v>0.018</v>
      </c>
      <c r="J18" s="22" t="n">
        <f aca="false">INDEX('HB Evidence'!$F$6:$F$25,MATCH(E18,'HB Evidence'!$A$6:$A$25,0))</f>
        <v>0</v>
      </c>
      <c r="K18" s="22" t="n">
        <f aca="false">INDEX('HB Evidence'!$H$6:$H$25,MATCH(E18,'HB Evidence'!$A$6:$A$25,0))</f>
        <v>0.00129720400272269</v>
      </c>
      <c r="L18" s="15" t="n">
        <v>2000</v>
      </c>
      <c r="M18" s="15" t="n">
        <v>1</v>
      </c>
      <c r="N18" s="23" t="n">
        <f aca="false">M18/L18</f>
        <v>0.0005</v>
      </c>
      <c r="O18" s="23" t="n">
        <f aca="false">IF(M18=L18,1,BETAINV(Inputs!$B$10,M18+1,L18-M18))</f>
        <v>0.00508781553003008</v>
      </c>
      <c r="P18" s="24" t="n">
        <v>0.014236</v>
      </c>
      <c r="Q18" s="25" t="n">
        <v>15.34</v>
      </c>
      <c r="R18" s="13" t="n">
        <f aca="false">I18*J18*N18*P18</f>
        <v>0</v>
      </c>
      <c r="S18" s="13" t="n">
        <f aca="false">I18*K18*O18*P18</f>
        <v>1.69122005948977E-009</v>
      </c>
      <c r="T18" s="14" t="n">
        <f aca="false">IF(Summary!$B$6&gt;0,R18/Summary!$B$6,0)</f>
        <v>0</v>
      </c>
      <c r="U18" s="13" t="n">
        <f aca="false">I18*K18</f>
        <v>2.33496720490084E-005</v>
      </c>
      <c r="V18" s="13" t="n">
        <f aca="false">I18*O18*P18</f>
        <v>1.30374255393915E-006</v>
      </c>
      <c r="W18" s="17" t="n">
        <f aca="false">INDEX('HB Evidence'!$I$6:$I$25,MATCH(E18,'HB Evidence'!$A$6:$A$25,0))</f>
        <v>2.4E-005</v>
      </c>
      <c r="X18" s="17" t="n">
        <f aca="false">I18*W18*N18*P18</f>
        <v>3.074976E-012</v>
      </c>
    </row>
    <row r="19" customFormat="false" ht="15" hidden="false" customHeight="false" outlineLevel="0" collapsed="false">
      <c r="A19" s="5" t="s">
        <v>138</v>
      </c>
      <c r="B19" s="5" t="s">
        <v>46</v>
      </c>
      <c r="C19" s="5" t="s">
        <v>57</v>
      </c>
      <c r="D19" s="5" t="s">
        <v>64</v>
      </c>
      <c r="E19" s="5" t="s">
        <v>82</v>
      </c>
      <c r="F19" s="20" t="n">
        <f aca="false">INDEX(Inputs!$B$15:$B$19,MATCH(B19,Inputs!$A$15:$A$19,0))</f>
        <v>0.8</v>
      </c>
      <c r="G19" s="20" t="n">
        <f aca="false">INDEX(Inputs!$B$23:$B$26,MATCH(C19,Inputs!$A$23:$A$26,0))</f>
        <v>0.15</v>
      </c>
      <c r="H19" s="20" t="n">
        <f aca="false">INDEX(Inputs!$B$30:$B$34,MATCH(D19,Inputs!$A$30:$A$34,0))</f>
        <v>0.13</v>
      </c>
      <c r="I19" s="21" t="n">
        <f aca="false">F19*G19*H19</f>
        <v>0.0156</v>
      </c>
      <c r="J19" s="22" t="n">
        <f aca="false">INDEX('HB Evidence'!$F$6:$F$25,MATCH(E19,'HB Evidence'!$A$6:$A$25,0))</f>
        <v>0</v>
      </c>
      <c r="K19" s="22" t="n">
        <f aca="false">INDEX('HB Evidence'!$H$6:$H$25,MATCH(E19,'HB Evidence'!$A$6:$A$25,0))</f>
        <v>0.00129720400272269</v>
      </c>
      <c r="L19" s="15" t="n">
        <v>2000</v>
      </c>
      <c r="M19" s="15" t="n">
        <v>3</v>
      </c>
      <c r="N19" s="23" t="n">
        <f aca="false">M19/L19</f>
        <v>0.0015</v>
      </c>
      <c r="O19" s="23" t="n">
        <f aca="false">IF(M19=L19,1,BETAINV(Inputs!$B$10,M19+1,L19-M19))</f>
        <v>0.00706088286528444</v>
      </c>
      <c r="P19" s="24" t="n">
        <v>0.013405</v>
      </c>
      <c r="Q19" s="25" t="n">
        <v>14.42</v>
      </c>
      <c r="R19" s="13" t="n">
        <f aca="false">I19*J19*N19*P19</f>
        <v>0</v>
      </c>
      <c r="S19" s="13" t="n">
        <f aca="false">I19*K19*O19*P19</f>
        <v>1.91539656261188E-009</v>
      </c>
      <c r="T19" s="14" t="n">
        <f aca="false">IF(Summary!$B$6&gt;0,R19/Summary!$B$6,0)</f>
        <v>0</v>
      </c>
      <c r="U19" s="13" t="n">
        <f aca="false">I19*K19</f>
        <v>2.0236382442474E-005</v>
      </c>
      <c r="V19" s="13" t="n">
        <f aca="false">I19*O19*P19</f>
        <v>1.47655770302255E-006</v>
      </c>
      <c r="W19" s="17" t="n">
        <f aca="false">INDEX('HB Evidence'!$I$6:$I$25,MATCH(E19,'HB Evidence'!$A$6:$A$25,0))</f>
        <v>2.4E-005</v>
      </c>
      <c r="X19" s="17" t="n">
        <f aca="false">I19*W19*N19*P19</f>
        <v>7.528248E-012</v>
      </c>
    </row>
    <row r="20" customFormat="false" ht="15" hidden="false" customHeight="false" outlineLevel="0" collapsed="false">
      <c r="A20" s="5" t="s">
        <v>139</v>
      </c>
      <c r="B20" s="5" t="s">
        <v>46</v>
      </c>
      <c r="C20" s="5" t="s">
        <v>57</v>
      </c>
      <c r="D20" s="5" t="s">
        <v>65</v>
      </c>
      <c r="E20" s="5" t="s">
        <v>82</v>
      </c>
      <c r="F20" s="20" t="n">
        <f aca="false">INDEX(Inputs!$B$15:$B$19,MATCH(B20,Inputs!$A$15:$A$19,0))</f>
        <v>0.8</v>
      </c>
      <c r="G20" s="20" t="n">
        <f aca="false">INDEX(Inputs!$B$23:$B$26,MATCH(C20,Inputs!$A$23:$A$26,0))</f>
        <v>0.15</v>
      </c>
      <c r="H20" s="20" t="n">
        <f aca="false">INDEX(Inputs!$B$30:$B$34,MATCH(D20,Inputs!$A$30:$A$34,0))</f>
        <v>0.07</v>
      </c>
      <c r="I20" s="21" t="n">
        <f aca="false">F20*G20*H20</f>
        <v>0.0084</v>
      </c>
      <c r="J20" s="22" t="n">
        <f aca="false">INDEX('HB Evidence'!$F$6:$F$25,MATCH(E20,'HB Evidence'!$A$6:$A$25,0))</f>
        <v>0</v>
      </c>
      <c r="K20" s="22" t="n">
        <f aca="false">INDEX('HB Evidence'!$H$6:$H$25,MATCH(E20,'HB Evidence'!$A$6:$A$25,0))</f>
        <v>0.00129720400272269</v>
      </c>
      <c r="L20" s="15" t="n">
        <v>2000</v>
      </c>
      <c r="M20" s="15" t="n">
        <v>41</v>
      </c>
      <c r="N20" s="23" t="n">
        <f aca="false">M20/L20</f>
        <v>0.0205</v>
      </c>
      <c r="O20" s="23" t="n">
        <f aca="false">IF(M20=L20,1,BETAINV(Inputs!$B$10,M20+1,L20-M20))</f>
        <v>0.0333268603139731</v>
      </c>
      <c r="P20" s="24" t="n">
        <v>0.070759</v>
      </c>
      <c r="Q20" s="25" t="n">
        <v>21.09</v>
      </c>
      <c r="R20" s="13" t="n">
        <f aca="false">I20*J20*N20*P20</f>
        <v>0</v>
      </c>
      <c r="S20" s="13" t="n">
        <f aca="false">I20*K20*O20*P20</f>
        <v>2.56958893791608E-008</v>
      </c>
      <c r="T20" s="14" t="n">
        <f aca="false">IF(Summary!$B$6&gt;0,R20/Summary!$B$6,0)</f>
        <v>0</v>
      </c>
      <c r="U20" s="13" t="n">
        <f aca="false">I20*K20</f>
        <v>1.08965136228706E-005</v>
      </c>
      <c r="V20" s="13" t="n">
        <f aca="false">I20*O20*P20</f>
        <v>1.9808672595234E-005</v>
      </c>
      <c r="W20" s="17" t="n">
        <f aca="false">INDEX('HB Evidence'!$I$6:$I$25,MATCH(E20,'HB Evidence'!$A$6:$A$25,0))</f>
        <v>2.4E-005</v>
      </c>
      <c r="X20" s="17" t="n">
        <f aca="false">I20*W20*N20*P20</f>
        <v>2.924327952E-010</v>
      </c>
    </row>
    <row r="21" customFormat="false" ht="15" hidden="false" customHeight="false" outlineLevel="0" collapsed="false">
      <c r="A21" s="5" t="s">
        <v>140</v>
      </c>
      <c r="B21" s="5" t="s">
        <v>46</v>
      </c>
      <c r="C21" s="5" t="s">
        <v>58</v>
      </c>
      <c r="D21" s="5" t="s">
        <v>60</v>
      </c>
      <c r="E21" s="5" t="s">
        <v>83</v>
      </c>
      <c r="F21" s="20" t="n">
        <f aca="false">INDEX(Inputs!$B$15:$B$19,MATCH(B21,Inputs!$A$15:$A$19,0))</f>
        <v>0.8</v>
      </c>
      <c r="G21" s="20" t="n">
        <f aca="false">INDEX(Inputs!$B$23:$B$26,MATCH(C21,Inputs!$A$23:$A$26,0))</f>
        <v>0.1</v>
      </c>
      <c r="H21" s="20" t="n">
        <f aca="false">INDEX(Inputs!$B$30:$B$34,MATCH(D21,Inputs!$A$30:$A$34,0))</f>
        <v>0.45</v>
      </c>
      <c r="I21" s="21" t="n">
        <f aca="false">F21*G21*H21</f>
        <v>0.036</v>
      </c>
      <c r="J21" s="22" t="n">
        <f aca="false">INDEX('HB Evidence'!$F$6:$F$25,MATCH(E21,'HB Evidence'!$A$6:$A$25,0))</f>
        <v>0</v>
      </c>
      <c r="K21" s="22" t="n">
        <f aca="false">INDEX('HB Evidence'!$H$6:$H$25,MATCH(E21,'HB Evidence'!$A$6:$A$25,0))</f>
        <v>0.00194580600408404</v>
      </c>
      <c r="L21" s="15" t="n">
        <v>2000</v>
      </c>
      <c r="M21" s="15" t="n">
        <v>0</v>
      </c>
      <c r="N21" s="23" t="n">
        <f aca="false">M21/L21</f>
        <v>0</v>
      </c>
      <c r="O21" s="23" t="n">
        <f aca="false">IF(M21=L21,1,BETAINV(Inputs!$B$10,M21+1,L21-M21))</f>
        <v>0.00388404949945426</v>
      </c>
      <c r="P21" s="24" t="n">
        <v>0</v>
      </c>
      <c r="Q21" s="25" t="n">
        <v>0</v>
      </c>
      <c r="R21" s="13" t="n">
        <f aca="false">I21*J21*N21*P21</f>
        <v>0</v>
      </c>
      <c r="S21" s="13" t="n">
        <f aca="false">I21*K21*O21*P21</f>
        <v>0</v>
      </c>
      <c r="T21" s="14" t="n">
        <f aca="false">IF(Summary!$B$6&gt;0,R21/Summary!$B$6,0)</f>
        <v>0</v>
      </c>
      <c r="U21" s="13" t="n">
        <f aca="false">I21*K21</f>
        <v>7.00490161470254E-005</v>
      </c>
      <c r="V21" s="13" t="n">
        <f aca="false">I21*O21*P21</f>
        <v>0</v>
      </c>
      <c r="W21" s="17" t="n">
        <f aca="false">INDEX('HB Evidence'!$I$6:$I$25,MATCH(E21,'HB Evidence'!$A$6:$A$25,0))</f>
        <v>3E-005</v>
      </c>
      <c r="X21" s="17" t="n">
        <f aca="false">I21*W21*N21*P21</f>
        <v>0</v>
      </c>
    </row>
    <row r="22" customFormat="false" ht="15" hidden="false" customHeight="false" outlineLevel="0" collapsed="false">
      <c r="A22" s="5" t="s">
        <v>141</v>
      </c>
      <c r="B22" s="5" t="s">
        <v>46</v>
      </c>
      <c r="C22" s="5" t="s">
        <v>58</v>
      </c>
      <c r="D22" s="5" t="s">
        <v>62</v>
      </c>
      <c r="E22" s="5" t="s">
        <v>83</v>
      </c>
      <c r="F22" s="20" t="n">
        <f aca="false">INDEX(Inputs!$B$15:$B$19,MATCH(B22,Inputs!$A$15:$A$19,0))</f>
        <v>0.8</v>
      </c>
      <c r="G22" s="20" t="n">
        <f aca="false">INDEX(Inputs!$B$23:$B$26,MATCH(C22,Inputs!$A$23:$A$26,0))</f>
        <v>0.1</v>
      </c>
      <c r="H22" s="20" t="n">
        <f aca="false">INDEX(Inputs!$B$30:$B$34,MATCH(D22,Inputs!$A$30:$A$34,0))</f>
        <v>0.2</v>
      </c>
      <c r="I22" s="21" t="n">
        <f aca="false">F22*G22*H22</f>
        <v>0.016</v>
      </c>
      <c r="J22" s="22" t="n">
        <f aca="false">INDEX('HB Evidence'!$F$6:$F$25,MATCH(E22,'HB Evidence'!$A$6:$A$25,0))</f>
        <v>0</v>
      </c>
      <c r="K22" s="22" t="n">
        <f aca="false">INDEX('HB Evidence'!$H$6:$H$25,MATCH(E22,'HB Evidence'!$A$6:$A$25,0))</f>
        <v>0.00194580600408404</v>
      </c>
      <c r="L22" s="15" t="n">
        <v>2000</v>
      </c>
      <c r="M22" s="15" t="n">
        <v>0</v>
      </c>
      <c r="N22" s="23" t="n">
        <f aca="false">M22/L22</f>
        <v>0</v>
      </c>
      <c r="O22" s="23" t="n">
        <f aca="false">IF(M22=L22,1,BETAINV(Inputs!$B$10,M22+1,L22-M22))</f>
        <v>0.00388404949945426</v>
      </c>
      <c r="P22" s="24" t="n">
        <v>0</v>
      </c>
      <c r="Q22" s="25" t="n">
        <v>0</v>
      </c>
      <c r="R22" s="13" t="n">
        <f aca="false">I22*J22*N22*P22</f>
        <v>0</v>
      </c>
      <c r="S22" s="13" t="n">
        <f aca="false">I22*K22*O22*P22</f>
        <v>0</v>
      </c>
      <c r="T22" s="14" t="n">
        <f aca="false">IF(Summary!$B$6&gt;0,R22/Summary!$B$6,0)</f>
        <v>0</v>
      </c>
      <c r="U22" s="13" t="n">
        <f aca="false">I22*K22</f>
        <v>3.11328960653446E-005</v>
      </c>
      <c r="V22" s="13" t="n">
        <f aca="false">I22*O22*P22</f>
        <v>0</v>
      </c>
      <c r="W22" s="17" t="n">
        <f aca="false">INDEX('HB Evidence'!$I$6:$I$25,MATCH(E22,'HB Evidence'!$A$6:$A$25,0))</f>
        <v>3E-005</v>
      </c>
      <c r="X22" s="17" t="n">
        <f aca="false">I22*W22*N22*P22</f>
        <v>0</v>
      </c>
    </row>
    <row r="23" customFormat="false" ht="15" hidden="false" customHeight="false" outlineLevel="0" collapsed="false">
      <c r="A23" s="5" t="s">
        <v>142</v>
      </c>
      <c r="B23" s="5" t="s">
        <v>46</v>
      </c>
      <c r="C23" s="5" t="s">
        <v>58</v>
      </c>
      <c r="D23" s="5" t="s">
        <v>63</v>
      </c>
      <c r="E23" s="5" t="s">
        <v>83</v>
      </c>
      <c r="F23" s="20" t="n">
        <f aca="false">INDEX(Inputs!$B$15:$B$19,MATCH(B23,Inputs!$A$15:$A$19,0))</f>
        <v>0.8</v>
      </c>
      <c r="G23" s="20" t="n">
        <f aca="false">INDEX(Inputs!$B$23:$B$26,MATCH(C23,Inputs!$A$23:$A$26,0))</f>
        <v>0.1</v>
      </c>
      <c r="H23" s="20" t="n">
        <f aca="false">INDEX(Inputs!$B$30:$B$34,MATCH(D23,Inputs!$A$30:$A$34,0))</f>
        <v>0.15</v>
      </c>
      <c r="I23" s="21" t="n">
        <f aca="false">F23*G23*H23</f>
        <v>0.012</v>
      </c>
      <c r="J23" s="22" t="n">
        <f aca="false">INDEX('HB Evidence'!$F$6:$F$25,MATCH(E23,'HB Evidence'!$A$6:$A$25,0))</f>
        <v>0</v>
      </c>
      <c r="K23" s="22" t="n">
        <f aca="false">INDEX('HB Evidence'!$H$6:$H$25,MATCH(E23,'HB Evidence'!$A$6:$A$25,0))</f>
        <v>0.00194580600408404</v>
      </c>
      <c r="L23" s="15" t="n">
        <v>2000</v>
      </c>
      <c r="M23" s="15" t="n">
        <v>0</v>
      </c>
      <c r="N23" s="23" t="n">
        <f aca="false">M23/L23</f>
        <v>0</v>
      </c>
      <c r="O23" s="23" t="n">
        <f aca="false">IF(M23=L23,1,BETAINV(Inputs!$B$10,M23+1,L23-M23))</f>
        <v>0.00388404949945426</v>
      </c>
      <c r="P23" s="24" t="n">
        <v>0</v>
      </c>
      <c r="Q23" s="25" t="n">
        <v>0</v>
      </c>
      <c r="R23" s="13" t="n">
        <f aca="false">I23*J23*N23*P23</f>
        <v>0</v>
      </c>
      <c r="S23" s="13" t="n">
        <f aca="false">I23*K23*O23*P23</f>
        <v>0</v>
      </c>
      <c r="T23" s="14" t="n">
        <f aca="false">IF(Summary!$B$6&gt;0,R23/Summary!$B$6,0)</f>
        <v>0</v>
      </c>
      <c r="U23" s="13" t="n">
        <f aca="false">I23*K23</f>
        <v>2.33496720490084E-005</v>
      </c>
      <c r="V23" s="13" t="n">
        <f aca="false">I23*O23*P23</f>
        <v>0</v>
      </c>
      <c r="W23" s="17" t="n">
        <f aca="false">INDEX('HB Evidence'!$I$6:$I$25,MATCH(E23,'HB Evidence'!$A$6:$A$25,0))</f>
        <v>3E-005</v>
      </c>
      <c r="X23" s="17" t="n">
        <f aca="false">I23*W23*N23*P23</f>
        <v>0</v>
      </c>
    </row>
    <row r="24" customFormat="false" ht="15" hidden="false" customHeight="false" outlineLevel="0" collapsed="false">
      <c r="A24" s="5" t="s">
        <v>143</v>
      </c>
      <c r="B24" s="5" t="s">
        <v>46</v>
      </c>
      <c r="C24" s="5" t="s">
        <v>58</v>
      </c>
      <c r="D24" s="5" t="s">
        <v>64</v>
      </c>
      <c r="E24" s="5" t="s">
        <v>83</v>
      </c>
      <c r="F24" s="20" t="n">
        <f aca="false">INDEX(Inputs!$B$15:$B$19,MATCH(B24,Inputs!$A$15:$A$19,0))</f>
        <v>0.8</v>
      </c>
      <c r="G24" s="20" t="n">
        <f aca="false">INDEX(Inputs!$B$23:$B$26,MATCH(C24,Inputs!$A$23:$A$26,0))</f>
        <v>0.1</v>
      </c>
      <c r="H24" s="20" t="n">
        <f aca="false">INDEX(Inputs!$B$30:$B$34,MATCH(D24,Inputs!$A$30:$A$34,0))</f>
        <v>0.13</v>
      </c>
      <c r="I24" s="21" t="n">
        <f aca="false">F24*G24*H24</f>
        <v>0.0104</v>
      </c>
      <c r="J24" s="22" t="n">
        <f aca="false">INDEX('HB Evidence'!$F$6:$F$25,MATCH(E24,'HB Evidence'!$A$6:$A$25,0))</f>
        <v>0</v>
      </c>
      <c r="K24" s="22" t="n">
        <f aca="false">INDEX('HB Evidence'!$H$6:$H$25,MATCH(E24,'HB Evidence'!$A$6:$A$25,0))</f>
        <v>0.00194580600408404</v>
      </c>
      <c r="L24" s="15" t="n">
        <v>2000</v>
      </c>
      <c r="M24" s="15" t="n">
        <v>3</v>
      </c>
      <c r="N24" s="23" t="n">
        <f aca="false">M24/L24</f>
        <v>0.0015</v>
      </c>
      <c r="O24" s="23" t="n">
        <f aca="false">IF(M24=L24,1,BETAINV(Inputs!$B$10,M24+1,L24-M24))</f>
        <v>0.00706088286528444</v>
      </c>
      <c r="P24" s="24" t="n">
        <v>0.011826</v>
      </c>
      <c r="Q24" s="25" t="n">
        <v>11.55</v>
      </c>
      <c r="R24" s="13" t="n">
        <f aca="false">I24*J24*N24*P24</f>
        <v>0</v>
      </c>
      <c r="S24" s="13" t="n">
        <f aca="false">I24*K24*O24*P24</f>
        <v>1.68977842218934E-009</v>
      </c>
      <c r="T24" s="14" t="n">
        <f aca="false">IF(Summary!$B$6&gt;0,R24/Summary!$B$6,0)</f>
        <v>0</v>
      </c>
      <c r="U24" s="13" t="n">
        <f aca="false">I24*K24</f>
        <v>2.0236382442474E-005</v>
      </c>
      <c r="V24" s="13" t="n">
        <f aca="false">I24*O24*P24</f>
        <v>8.6842080795448E-007</v>
      </c>
      <c r="W24" s="17" t="n">
        <f aca="false">INDEX('HB Evidence'!$I$6:$I$25,MATCH(E24,'HB Evidence'!$A$6:$A$25,0))</f>
        <v>3E-005</v>
      </c>
      <c r="X24" s="17" t="n">
        <f aca="false">I24*W24*N24*P24</f>
        <v>5.534568E-012</v>
      </c>
    </row>
    <row r="25" customFormat="false" ht="15" hidden="false" customHeight="false" outlineLevel="0" collapsed="false">
      <c r="A25" s="5" t="s">
        <v>144</v>
      </c>
      <c r="B25" s="5" t="s">
        <v>46</v>
      </c>
      <c r="C25" s="5" t="s">
        <v>58</v>
      </c>
      <c r="D25" s="5" t="s">
        <v>65</v>
      </c>
      <c r="E25" s="5" t="s">
        <v>83</v>
      </c>
      <c r="F25" s="20" t="n">
        <f aca="false">INDEX(Inputs!$B$15:$B$19,MATCH(B25,Inputs!$A$15:$A$19,0))</f>
        <v>0.8</v>
      </c>
      <c r="G25" s="20" t="n">
        <f aca="false">INDEX(Inputs!$B$23:$B$26,MATCH(C25,Inputs!$A$23:$A$26,0))</f>
        <v>0.1</v>
      </c>
      <c r="H25" s="20" t="n">
        <f aca="false">INDEX(Inputs!$B$30:$B$34,MATCH(D25,Inputs!$A$30:$A$34,0))</f>
        <v>0.07</v>
      </c>
      <c r="I25" s="21" t="n">
        <f aca="false">F25*G25*H25</f>
        <v>0.0056</v>
      </c>
      <c r="J25" s="22" t="n">
        <f aca="false">INDEX('HB Evidence'!$F$6:$F$25,MATCH(E25,'HB Evidence'!$A$6:$A$25,0))</f>
        <v>0</v>
      </c>
      <c r="K25" s="22" t="n">
        <f aca="false">INDEX('HB Evidence'!$H$6:$H$25,MATCH(E25,'HB Evidence'!$A$6:$A$25,0))</f>
        <v>0.00194580600408404</v>
      </c>
      <c r="L25" s="15" t="n">
        <v>2000</v>
      </c>
      <c r="M25" s="15" t="n">
        <v>16</v>
      </c>
      <c r="N25" s="23" t="n">
        <f aca="false">M25/L25</f>
        <v>0.008</v>
      </c>
      <c r="O25" s="23" t="n">
        <f aca="false">IF(M25=L25,1,BETAINV(Inputs!$B$10,M25+1,L25-M25))</f>
        <v>0.017037979387512</v>
      </c>
      <c r="P25" s="24" t="n">
        <v>0.064405</v>
      </c>
      <c r="Q25" s="25" t="n">
        <v>21.16</v>
      </c>
      <c r="R25" s="13" t="n">
        <f aca="false">I25*J25*N25*P25</f>
        <v>0</v>
      </c>
      <c r="S25" s="13" t="n">
        <f aca="false">I25*K25*O25*P25</f>
        <v>1.1957082870815E-008</v>
      </c>
      <c r="T25" s="14" t="n">
        <f aca="false">IF(Summary!$B$6&gt;0,R25/Summary!$B$6,0)</f>
        <v>0</v>
      </c>
      <c r="U25" s="13" t="n">
        <f aca="false">I25*K25</f>
        <v>1.08965136228706E-005</v>
      </c>
      <c r="V25" s="13" t="n">
        <f aca="false">I25*O25*P25</f>
        <v>6.14505394973518E-006</v>
      </c>
      <c r="W25" s="17" t="n">
        <f aca="false">INDEX('HB Evidence'!$I$6:$I$25,MATCH(E25,'HB Evidence'!$A$6:$A$25,0))</f>
        <v>3E-005</v>
      </c>
      <c r="X25" s="17" t="n">
        <f aca="false">I25*W25*N25*P25</f>
        <v>8.656032E-011</v>
      </c>
    </row>
    <row r="26" customFormat="false" ht="15" hidden="false" customHeight="false" outlineLevel="0" collapsed="false">
      <c r="A26" s="5" t="s">
        <v>145</v>
      </c>
      <c r="B26" s="5" t="s">
        <v>48</v>
      </c>
      <c r="C26" s="5" t="s">
        <v>54</v>
      </c>
      <c r="D26" s="5" t="s">
        <v>60</v>
      </c>
      <c r="E26" s="5" t="s">
        <v>84</v>
      </c>
      <c r="F26" s="20" t="n">
        <f aca="false">INDEX(Inputs!$B$15:$B$19,MATCH(B26,Inputs!$A$15:$A$19,0))</f>
        <v>0.05</v>
      </c>
      <c r="G26" s="20" t="n">
        <f aca="false">INDEX(Inputs!$B$23:$B$26,MATCH(C26,Inputs!$A$23:$A$26,0))</f>
        <v>0.35</v>
      </c>
      <c r="H26" s="20" t="n">
        <f aca="false">INDEX(Inputs!$B$30:$B$34,MATCH(D26,Inputs!$A$30:$A$34,0))</f>
        <v>0.45</v>
      </c>
      <c r="I26" s="21" t="n">
        <f aca="false">F26*G26*H26</f>
        <v>0.007875</v>
      </c>
      <c r="J26" s="22" t="n">
        <f aca="false">INDEX('HB Evidence'!$F$6:$F$25,MATCH(E26,'HB Evidence'!$A$6:$A$25,0))</f>
        <v>0.000333333333333333</v>
      </c>
      <c r="K26" s="22" t="n">
        <f aca="false">INDEX('HB Evidence'!$H$6:$H$25,MATCH(E26,'HB Evidence'!$A$6:$A$25,0))</f>
        <v>0.00339968442025883</v>
      </c>
      <c r="L26" s="15" t="n">
        <v>2000</v>
      </c>
      <c r="M26" s="15" t="n">
        <v>0</v>
      </c>
      <c r="N26" s="23" t="n">
        <f aca="false">M26/L26</f>
        <v>0</v>
      </c>
      <c r="O26" s="23" t="n">
        <f aca="false">IF(M26=L26,1,BETAINV(Inputs!$B$10,M26+1,L26-M26))</f>
        <v>0.00388404949945426</v>
      </c>
      <c r="P26" s="24" t="n">
        <v>0</v>
      </c>
      <c r="Q26" s="25" t="n">
        <v>0</v>
      </c>
      <c r="R26" s="13" t="n">
        <f aca="false">I26*J26*N26*P26</f>
        <v>0</v>
      </c>
      <c r="S26" s="13" t="n">
        <f aca="false">I26*K26*O26*P26</f>
        <v>0</v>
      </c>
      <c r="T26" s="14" t="n">
        <f aca="false">IF(Summary!$B$6&gt;0,R26/Summary!$B$6,0)</f>
        <v>0</v>
      </c>
      <c r="U26" s="13" t="n">
        <f aca="false">I26*K26</f>
        <v>2.67725148095383E-005</v>
      </c>
      <c r="V26" s="13" t="n">
        <f aca="false">I26*O26*P26</f>
        <v>0</v>
      </c>
      <c r="W26" s="17" t="n">
        <f aca="false">INDEX('HB Evidence'!$I$6:$I$25,MATCH(E26,'HB Evidence'!$A$6:$A$25,0))</f>
        <v>0.0004</v>
      </c>
      <c r="X26" s="17" t="n">
        <f aca="false">I26*W26*N26*P26</f>
        <v>0</v>
      </c>
    </row>
    <row r="27" customFormat="false" ht="15" hidden="false" customHeight="false" outlineLevel="0" collapsed="false">
      <c r="A27" s="5" t="s">
        <v>146</v>
      </c>
      <c r="B27" s="5" t="s">
        <v>48</v>
      </c>
      <c r="C27" s="5" t="s">
        <v>54</v>
      </c>
      <c r="D27" s="5" t="s">
        <v>62</v>
      </c>
      <c r="E27" s="5" t="s">
        <v>84</v>
      </c>
      <c r="F27" s="20" t="n">
        <f aca="false">INDEX(Inputs!$B$15:$B$19,MATCH(B27,Inputs!$A$15:$A$19,0))</f>
        <v>0.05</v>
      </c>
      <c r="G27" s="20" t="n">
        <f aca="false">INDEX(Inputs!$B$23:$B$26,MATCH(C27,Inputs!$A$23:$A$26,0))</f>
        <v>0.35</v>
      </c>
      <c r="H27" s="20" t="n">
        <f aca="false">INDEX(Inputs!$B$30:$B$34,MATCH(D27,Inputs!$A$30:$A$34,0))</f>
        <v>0.2</v>
      </c>
      <c r="I27" s="21" t="n">
        <f aca="false">F27*G27*H27</f>
        <v>0.0035</v>
      </c>
      <c r="J27" s="22" t="n">
        <f aca="false">INDEX('HB Evidence'!$F$6:$F$25,MATCH(E27,'HB Evidence'!$A$6:$A$25,0))</f>
        <v>0.000333333333333333</v>
      </c>
      <c r="K27" s="22" t="n">
        <f aca="false">INDEX('HB Evidence'!$H$6:$H$25,MATCH(E27,'HB Evidence'!$A$6:$A$25,0))</f>
        <v>0.00339968442025883</v>
      </c>
      <c r="L27" s="15" t="n">
        <v>2000</v>
      </c>
      <c r="M27" s="15" t="n">
        <v>3</v>
      </c>
      <c r="N27" s="23" t="n">
        <f aca="false">M27/L27</f>
        <v>0.0015</v>
      </c>
      <c r="O27" s="23" t="n">
        <f aca="false">IF(M27=L27,1,BETAINV(Inputs!$B$10,M27+1,L27-M27))</f>
        <v>0.00706088286528444</v>
      </c>
      <c r="P27" s="24" t="n">
        <v>0.019661</v>
      </c>
      <c r="Q27" s="25" t="n">
        <v>17.05</v>
      </c>
      <c r="R27" s="13" t="n">
        <f aca="false">I27*J27*N27*P27</f>
        <v>3.440675E-011</v>
      </c>
      <c r="S27" s="13" t="n">
        <f aca="false">I27*K27*O27*P27</f>
        <v>1.651852479204E-009</v>
      </c>
      <c r="T27" s="14" t="n">
        <f aca="false">IF(Summary!$B$6&gt;0,R27/Summary!$B$6,0)</f>
        <v>0.00208826054832006</v>
      </c>
      <c r="U27" s="13" t="n">
        <f aca="false">I27*K27</f>
        <v>1.18988954709059E-005</v>
      </c>
      <c r="V27" s="13" t="n">
        <f aca="false">I27*O27*P27</f>
        <v>4.85884063050251E-007</v>
      </c>
      <c r="W27" s="17" t="n">
        <f aca="false">INDEX('HB Evidence'!$I$6:$I$25,MATCH(E27,'HB Evidence'!$A$6:$A$25,0))</f>
        <v>0.0004</v>
      </c>
      <c r="X27" s="17" t="n">
        <f aca="false">I27*W27*N27*P27</f>
        <v>4.12881E-011</v>
      </c>
    </row>
    <row r="28" customFormat="false" ht="15" hidden="false" customHeight="false" outlineLevel="0" collapsed="false">
      <c r="A28" s="5" t="s">
        <v>147</v>
      </c>
      <c r="B28" s="5" t="s">
        <v>48</v>
      </c>
      <c r="C28" s="5" t="s">
        <v>54</v>
      </c>
      <c r="D28" s="5" t="s">
        <v>63</v>
      </c>
      <c r="E28" s="5" t="s">
        <v>84</v>
      </c>
      <c r="F28" s="20" t="n">
        <f aca="false">INDEX(Inputs!$B$15:$B$19,MATCH(B28,Inputs!$A$15:$A$19,0))</f>
        <v>0.05</v>
      </c>
      <c r="G28" s="20" t="n">
        <f aca="false">INDEX(Inputs!$B$23:$B$26,MATCH(C28,Inputs!$A$23:$A$26,0))</f>
        <v>0.35</v>
      </c>
      <c r="H28" s="20" t="n">
        <f aca="false">INDEX(Inputs!$B$30:$B$34,MATCH(D28,Inputs!$A$30:$A$34,0))</f>
        <v>0.15</v>
      </c>
      <c r="I28" s="21" t="n">
        <f aca="false">F28*G28*H28</f>
        <v>0.002625</v>
      </c>
      <c r="J28" s="22" t="n">
        <f aca="false">INDEX('HB Evidence'!$F$6:$F$25,MATCH(E28,'HB Evidence'!$A$6:$A$25,0))</f>
        <v>0.000333333333333333</v>
      </c>
      <c r="K28" s="22" t="n">
        <f aca="false">INDEX('HB Evidence'!$H$6:$H$25,MATCH(E28,'HB Evidence'!$A$6:$A$25,0))</f>
        <v>0.00339968442025883</v>
      </c>
      <c r="L28" s="15" t="n">
        <v>2000</v>
      </c>
      <c r="M28" s="15" t="n">
        <v>19</v>
      </c>
      <c r="N28" s="23" t="n">
        <f aca="false">M28/L28</f>
        <v>0.0095</v>
      </c>
      <c r="O28" s="23" t="n">
        <f aca="false">IF(M28=L28,1,BETAINV(Inputs!$B$10,M28+1,L28-M28))</f>
        <v>0.0191043518325695</v>
      </c>
      <c r="P28" s="24" t="n">
        <v>0.017254</v>
      </c>
      <c r="Q28" s="25" t="n">
        <v>12.81</v>
      </c>
      <c r="R28" s="13" t="n">
        <f aca="false">I28*J28*N28*P28</f>
        <v>1.43423875E-010</v>
      </c>
      <c r="S28" s="13" t="n">
        <f aca="false">I28*K28*O28*P28</f>
        <v>2.94164333065004E-009</v>
      </c>
      <c r="T28" s="14" t="n">
        <f aca="false">IF(Summary!$B$6&gt;0,R28/Summary!$B$6,0)</f>
        <v>0.00870487389392161</v>
      </c>
      <c r="U28" s="13" t="n">
        <f aca="false">I28*K28</f>
        <v>8.92417160317943E-006</v>
      </c>
      <c r="V28" s="13" t="n">
        <f aca="false">I28*O28*P28</f>
        <v>8.6526952711278E-007</v>
      </c>
      <c r="W28" s="17" t="n">
        <f aca="false">INDEX('HB Evidence'!$I$6:$I$25,MATCH(E28,'HB Evidence'!$A$6:$A$25,0))</f>
        <v>0.0004</v>
      </c>
      <c r="X28" s="17" t="n">
        <f aca="false">I28*W28*N28*P28</f>
        <v>1.7210865E-010</v>
      </c>
    </row>
    <row r="29" customFormat="false" ht="15" hidden="false" customHeight="false" outlineLevel="0" collapsed="false">
      <c r="A29" s="5" t="s">
        <v>148</v>
      </c>
      <c r="B29" s="5" t="s">
        <v>48</v>
      </c>
      <c r="C29" s="5" t="s">
        <v>54</v>
      </c>
      <c r="D29" s="5" t="s">
        <v>64</v>
      </c>
      <c r="E29" s="5" t="s">
        <v>84</v>
      </c>
      <c r="F29" s="20" t="n">
        <f aca="false">INDEX(Inputs!$B$15:$B$19,MATCH(B29,Inputs!$A$15:$A$19,0))</f>
        <v>0.05</v>
      </c>
      <c r="G29" s="20" t="n">
        <f aca="false">INDEX(Inputs!$B$23:$B$26,MATCH(C29,Inputs!$A$23:$A$26,0))</f>
        <v>0.35</v>
      </c>
      <c r="H29" s="20" t="n">
        <f aca="false">INDEX(Inputs!$B$30:$B$34,MATCH(D29,Inputs!$A$30:$A$34,0))</f>
        <v>0.13</v>
      </c>
      <c r="I29" s="21" t="n">
        <f aca="false">F29*G29*H29</f>
        <v>0.002275</v>
      </c>
      <c r="J29" s="22" t="n">
        <f aca="false">INDEX('HB Evidence'!$F$6:$F$25,MATCH(E29,'HB Evidence'!$A$6:$A$25,0))</f>
        <v>0.000333333333333333</v>
      </c>
      <c r="K29" s="22" t="n">
        <f aca="false">INDEX('HB Evidence'!$H$6:$H$25,MATCH(E29,'HB Evidence'!$A$6:$A$25,0))</f>
        <v>0.00339968442025883</v>
      </c>
      <c r="L29" s="15" t="n">
        <v>2000</v>
      </c>
      <c r="M29" s="15" t="n">
        <v>98</v>
      </c>
      <c r="N29" s="23" t="n">
        <f aca="false">M29/L29</f>
        <v>0.049</v>
      </c>
      <c r="O29" s="23" t="n">
        <f aca="false">IF(M29=L29,1,BETAINV(Inputs!$B$10,M29+1,L29-M29))</f>
        <v>0.0671921364444153</v>
      </c>
      <c r="P29" s="24" t="n">
        <v>0.020634</v>
      </c>
      <c r="Q29" s="25" t="n">
        <v>14.22</v>
      </c>
      <c r="R29" s="13" t="n">
        <f aca="false">I29*J29*N29*P29</f>
        <v>7.6672505E-010</v>
      </c>
      <c r="S29" s="13" t="n">
        <f aca="false">I29*K29*O29*P29</f>
        <v>1.07231376851709E-008</v>
      </c>
      <c r="T29" s="14" t="n">
        <f aca="false">IF(Summary!$B$6&gt;0,R29/Summary!$B$6,0)</f>
        <v>0.0465351035283403</v>
      </c>
      <c r="U29" s="13" t="n">
        <f aca="false">I29*K29</f>
        <v>7.73428205608884E-006</v>
      </c>
      <c r="V29" s="13" t="n">
        <f aca="false">I29*O29*P29</f>
        <v>3.1541567862215E-006</v>
      </c>
      <c r="W29" s="17" t="n">
        <f aca="false">INDEX('HB Evidence'!$I$6:$I$25,MATCH(E29,'HB Evidence'!$A$6:$A$25,0))</f>
        <v>0.0004</v>
      </c>
      <c r="X29" s="17" t="n">
        <f aca="false">I29*W29*N29*P29</f>
        <v>9.2007006E-010</v>
      </c>
    </row>
    <row r="30" customFormat="false" ht="15" hidden="false" customHeight="false" outlineLevel="0" collapsed="false">
      <c r="A30" s="5" t="s">
        <v>149</v>
      </c>
      <c r="B30" s="5" t="s">
        <v>48</v>
      </c>
      <c r="C30" s="5" t="s">
        <v>54</v>
      </c>
      <c r="D30" s="5" t="s">
        <v>65</v>
      </c>
      <c r="E30" s="5" t="s">
        <v>84</v>
      </c>
      <c r="F30" s="20" t="n">
        <f aca="false">INDEX(Inputs!$B$15:$B$19,MATCH(B30,Inputs!$A$15:$A$19,0))</f>
        <v>0.05</v>
      </c>
      <c r="G30" s="20" t="n">
        <f aca="false">INDEX(Inputs!$B$23:$B$26,MATCH(C30,Inputs!$A$23:$A$26,0))</f>
        <v>0.35</v>
      </c>
      <c r="H30" s="20" t="n">
        <f aca="false">INDEX(Inputs!$B$30:$B$34,MATCH(D30,Inputs!$A$30:$A$34,0))</f>
        <v>0.07</v>
      </c>
      <c r="I30" s="21" t="n">
        <f aca="false">F30*G30*H30</f>
        <v>0.001225</v>
      </c>
      <c r="J30" s="22" t="n">
        <f aca="false">INDEX('HB Evidence'!$F$6:$F$25,MATCH(E30,'HB Evidence'!$A$6:$A$25,0))</f>
        <v>0.000333333333333333</v>
      </c>
      <c r="K30" s="22" t="n">
        <f aca="false">INDEX('HB Evidence'!$H$6:$H$25,MATCH(E30,'HB Evidence'!$A$6:$A$25,0))</f>
        <v>0.00339968442025883</v>
      </c>
      <c r="L30" s="15" t="n">
        <v>2000</v>
      </c>
      <c r="M30" s="15" t="n">
        <v>472</v>
      </c>
      <c r="N30" s="23" t="n">
        <f aca="false">M30/L30</f>
        <v>0.236</v>
      </c>
      <c r="O30" s="23" t="n">
        <f aca="false">IF(M30=L30,1,BETAINV(Inputs!$B$10,M30+1,L30-M30))</f>
        <v>0.268972659487064</v>
      </c>
      <c r="P30" s="24" t="n">
        <v>0.01938</v>
      </c>
      <c r="Q30" s="25" t="n">
        <v>14.76</v>
      </c>
      <c r="R30" s="13" t="n">
        <f aca="false">I30*J30*N30*P30</f>
        <v>1.867586E-009</v>
      </c>
      <c r="S30" s="13" t="n">
        <f aca="false">I30*K30*O30*P30</f>
        <v>2.17088392879073E-008</v>
      </c>
      <c r="T30" s="14" t="n">
        <f aca="false">IF(Summary!$B$6&gt;0,R30/Summary!$B$6,0)</f>
        <v>0.11335003057234</v>
      </c>
      <c r="U30" s="13" t="n">
        <f aca="false">I30*K30</f>
        <v>4.16461341481707E-006</v>
      </c>
      <c r="V30" s="13" t="n">
        <f aca="false">I30*O30*P30</f>
        <v>6.38554542255264E-006</v>
      </c>
      <c r="W30" s="17" t="n">
        <f aca="false">INDEX('HB Evidence'!$I$6:$I$25,MATCH(E30,'HB Evidence'!$A$6:$A$25,0))</f>
        <v>0.0004</v>
      </c>
      <c r="X30" s="17" t="n">
        <f aca="false">I30*W30*N30*P30</f>
        <v>2.2411032E-009</v>
      </c>
    </row>
    <row r="31" customFormat="false" ht="15" hidden="false" customHeight="false" outlineLevel="0" collapsed="false">
      <c r="A31" s="5" t="s">
        <v>150</v>
      </c>
      <c r="B31" s="5" t="s">
        <v>48</v>
      </c>
      <c r="C31" s="5" t="s">
        <v>56</v>
      </c>
      <c r="D31" s="5" t="s">
        <v>60</v>
      </c>
      <c r="E31" s="5" t="s">
        <v>85</v>
      </c>
      <c r="F31" s="20" t="n">
        <f aca="false">INDEX(Inputs!$B$15:$B$19,MATCH(B31,Inputs!$A$15:$A$19,0))</f>
        <v>0.05</v>
      </c>
      <c r="G31" s="20" t="n">
        <f aca="false">INDEX(Inputs!$B$23:$B$26,MATCH(C31,Inputs!$A$23:$A$26,0))</f>
        <v>0.4</v>
      </c>
      <c r="H31" s="20" t="n">
        <f aca="false">INDEX(Inputs!$B$30:$B$34,MATCH(D31,Inputs!$A$30:$A$34,0))</f>
        <v>0.45</v>
      </c>
      <c r="I31" s="21" t="n">
        <f aca="false">F31*G31*H31</f>
        <v>0.009</v>
      </c>
      <c r="J31" s="22" t="n">
        <f aca="false">INDEX('HB Evidence'!$F$6:$F$25,MATCH(E31,'HB Evidence'!$A$6:$A$25,0))</f>
        <v>0.00025</v>
      </c>
      <c r="K31" s="22" t="n">
        <f aca="false">INDEX('HB Evidence'!$H$6:$H$25,MATCH(E31,'HB Evidence'!$A$6:$A$25,0))</f>
        <v>0.00254976331519412</v>
      </c>
      <c r="L31" s="15" t="n">
        <v>2000</v>
      </c>
      <c r="M31" s="15" t="n">
        <v>0</v>
      </c>
      <c r="N31" s="23" t="n">
        <f aca="false">M31/L31</f>
        <v>0</v>
      </c>
      <c r="O31" s="23" t="n">
        <f aca="false">IF(M31=L31,1,BETAINV(Inputs!$B$10,M31+1,L31-M31))</f>
        <v>0.00388404949945426</v>
      </c>
      <c r="P31" s="24" t="n">
        <v>0</v>
      </c>
      <c r="Q31" s="25" t="n">
        <v>0</v>
      </c>
      <c r="R31" s="13" t="n">
        <f aca="false">I31*J31*N31*P31</f>
        <v>0</v>
      </c>
      <c r="S31" s="13" t="n">
        <f aca="false">I31*K31*O31*P31</f>
        <v>0</v>
      </c>
      <c r="T31" s="14" t="n">
        <f aca="false">IF(Summary!$B$6&gt;0,R31/Summary!$B$6,0)</f>
        <v>0</v>
      </c>
      <c r="U31" s="13" t="n">
        <f aca="false">I31*K31</f>
        <v>2.29478698367471E-005</v>
      </c>
      <c r="V31" s="13" t="n">
        <f aca="false">I31*O31*P31</f>
        <v>0</v>
      </c>
      <c r="W31" s="17" t="n">
        <f aca="false">INDEX('HB Evidence'!$I$6:$I$25,MATCH(E31,'HB Evidence'!$A$6:$A$25,0))</f>
        <v>0.0004</v>
      </c>
      <c r="X31" s="17" t="n">
        <f aca="false">I31*W31*N31*P31</f>
        <v>0</v>
      </c>
    </row>
    <row r="32" customFormat="false" ht="15" hidden="false" customHeight="false" outlineLevel="0" collapsed="false">
      <c r="A32" s="5" t="s">
        <v>151</v>
      </c>
      <c r="B32" s="5" t="s">
        <v>48</v>
      </c>
      <c r="C32" s="5" t="s">
        <v>56</v>
      </c>
      <c r="D32" s="5" t="s">
        <v>62</v>
      </c>
      <c r="E32" s="5" t="s">
        <v>85</v>
      </c>
      <c r="F32" s="20" t="n">
        <f aca="false">INDEX(Inputs!$B$15:$B$19,MATCH(B32,Inputs!$A$15:$A$19,0))</f>
        <v>0.05</v>
      </c>
      <c r="G32" s="20" t="n">
        <f aca="false">INDEX(Inputs!$B$23:$B$26,MATCH(C32,Inputs!$A$23:$A$26,0))</f>
        <v>0.4</v>
      </c>
      <c r="H32" s="20" t="n">
        <f aca="false">INDEX(Inputs!$B$30:$B$34,MATCH(D32,Inputs!$A$30:$A$34,0))</f>
        <v>0.2</v>
      </c>
      <c r="I32" s="21" t="n">
        <f aca="false">F32*G32*H32</f>
        <v>0.004</v>
      </c>
      <c r="J32" s="22" t="n">
        <f aca="false">INDEX('HB Evidence'!$F$6:$F$25,MATCH(E32,'HB Evidence'!$A$6:$A$25,0))</f>
        <v>0.00025</v>
      </c>
      <c r="K32" s="22" t="n">
        <f aca="false">INDEX('HB Evidence'!$H$6:$H$25,MATCH(E32,'HB Evidence'!$A$6:$A$25,0))</f>
        <v>0.00254976331519412</v>
      </c>
      <c r="L32" s="15" t="n">
        <v>2000</v>
      </c>
      <c r="M32" s="15" t="n">
        <v>0</v>
      </c>
      <c r="N32" s="23" t="n">
        <f aca="false">M32/L32</f>
        <v>0</v>
      </c>
      <c r="O32" s="23" t="n">
        <f aca="false">IF(M32=L32,1,BETAINV(Inputs!$B$10,M32+1,L32-M32))</f>
        <v>0.00388404949945426</v>
      </c>
      <c r="P32" s="24" t="n">
        <v>0</v>
      </c>
      <c r="Q32" s="25" t="n">
        <v>0</v>
      </c>
      <c r="R32" s="13" t="n">
        <f aca="false">I32*J32*N32*P32</f>
        <v>0</v>
      </c>
      <c r="S32" s="13" t="n">
        <f aca="false">I32*K32*O32*P32</f>
        <v>0</v>
      </c>
      <c r="T32" s="14" t="n">
        <f aca="false">IF(Summary!$B$6&gt;0,R32/Summary!$B$6,0)</f>
        <v>0</v>
      </c>
      <c r="U32" s="13" t="n">
        <f aca="false">I32*K32</f>
        <v>1.01990532607765E-005</v>
      </c>
      <c r="V32" s="13" t="n">
        <f aca="false">I32*O32*P32</f>
        <v>0</v>
      </c>
      <c r="W32" s="17" t="n">
        <f aca="false">INDEX('HB Evidence'!$I$6:$I$25,MATCH(E32,'HB Evidence'!$A$6:$A$25,0))</f>
        <v>0.0004</v>
      </c>
      <c r="X32" s="17" t="n">
        <f aca="false">I32*W32*N32*P32</f>
        <v>0</v>
      </c>
    </row>
    <row r="33" customFormat="false" ht="15" hidden="false" customHeight="false" outlineLevel="0" collapsed="false">
      <c r="A33" s="5" t="s">
        <v>152</v>
      </c>
      <c r="B33" s="5" t="s">
        <v>48</v>
      </c>
      <c r="C33" s="5" t="s">
        <v>56</v>
      </c>
      <c r="D33" s="5" t="s">
        <v>63</v>
      </c>
      <c r="E33" s="5" t="s">
        <v>85</v>
      </c>
      <c r="F33" s="20" t="n">
        <f aca="false">INDEX(Inputs!$B$15:$B$19,MATCH(B33,Inputs!$A$15:$A$19,0))</f>
        <v>0.05</v>
      </c>
      <c r="G33" s="20" t="n">
        <f aca="false">INDEX(Inputs!$B$23:$B$26,MATCH(C33,Inputs!$A$23:$A$26,0))</f>
        <v>0.4</v>
      </c>
      <c r="H33" s="20" t="n">
        <f aca="false">INDEX(Inputs!$B$30:$B$34,MATCH(D33,Inputs!$A$30:$A$34,0))</f>
        <v>0.15</v>
      </c>
      <c r="I33" s="21" t="n">
        <f aca="false">F33*G33*H33</f>
        <v>0.003</v>
      </c>
      <c r="J33" s="22" t="n">
        <f aca="false">INDEX('HB Evidence'!$F$6:$F$25,MATCH(E33,'HB Evidence'!$A$6:$A$25,0))</f>
        <v>0.00025</v>
      </c>
      <c r="K33" s="22" t="n">
        <f aca="false">INDEX('HB Evidence'!$H$6:$H$25,MATCH(E33,'HB Evidence'!$A$6:$A$25,0))</f>
        <v>0.00254976331519412</v>
      </c>
      <c r="L33" s="15" t="n">
        <v>2000</v>
      </c>
      <c r="M33" s="15" t="n">
        <v>3</v>
      </c>
      <c r="N33" s="23" t="n">
        <f aca="false">M33/L33</f>
        <v>0.0015</v>
      </c>
      <c r="O33" s="23" t="n">
        <f aca="false">IF(M33=L33,1,BETAINV(Inputs!$B$10,M33+1,L33-M33))</f>
        <v>0.00706088286528444</v>
      </c>
      <c r="P33" s="24" t="n">
        <v>0.033546</v>
      </c>
      <c r="Q33" s="25" t="n">
        <v>16.58</v>
      </c>
      <c r="R33" s="13" t="n">
        <f aca="false">I33*J33*N33*P33</f>
        <v>3.773925E-011</v>
      </c>
      <c r="S33" s="13" t="n">
        <f aca="false">I33*K33*O33*P33</f>
        <v>1.81184429438408E-009</v>
      </c>
      <c r="T33" s="14" t="n">
        <f aca="false">IF(Summary!$B$6&gt;0,R33/Summary!$B$6,0)</f>
        <v>0.00229052110118473</v>
      </c>
      <c r="U33" s="13" t="n">
        <f aca="false">I33*K33</f>
        <v>7.64928994558237E-006</v>
      </c>
      <c r="V33" s="13" t="n">
        <f aca="false">I33*O33*P33</f>
        <v>7.10593129796496E-007</v>
      </c>
      <c r="W33" s="17" t="n">
        <f aca="false">INDEX('HB Evidence'!$I$6:$I$25,MATCH(E33,'HB Evidence'!$A$6:$A$25,0))</f>
        <v>0.0004</v>
      </c>
      <c r="X33" s="17" t="n">
        <f aca="false">I33*W33*N33*P33</f>
        <v>6.03828E-011</v>
      </c>
    </row>
    <row r="34" customFormat="false" ht="15" hidden="false" customHeight="false" outlineLevel="0" collapsed="false">
      <c r="A34" s="5" t="s">
        <v>153</v>
      </c>
      <c r="B34" s="5" t="s">
        <v>48</v>
      </c>
      <c r="C34" s="5" t="s">
        <v>56</v>
      </c>
      <c r="D34" s="5" t="s">
        <v>64</v>
      </c>
      <c r="E34" s="5" t="s">
        <v>85</v>
      </c>
      <c r="F34" s="20" t="n">
        <f aca="false">INDEX(Inputs!$B$15:$B$19,MATCH(B34,Inputs!$A$15:$A$19,0))</f>
        <v>0.05</v>
      </c>
      <c r="G34" s="20" t="n">
        <f aca="false">INDEX(Inputs!$B$23:$B$26,MATCH(C34,Inputs!$A$23:$A$26,0))</f>
        <v>0.4</v>
      </c>
      <c r="H34" s="20" t="n">
        <f aca="false">INDEX(Inputs!$B$30:$B$34,MATCH(D34,Inputs!$A$30:$A$34,0))</f>
        <v>0.13</v>
      </c>
      <c r="I34" s="21" t="n">
        <f aca="false">F34*G34*H34</f>
        <v>0.0026</v>
      </c>
      <c r="J34" s="22" t="n">
        <f aca="false">INDEX('HB Evidence'!$F$6:$F$25,MATCH(E34,'HB Evidence'!$A$6:$A$25,0))</f>
        <v>0.00025</v>
      </c>
      <c r="K34" s="22" t="n">
        <f aca="false">INDEX('HB Evidence'!$H$6:$H$25,MATCH(E34,'HB Evidence'!$A$6:$A$25,0))</f>
        <v>0.00254976331519412</v>
      </c>
      <c r="L34" s="15" t="n">
        <v>2000</v>
      </c>
      <c r="M34" s="15" t="n">
        <v>18</v>
      </c>
      <c r="N34" s="23" t="n">
        <f aca="false">M34/L34</f>
        <v>0.009</v>
      </c>
      <c r="O34" s="23" t="n">
        <f aca="false">IF(M34=L34,1,BETAINV(Inputs!$B$10,M34+1,L34-M34))</f>
        <v>0.0184207828742698</v>
      </c>
      <c r="P34" s="24" t="n">
        <v>0.034225</v>
      </c>
      <c r="Q34" s="25" t="n">
        <v>17.43</v>
      </c>
      <c r="R34" s="13" t="n">
        <f aca="false">I34*J34*N34*P34</f>
        <v>2.0021625E-010</v>
      </c>
      <c r="S34" s="13" t="n">
        <f aca="false">I34*K34*O34*P34</f>
        <v>4.17950411094112E-009</v>
      </c>
      <c r="T34" s="14" t="n">
        <f aca="false">IF(Summary!$B$6&gt;0,R34/Summary!$B$6,0)</f>
        <v>0.0121517927734408</v>
      </c>
      <c r="U34" s="13" t="n">
        <f aca="false">I34*K34</f>
        <v>6.62938461950473E-006</v>
      </c>
      <c r="V34" s="13" t="n">
        <f aca="false">I34*O34*P34</f>
        <v>1.6391733640669E-006</v>
      </c>
      <c r="W34" s="17" t="n">
        <f aca="false">INDEX('HB Evidence'!$I$6:$I$25,MATCH(E34,'HB Evidence'!$A$6:$A$25,0))</f>
        <v>0.0004</v>
      </c>
      <c r="X34" s="17" t="n">
        <f aca="false">I34*W34*N34*P34</f>
        <v>3.20346E-010</v>
      </c>
    </row>
    <row r="35" customFormat="false" ht="15" hidden="false" customHeight="false" outlineLevel="0" collapsed="false">
      <c r="A35" s="5" t="s">
        <v>154</v>
      </c>
      <c r="B35" s="5" t="s">
        <v>48</v>
      </c>
      <c r="C35" s="5" t="s">
        <v>56</v>
      </c>
      <c r="D35" s="5" t="s">
        <v>65</v>
      </c>
      <c r="E35" s="5" t="s">
        <v>85</v>
      </c>
      <c r="F35" s="20" t="n">
        <f aca="false">INDEX(Inputs!$B$15:$B$19,MATCH(B35,Inputs!$A$15:$A$19,0))</f>
        <v>0.05</v>
      </c>
      <c r="G35" s="20" t="n">
        <f aca="false">INDEX(Inputs!$B$23:$B$26,MATCH(C35,Inputs!$A$23:$A$26,0))</f>
        <v>0.4</v>
      </c>
      <c r="H35" s="20" t="n">
        <f aca="false">INDEX(Inputs!$B$30:$B$34,MATCH(D35,Inputs!$A$30:$A$34,0))</f>
        <v>0.07</v>
      </c>
      <c r="I35" s="21" t="n">
        <f aca="false">F35*G35*H35</f>
        <v>0.0014</v>
      </c>
      <c r="J35" s="22" t="n">
        <f aca="false">INDEX('HB Evidence'!$F$6:$F$25,MATCH(E35,'HB Evidence'!$A$6:$A$25,0))</f>
        <v>0.00025</v>
      </c>
      <c r="K35" s="22" t="n">
        <f aca="false">INDEX('HB Evidence'!$H$6:$H$25,MATCH(E35,'HB Evidence'!$A$6:$A$25,0))</f>
        <v>0.00254976331519412</v>
      </c>
      <c r="L35" s="15" t="n">
        <v>2000</v>
      </c>
      <c r="M35" s="15" t="n">
        <v>167</v>
      </c>
      <c r="N35" s="23" t="n">
        <f aca="false">M35/L35</f>
        <v>0.0835</v>
      </c>
      <c r="O35" s="23" t="n">
        <f aca="false">IF(M35=L35,1,BETAINV(Inputs!$B$10,M35+1,L35-M35))</f>
        <v>0.106064927145487</v>
      </c>
      <c r="P35" s="24" t="n">
        <v>0.031278</v>
      </c>
      <c r="Q35" s="25" t="n">
        <v>17.28</v>
      </c>
      <c r="R35" s="13" t="n">
        <f aca="false">I35*J35*N35*P35</f>
        <v>9.1409955E-010</v>
      </c>
      <c r="S35" s="13" t="n">
        <f aca="false">I35*K35*O35*P35</f>
        <v>1.18423714026055E-008</v>
      </c>
      <c r="T35" s="14" t="n">
        <f aca="false">IF(Summary!$B$6&gt;0,R35/Summary!$B$6,0)</f>
        <v>0.055479754045416</v>
      </c>
      <c r="U35" s="13" t="n">
        <f aca="false">I35*K35</f>
        <v>3.56966864127178E-006</v>
      </c>
      <c r="V35" s="13" t="n">
        <f aca="false">I35*O35*P35</f>
        <v>4.64449830775915E-006</v>
      </c>
      <c r="W35" s="17" t="n">
        <f aca="false">INDEX('HB Evidence'!$I$6:$I$25,MATCH(E35,'HB Evidence'!$A$6:$A$25,0))</f>
        <v>0.0004</v>
      </c>
      <c r="X35" s="17" t="n">
        <f aca="false">I35*W35*N35*P35</f>
        <v>1.46255928E-009</v>
      </c>
    </row>
    <row r="36" customFormat="false" ht="15" hidden="false" customHeight="false" outlineLevel="0" collapsed="false">
      <c r="A36" s="5" t="s">
        <v>155</v>
      </c>
      <c r="B36" s="5" t="s">
        <v>48</v>
      </c>
      <c r="C36" s="5" t="s">
        <v>57</v>
      </c>
      <c r="D36" s="5" t="s">
        <v>60</v>
      </c>
      <c r="E36" s="5" t="s">
        <v>86</v>
      </c>
      <c r="F36" s="20" t="n">
        <f aca="false">INDEX(Inputs!$B$15:$B$19,MATCH(B36,Inputs!$A$15:$A$19,0))</f>
        <v>0.05</v>
      </c>
      <c r="G36" s="20" t="n">
        <f aca="false">INDEX(Inputs!$B$23:$B$26,MATCH(C36,Inputs!$A$23:$A$26,0))</f>
        <v>0.15</v>
      </c>
      <c r="H36" s="20" t="n">
        <f aca="false">INDEX(Inputs!$B$30:$B$34,MATCH(D36,Inputs!$A$30:$A$34,0))</f>
        <v>0.45</v>
      </c>
      <c r="I36" s="21" t="n">
        <f aca="false">F36*G36*H36</f>
        <v>0.003375</v>
      </c>
      <c r="J36" s="22" t="n">
        <f aca="false">INDEX('HB Evidence'!$F$6:$F$25,MATCH(E36,'HB Evidence'!$A$6:$A$25,0))</f>
        <v>0.0004</v>
      </c>
      <c r="K36" s="22" t="n">
        <f aca="false">INDEX('HB Evidence'!$H$6:$H$25,MATCH(E36,'HB Evidence'!$A$6:$A$25,0))</f>
        <v>0.0040796213043106</v>
      </c>
      <c r="L36" s="15" t="n">
        <v>2000</v>
      </c>
      <c r="M36" s="15" t="n">
        <v>0</v>
      </c>
      <c r="N36" s="23" t="n">
        <f aca="false">M36/L36</f>
        <v>0</v>
      </c>
      <c r="O36" s="23" t="n">
        <f aca="false">IF(M36=L36,1,BETAINV(Inputs!$B$10,M36+1,L36-M36))</f>
        <v>0.00388404949945426</v>
      </c>
      <c r="P36" s="24" t="n">
        <v>0</v>
      </c>
      <c r="Q36" s="25" t="n">
        <v>0</v>
      </c>
      <c r="R36" s="13" t="n">
        <f aca="false">I36*J36*N36*P36</f>
        <v>0</v>
      </c>
      <c r="S36" s="13" t="n">
        <f aca="false">I36*K36*O36*P36</f>
        <v>0</v>
      </c>
      <c r="T36" s="14" t="n">
        <f aca="false">IF(Summary!$B$6&gt;0,R36/Summary!$B$6,0)</f>
        <v>0</v>
      </c>
      <c r="U36" s="13" t="n">
        <f aca="false">I36*K36</f>
        <v>1.37687219020483E-005</v>
      </c>
      <c r="V36" s="13" t="n">
        <f aca="false">I36*O36*P36</f>
        <v>0</v>
      </c>
      <c r="W36" s="17" t="n">
        <f aca="false">INDEX('HB Evidence'!$I$6:$I$25,MATCH(E36,'HB Evidence'!$A$6:$A$25,0))</f>
        <v>0.00048</v>
      </c>
      <c r="X36" s="17" t="n">
        <f aca="false">I36*W36*N36*P36</f>
        <v>0</v>
      </c>
    </row>
    <row r="37" customFormat="false" ht="15" hidden="false" customHeight="false" outlineLevel="0" collapsed="false">
      <c r="A37" s="5" t="s">
        <v>156</v>
      </c>
      <c r="B37" s="5" t="s">
        <v>48</v>
      </c>
      <c r="C37" s="5" t="s">
        <v>57</v>
      </c>
      <c r="D37" s="5" t="s">
        <v>62</v>
      </c>
      <c r="E37" s="5" t="s">
        <v>86</v>
      </c>
      <c r="F37" s="20" t="n">
        <f aca="false">INDEX(Inputs!$B$15:$B$19,MATCH(B37,Inputs!$A$15:$A$19,0))</f>
        <v>0.05</v>
      </c>
      <c r="G37" s="20" t="n">
        <f aca="false">INDEX(Inputs!$B$23:$B$26,MATCH(C37,Inputs!$A$23:$A$26,0))</f>
        <v>0.15</v>
      </c>
      <c r="H37" s="20" t="n">
        <f aca="false">INDEX(Inputs!$B$30:$B$34,MATCH(D37,Inputs!$A$30:$A$34,0))</f>
        <v>0.2</v>
      </c>
      <c r="I37" s="21" t="n">
        <f aca="false">F37*G37*H37</f>
        <v>0.0015</v>
      </c>
      <c r="J37" s="22" t="n">
        <f aca="false">INDEX('HB Evidence'!$F$6:$F$25,MATCH(E37,'HB Evidence'!$A$6:$A$25,0))</f>
        <v>0.0004</v>
      </c>
      <c r="K37" s="22" t="n">
        <f aca="false">INDEX('HB Evidence'!$H$6:$H$25,MATCH(E37,'HB Evidence'!$A$6:$A$25,0))</f>
        <v>0.0040796213043106</v>
      </c>
      <c r="L37" s="15" t="n">
        <v>2000</v>
      </c>
      <c r="M37" s="15" t="n">
        <v>0</v>
      </c>
      <c r="N37" s="23" t="n">
        <f aca="false">M37/L37</f>
        <v>0</v>
      </c>
      <c r="O37" s="23" t="n">
        <f aca="false">IF(M37=L37,1,BETAINV(Inputs!$B$10,M37+1,L37-M37))</f>
        <v>0.00388404949945426</v>
      </c>
      <c r="P37" s="24" t="n">
        <v>0</v>
      </c>
      <c r="Q37" s="25" t="n">
        <v>0</v>
      </c>
      <c r="R37" s="13" t="n">
        <f aca="false">I37*J37*N37*P37</f>
        <v>0</v>
      </c>
      <c r="S37" s="13" t="n">
        <f aca="false">I37*K37*O37*P37</f>
        <v>0</v>
      </c>
      <c r="T37" s="14" t="n">
        <f aca="false">IF(Summary!$B$6&gt;0,R37/Summary!$B$6,0)</f>
        <v>0</v>
      </c>
      <c r="U37" s="13" t="n">
        <f aca="false">I37*K37</f>
        <v>6.1194319564659E-006</v>
      </c>
      <c r="V37" s="13" t="n">
        <f aca="false">I37*O37*P37</f>
        <v>0</v>
      </c>
      <c r="W37" s="17" t="n">
        <f aca="false">INDEX('HB Evidence'!$I$6:$I$25,MATCH(E37,'HB Evidence'!$A$6:$A$25,0))</f>
        <v>0.00048</v>
      </c>
      <c r="X37" s="17" t="n">
        <f aca="false">I37*W37*N37*P37</f>
        <v>0</v>
      </c>
    </row>
    <row r="38" customFormat="false" ht="15" hidden="false" customHeight="false" outlineLevel="0" collapsed="false">
      <c r="A38" s="5" t="s">
        <v>157</v>
      </c>
      <c r="B38" s="5" t="s">
        <v>48</v>
      </c>
      <c r="C38" s="5" t="s">
        <v>57</v>
      </c>
      <c r="D38" s="5" t="s">
        <v>63</v>
      </c>
      <c r="E38" s="5" t="s">
        <v>86</v>
      </c>
      <c r="F38" s="20" t="n">
        <f aca="false">INDEX(Inputs!$B$15:$B$19,MATCH(B38,Inputs!$A$15:$A$19,0))</f>
        <v>0.05</v>
      </c>
      <c r="G38" s="20" t="n">
        <f aca="false">INDEX(Inputs!$B$23:$B$26,MATCH(C38,Inputs!$A$23:$A$26,0))</f>
        <v>0.15</v>
      </c>
      <c r="H38" s="20" t="n">
        <f aca="false">INDEX(Inputs!$B$30:$B$34,MATCH(D38,Inputs!$A$30:$A$34,0))</f>
        <v>0.15</v>
      </c>
      <c r="I38" s="21" t="n">
        <f aca="false">F38*G38*H38</f>
        <v>0.001125</v>
      </c>
      <c r="J38" s="22" t="n">
        <f aca="false">INDEX('HB Evidence'!$F$6:$F$25,MATCH(E38,'HB Evidence'!$A$6:$A$25,0))</f>
        <v>0.0004</v>
      </c>
      <c r="K38" s="22" t="n">
        <f aca="false">INDEX('HB Evidence'!$H$6:$H$25,MATCH(E38,'HB Evidence'!$A$6:$A$25,0))</f>
        <v>0.0040796213043106</v>
      </c>
      <c r="L38" s="15" t="n">
        <v>2000</v>
      </c>
      <c r="M38" s="15" t="n">
        <v>1</v>
      </c>
      <c r="N38" s="23" t="n">
        <f aca="false">M38/L38</f>
        <v>0.0005</v>
      </c>
      <c r="O38" s="23" t="n">
        <f aca="false">IF(M38=L38,1,BETAINV(Inputs!$B$10,M38+1,L38-M38))</f>
        <v>0.00508781553003008</v>
      </c>
      <c r="P38" s="24" t="n">
        <v>0.007278</v>
      </c>
      <c r="Q38" s="25" t="n">
        <v>10.59</v>
      </c>
      <c r="R38" s="13" t="n">
        <f aca="false">I38*J38*N38*P38</f>
        <v>1.63755E-012</v>
      </c>
      <c r="S38" s="13" t="n">
        <f aca="false">I38*K38*O38*P38</f>
        <v>1.69947891737745E-010</v>
      </c>
      <c r="T38" s="14" t="n">
        <f aca="false">IF(Summary!$B$6&gt;0,R38/Summary!$B$6,0)</f>
        <v>9.9388377597463E-005</v>
      </c>
      <c r="U38" s="13" t="n">
        <f aca="false">I38*K38</f>
        <v>4.58957396734942E-006</v>
      </c>
      <c r="V38" s="13" t="n">
        <f aca="false">I38*O38*P38</f>
        <v>4.16577616060038E-008</v>
      </c>
      <c r="W38" s="17" t="n">
        <f aca="false">INDEX('HB Evidence'!$I$6:$I$25,MATCH(E38,'HB Evidence'!$A$6:$A$25,0))</f>
        <v>0.00048</v>
      </c>
      <c r="X38" s="17" t="n">
        <f aca="false">I38*W38*N38*P38</f>
        <v>1.96506E-012</v>
      </c>
    </row>
    <row r="39" customFormat="false" ht="15" hidden="false" customHeight="false" outlineLevel="0" collapsed="false">
      <c r="A39" s="5" t="s">
        <v>158</v>
      </c>
      <c r="B39" s="5" t="s">
        <v>48</v>
      </c>
      <c r="C39" s="5" t="s">
        <v>57</v>
      </c>
      <c r="D39" s="5" t="s">
        <v>64</v>
      </c>
      <c r="E39" s="5" t="s">
        <v>86</v>
      </c>
      <c r="F39" s="20" t="n">
        <f aca="false">INDEX(Inputs!$B$15:$B$19,MATCH(B39,Inputs!$A$15:$A$19,0))</f>
        <v>0.05</v>
      </c>
      <c r="G39" s="20" t="n">
        <f aca="false">INDEX(Inputs!$B$23:$B$26,MATCH(C39,Inputs!$A$23:$A$26,0))</f>
        <v>0.15</v>
      </c>
      <c r="H39" s="20" t="n">
        <f aca="false">INDEX(Inputs!$B$30:$B$34,MATCH(D39,Inputs!$A$30:$A$34,0))</f>
        <v>0.13</v>
      </c>
      <c r="I39" s="21" t="n">
        <f aca="false">F39*G39*H39</f>
        <v>0.000975</v>
      </c>
      <c r="J39" s="22" t="n">
        <f aca="false">INDEX('HB Evidence'!$F$6:$F$25,MATCH(E39,'HB Evidence'!$A$6:$A$25,0))</f>
        <v>0.0004</v>
      </c>
      <c r="K39" s="22" t="n">
        <f aca="false">INDEX('HB Evidence'!$H$6:$H$25,MATCH(E39,'HB Evidence'!$A$6:$A$25,0))</f>
        <v>0.0040796213043106</v>
      </c>
      <c r="L39" s="15" t="n">
        <v>2000</v>
      </c>
      <c r="M39" s="15" t="n">
        <v>7</v>
      </c>
      <c r="N39" s="23" t="n">
        <f aca="false">M39/L39</f>
        <v>0.0035</v>
      </c>
      <c r="O39" s="23" t="n">
        <f aca="false">IF(M39=L39,1,BETAINV(Inputs!$B$10,M39+1,L39-M39))</f>
        <v>0.0104239949167629</v>
      </c>
      <c r="P39" s="24" t="n">
        <v>0.042048</v>
      </c>
      <c r="Q39" s="25" t="n">
        <v>17.83</v>
      </c>
      <c r="R39" s="13" t="n">
        <f aca="false">I39*J39*N39*P39</f>
        <v>5.739552E-011</v>
      </c>
      <c r="S39" s="13" t="n">
        <f aca="false">I39*K39*O39*P39</f>
        <v>1.74342793823095E-009</v>
      </c>
      <c r="T39" s="14" t="n">
        <f aca="false">IF(Summary!$B$6&gt;0,R39/Summary!$B$6,0)</f>
        <v>0.00348352576358752</v>
      </c>
      <c r="U39" s="13" t="n">
        <f aca="false">I39*K39</f>
        <v>3.97763077170283E-006</v>
      </c>
      <c r="V39" s="13" t="n">
        <f aca="false">I39*O39*P39</f>
        <v>4.27350434803547E-007</v>
      </c>
      <c r="W39" s="17" t="n">
        <f aca="false">INDEX('HB Evidence'!$I$6:$I$25,MATCH(E39,'HB Evidence'!$A$6:$A$25,0))</f>
        <v>0.00048</v>
      </c>
      <c r="X39" s="17" t="n">
        <f aca="false">I39*W39*N39*P39</f>
        <v>6.8874624E-011</v>
      </c>
    </row>
    <row r="40" customFormat="false" ht="15" hidden="false" customHeight="false" outlineLevel="0" collapsed="false">
      <c r="A40" s="5" t="s">
        <v>159</v>
      </c>
      <c r="B40" s="5" t="s">
        <v>48</v>
      </c>
      <c r="C40" s="5" t="s">
        <v>57</v>
      </c>
      <c r="D40" s="5" t="s">
        <v>65</v>
      </c>
      <c r="E40" s="5" t="s">
        <v>86</v>
      </c>
      <c r="F40" s="20" t="n">
        <f aca="false">INDEX(Inputs!$B$15:$B$19,MATCH(B40,Inputs!$A$15:$A$19,0))</f>
        <v>0.05</v>
      </c>
      <c r="G40" s="20" t="n">
        <f aca="false">INDEX(Inputs!$B$23:$B$26,MATCH(C40,Inputs!$A$23:$A$26,0))</f>
        <v>0.15</v>
      </c>
      <c r="H40" s="20" t="n">
        <f aca="false">INDEX(Inputs!$B$30:$B$34,MATCH(D40,Inputs!$A$30:$A$34,0))</f>
        <v>0.07</v>
      </c>
      <c r="I40" s="21" t="n">
        <f aca="false">F40*G40*H40</f>
        <v>0.000525</v>
      </c>
      <c r="J40" s="22" t="n">
        <f aca="false">INDEX('HB Evidence'!$F$6:$F$25,MATCH(E40,'HB Evidence'!$A$6:$A$25,0))</f>
        <v>0.0004</v>
      </c>
      <c r="K40" s="22" t="n">
        <f aca="false">INDEX('HB Evidence'!$H$6:$H$25,MATCH(E40,'HB Evidence'!$A$6:$A$25,0))</f>
        <v>0.0040796213043106</v>
      </c>
      <c r="L40" s="15" t="n">
        <v>2000</v>
      </c>
      <c r="M40" s="15" t="n">
        <v>41</v>
      </c>
      <c r="N40" s="23" t="n">
        <f aca="false">M40/L40</f>
        <v>0.0205</v>
      </c>
      <c r="O40" s="23" t="n">
        <f aca="false">IF(M40=L40,1,BETAINV(Inputs!$B$10,M40+1,L40-M40))</f>
        <v>0.0333268603139731</v>
      </c>
      <c r="P40" s="24" t="n">
        <v>0.028014</v>
      </c>
      <c r="Q40" s="25" t="n">
        <v>15.89</v>
      </c>
      <c r="R40" s="13" t="n">
        <f aca="false">I40*J40*N40*P40</f>
        <v>1.2060027E-010</v>
      </c>
      <c r="S40" s="13" t="n">
        <f aca="false">I40*K40*O40*P40</f>
        <v>1.99962556246189E-009</v>
      </c>
      <c r="T40" s="14" t="n">
        <f aca="false">IF(Summary!$B$6&gt;0,R40/Summary!$B$6,0)</f>
        <v>0.00731963309402216</v>
      </c>
      <c r="U40" s="13" t="n">
        <f aca="false">I40*K40</f>
        <v>2.14180118476306E-006</v>
      </c>
      <c r="V40" s="13" t="n">
        <f aca="false">I40*O40*P40</f>
        <v>4.90149799038713E-007</v>
      </c>
      <c r="W40" s="17" t="n">
        <f aca="false">INDEX('HB Evidence'!$I$6:$I$25,MATCH(E40,'HB Evidence'!$A$6:$A$25,0))</f>
        <v>0.00048</v>
      </c>
      <c r="X40" s="17" t="n">
        <f aca="false">I40*W40*N40*P40</f>
        <v>1.44720324E-010</v>
      </c>
    </row>
    <row r="41" customFormat="false" ht="15" hidden="false" customHeight="false" outlineLevel="0" collapsed="false">
      <c r="A41" s="5" t="s">
        <v>160</v>
      </c>
      <c r="B41" s="5" t="s">
        <v>48</v>
      </c>
      <c r="C41" s="5" t="s">
        <v>58</v>
      </c>
      <c r="D41" s="5" t="s">
        <v>60</v>
      </c>
      <c r="E41" s="5" t="s">
        <v>87</v>
      </c>
      <c r="F41" s="20" t="n">
        <f aca="false">INDEX(Inputs!$B$15:$B$19,MATCH(B41,Inputs!$A$15:$A$19,0))</f>
        <v>0.05</v>
      </c>
      <c r="G41" s="20" t="n">
        <f aca="false">INDEX(Inputs!$B$23:$B$26,MATCH(C41,Inputs!$A$23:$A$26,0))</f>
        <v>0.1</v>
      </c>
      <c r="H41" s="20" t="n">
        <f aca="false">INDEX(Inputs!$B$30:$B$34,MATCH(D41,Inputs!$A$30:$A$34,0))</f>
        <v>0.45</v>
      </c>
      <c r="I41" s="21" t="n">
        <f aca="false">F41*G41*H41</f>
        <v>0.00225</v>
      </c>
      <c r="J41" s="22" t="n">
        <f aca="false">INDEX('HB Evidence'!$F$6:$F$25,MATCH(E41,'HB Evidence'!$A$6:$A$25,0))</f>
        <v>0.002</v>
      </c>
      <c r="K41" s="22" t="n">
        <f aca="false">INDEX('HB Evidence'!$H$6:$H$25,MATCH(E41,'HB Evidence'!$A$6:$A$25,0))</f>
        <v>0.0079741032346939</v>
      </c>
      <c r="L41" s="15" t="n">
        <v>2000</v>
      </c>
      <c r="M41" s="15" t="n">
        <v>0</v>
      </c>
      <c r="N41" s="23" t="n">
        <f aca="false">M41/L41</f>
        <v>0</v>
      </c>
      <c r="O41" s="23" t="n">
        <f aca="false">IF(M41=L41,1,BETAINV(Inputs!$B$10,M41+1,L41-M41))</f>
        <v>0.00388404949945426</v>
      </c>
      <c r="P41" s="24" t="n">
        <v>0</v>
      </c>
      <c r="Q41" s="25" t="n">
        <v>0</v>
      </c>
      <c r="R41" s="13" t="n">
        <f aca="false">I41*J41*N41*P41</f>
        <v>0</v>
      </c>
      <c r="S41" s="13" t="n">
        <f aca="false">I41*K41*O41*P41</f>
        <v>0</v>
      </c>
      <c r="T41" s="14" t="n">
        <f aca="false">IF(Summary!$B$6&gt;0,R41/Summary!$B$6,0)</f>
        <v>0</v>
      </c>
      <c r="U41" s="13" t="n">
        <f aca="false">I41*K41</f>
        <v>1.79417322780613E-005</v>
      </c>
      <c r="V41" s="13" t="n">
        <f aca="false">I41*O41*P41</f>
        <v>0</v>
      </c>
      <c r="W41" s="17" t="n">
        <f aca="false">INDEX('HB Evidence'!$I$6:$I$25,MATCH(E41,'HB Evidence'!$A$6:$A$25,0))</f>
        <v>0.0006</v>
      </c>
      <c r="X41" s="17" t="n">
        <f aca="false">I41*W41*N41*P41</f>
        <v>0</v>
      </c>
    </row>
    <row r="42" customFormat="false" ht="15" hidden="false" customHeight="false" outlineLevel="0" collapsed="false">
      <c r="A42" s="5" t="s">
        <v>161</v>
      </c>
      <c r="B42" s="5" t="s">
        <v>48</v>
      </c>
      <c r="C42" s="5" t="s">
        <v>58</v>
      </c>
      <c r="D42" s="5" t="s">
        <v>62</v>
      </c>
      <c r="E42" s="5" t="s">
        <v>87</v>
      </c>
      <c r="F42" s="20" t="n">
        <f aca="false">INDEX(Inputs!$B$15:$B$19,MATCH(B42,Inputs!$A$15:$A$19,0))</f>
        <v>0.05</v>
      </c>
      <c r="G42" s="20" t="n">
        <f aca="false">INDEX(Inputs!$B$23:$B$26,MATCH(C42,Inputs!$A$23:$A$26,0))</f>
        <v>0.1</v>
      </c>
      <c r="H42" s="20" t="n">
        <f aca="false">INDEX(Inputs!$B$30:$B$34,MATCH(D42,Inputs!$A$30:$A$34,0))</f>
        <v>0.2</v>
      </c>
      <c r="I42" s="21" t="n">
        <f aca="false">F42*G42*H42</f>
        <v>0.001</v>
      </c>
      <c r="J42" s="22" t="n">
        <f aca="false">INDEX('HB Evidence'!$F$6:$F$25,MATCH(E42,'HB Evidence'!$A$6:$A$25,0))</f>
        <v>0.002</v>
      </c>
      <c r="K42" s="22" t="n">
        <f aca="false">INDEX('HB Evidence'!$H$6:$H$25,MATCH(E42,'HB Evidence'!$A$6:$A$25,0))</f>
        <v>0.0079741032346939</v>
      </c>
      <c r="L42" s="15" t="n">
        <v>2000</v>
      </c>
      <c r="M42" s="15" t="n">
        <v>0</v>
      </c>
      <c r="N42" s="23" t="n">
        <f aca="false">M42/L42</f>
        <v>0</v>
      </c>
      <c r="O42" s="23" t="n">
        <f aca="false">IF(M42=L42,1,BETAINV(Inputs!$B$10,M42+1,L42-M42))</f>
        <v>0.00388404949945426</v>
      </c>
      <c r="P42" s="24" t="n">
        <v>0</v>
      </c>
      <c r="Q42" s="25" t="n">
        <v>0</v>
      </c>
      <c r="R42" s="13" t="n">
        <f aca="false">I42*J42*N42*P42</f>
        <v>0</v>
      </c>
      <c r="S42" s="13" t="n">
        <f aca="false">I42*K42*O42*P42</f>
        <v>0</v>
      </c>
      <c r="T42" s="14" t="n">
        <f aca="false">IF(Summary!$B$6&gt;0,R42/Summary!$B$6,0)</f>
        <v>0</v>
      </c>
      <c r="U42" s="13" t="n">
        <f aca="false">I42*K42</f>
        <v>7.9741032346939E-006</v>
      </c>
      <c r="V42" s="13" t="n">
        <f aca="false">I42*O42*P42</f>
        <v>0</v>
      </c>
      <c r="W42" s="17" t="n">
        <f aca="false">INDEX('HB Evidence'!$I$6:$I$25,MATCH(E42,'HB Evidence'!$A$6:$A$25,0))</f>
        <v>0.0006</v>
      </c>
      <c r="X42" s="17" t="n">
        <f aca="false">I42*W42*N42*P42</f>
        <v>0</v>
      </c>
    </row>
    <row r="43" customFormat="false" ht="15" hidden="false" customHeight="false" outlineLevel="0" collapsed="false">
      <c r="A43" s="5" t="s">
        <v>162</v>
      </c>
      <c r="B43" s="5" t="s">
        <v>48</v>
      </c>
      <c r="C43" s="5" t="s">
        <v>58</v>
      </c>
      <c r="D43" s="5" t="s">
        <v>63</v>
      </c>
      <c r="E43" s="5" t="s">
        <v>87</v>
      </c>
      <c r="F43" s="20" t="n">
        <f aca="false">INDEX(Inputs!$B$15:$B$19,MATCH(B43,Inputs!$A$15:$A$19,0))</f>
        <v>0.05</v>
      </c>
      <c r="G43" s="20" t="n">
        <f aca="false">INDEX(Inputs!$B$23:$B$26,MATCH(C43,Inputs!$A$23:$A$26,0))</f>
        <v>0.1</v>
      </c>
      <c r="H43" s="20" t="n">
        <f aca="false">INDEX(Inputs!$B$30:$B$34,MATCH(D43,Inputs!$A$30:$A$34,0))</f>
        <v>0.15</v>
      </c>
      <c r="I43" s="21" t="n">
        <f aca="false">F43*G43*H43</f>
        <v>0.00075</v>
      </c>
      <c r="J43" s="22" t="n">
        <f aca="false">INDEX('HB Evidence'!$F$6:$F$25,MATCH(E43,'HB Evidence'!$A$6:$A$25,0))</f>
        <v>0.002</v>
      </c>
      <c r="K43" s="22" t="n">
        <f aca="false">INDEX('HB Evidence'!$H$6:$H$25,MATCH(E43,'HB Evidence'!$A$6:$A$25,0))</f>
        <v>0.0079741032346939</v>
      </c>
      <c r="L43" s="15" t="n">
        <v>2000</v>
      </c>
      <c r="M43" s="15" t="n">
        <v>0</v>
      </c>
      <c r="N43" s="23" t="n">
        <f aca="false">M43/L43</f>
        <v>0</v>
      </c>
      <c r="O43" s="23" t="n">
        <f aca="false">IF(M43=L43,1,BETAINV(Inputs!$B$10,M43+1,L43-M43))</f>
        <v>0.00388404949945426</v>
      </c>
      <c r="P43" s="24" t="n">
        <v>0</v>
      </c>
      <c r="Q43" s="25" t="n">
        <v>0</v>
      </c>
      <c r="R43" s="13" t="n">
        <f aca="false">I43*J43*N43*P43</f>
        <v>0</v>
      </c>
      <c r="S43" s="13" t="n">
        <f aca="false">I43*K43*O43*P43</f>
        <v>0</v>
      </c>
      <c r="T43" s="14" t="n">
        <f aca="false">IF(Summary!$B$6&gt;0,R43/Summary!$B$6,0)</f>
        <v>0</v>
      </c>
      <c r="U43" s="13" t="n">
        <f aca="false">I43*K43</f>
        <v>5.98057742602042E-006</v>
      </c>
      <c r="V43" s="13" t="n">
        <f aca="false">I43*O43*P43</f>
        <v>0</v>
      </c>
      <c r="W43" s="17" t="n">
        <f aca="false">INDEX('HB Evidence'!$I$6:$I$25,MATCH(E43,'HB Evidence'!$A$6:$A$25,0))</f>
        <v>0.0006</v>
      </c>
      <c r="X43" s="17" t="n">
        <f aca="false">I43*W43*N43*P43</f>
        <v>0</v>
      </c>
    </row>
    <row r="44" customFormat="false" ht="15" hidden="false" customHeight="false" outlineLevel="0" collapsed="false">
      <c r="A44" s="5" t="s">
        <v>163</v>
      </c>
      <c r="B44" s="5" t="s">
        <v>48</v>
      </c>
      <c r="C44" s="5" t="s">
        <v>58</v>
      </c>
      <c r="D44" s="5" t="s">
        <v>64</v>
      </c>
      <c r="E44" s="5" t="s">
        <v>87</v>
      </c>
      <c r="F44" s="20" t="n">
        <f aca="false">INDEX(Inputs!$B$15:$B$19,MATCH(B44,Inputs!$A$15:$A$19,0))</f>
        <v>0.05</v>
      </c>
      <c r="G44" s="20" t="n">
        <f aca="false">INDEX(Inputs!$B$23:$B$26,MATCH(C44,Inputs!$A$23:$A$26,0))</f>
        <v>0.1</v>
      </c>
      <c r="H44" s="20" t="n">
        <f aca="false">INDEX(Inputs!$B$30:$B$34,MATCH(D44,Inputs!$A$30:$A$34,0))</f>
        <v>0.13</v>
      </c>
      <c r="I44" s="21" t="n">
        <f aca="false">F44*G44*H44</f>
        <v>0.00065</v>
      </c>
      <c r="J44" s="22" t="n">
        <f aca="false">INDEX('HB Evidence'!$F$6:$F$25,MATCH(E44,'HB Evidence'!$A$6:$A$25,0))</f>
        <v>0.002</v>
      </c>
      <c r="K44" s="22" t="n">
        <f aca="false">INDEX('HB Evidence'!$H$6:$H$25,MATCH(E44,'HB Evidence'!$A$6:$A$25,0))</f>
        <v>0.0079741032346939</v>
      </c>
      <c r="L44" s="15" t="n">
        <v>2000</v>
      </c>
      <c r="M44" s="15" t="n">
        <v>0</v>
      </c>
      <c r="N44" s="23" t="n">
        <f aca="false">M44/L44</f>
        <v>0</v>
      </c>
      <c r="O44" s="23" t="n">
        <f aca="false">IF(M44=L44,1,BETAINV(Inputs!$B$10,M44+1,L44-M44))</f>
        <v>0.00388404949945426</v>
      </c>
      <c r="P44" s="24" t="n">
        <v>0</v>
      </c>
      <c r="Q44" s="25" t="n">
        <v>0</v>
      </c>
      <c r="R44" s="13" t="n">
        <f aca="false">I44*J44*N44*P44</f>
        <v>0</v>
      </c>
      <c r="S44" s="13" t="n">
        <f aca="false">I44*K44*O44*P44</f>
        <v>0</v>
      </c>
      <c r="T44" s="14" t="n">
        <f aca="false">IF(Summary!$B$6&gt;0,R44/Summary!$B$6,0)</f>
        <v>0</v>
      </c>
      <c r="U44" s="13" t="n">
        <f aca="false">I44*K44</f>
        <v>5.18316710255104E-006</v>
      </c>
      <c r="V44" s="13" t="n">
        <f aca="false">I44*O44*P44</f>
        <v>0</v>
      </c>
      <c r="W44" s="17" t="n">
        <f aca="false">INDEX('HB Evidence'!$I$6:$I$25,MATCH(E44,'HB Evidence'!$A$6:$A$25,0))</f>
        <v>0.0006</v>
      </c>
      <c r="X44" s="17" t="n">
        <f aca="false">I44*W44*N44*P44</f>
        <v>0</v>
      </c>
    </row>
    <row r="45" customFormat="false" ht="15" hidden="false" customHeight="false" outlineLevel="0" collapsed="false">
      <c r="A45" s="5" t="s">
        <v>164</v>
      </c>
      <c r="B45" s="5" t="s">
        <v>48</v>
      </c>
      <c r="C45" s="5" t="s">
        <v>58</v>
      </c>
      <c r="D45" s="5" t="s">
        <v>65</v>
      </c>
      <c r="E45" s="5" t="s">
        <v>87</v>
      </c>
      <c r="F45" s="20" t="n">
        <f aca="false">INDEX(Inputs!$B$15:$B$19,MATCH(B45,Inputs!$A$15:$A$19,0))</f>
        <v>0.05</v>
      </c>
      <c r="G45" s="20" t="n">
        <f aca="false">INDEX(Inputs!$B$23:$B$26,MATCH(C45,Inputs!$A$23:$A$26,0))</f>
        <v>0.1</v>
      </c>
      <c r="H45" s="20" t="n">
        <f aca="false">INDEX(Inputs!$B$30:$B$34,MATCH(D45,Inputs!$A$30:$A$34,0))</f>
        <v>0.07</v>
      </c>
      <c r="I45" s="21" t="n">
        <f aca="false">F45*G45*H45</f>
        <v>0.00035</v>
      </c>
      <c r="J45" s="22" t="n">
        <f aca="false">INDEX('HB Evidence'!$F$6:$F$25,MATCH(E45,'HB Evidence'!$A$6:$A$25,0))</f>
        <v>0.002</v>
      </c>
      <c r="K45" s="22" t="n">
        <f aca="false">INDEX('HB Evidence'!$H$6:$H$25,MATCH(E45,'HB Evidence'!$A$6:$A$25,0))</f>
        <v>0.0079741032346939</v>
      </c>
      <c r="L45" s="15" t="n">
        <v>2000</v>
      </c>
      <c r="M45" s="15" t="n">
        <v>17</v>
      </c>
      <c r="N45" s="23" t="n">
        <f aca="false">M45/L45</f>
        <v>0.0085</v>
      </c>
      <c r="O45" s="23" t="n">
        <f aca="false">IF(M45=L45,1,BETAINV(Inputs!$B$10,M45+1,L45-M45))</f>
        <v>0.0177321337943176</v>
      </c>
      <c r="P45" s="24" t="n">
        <v>0.060017</v>
      </c>
      <c r="Q45" s="25" t="n">
        <v>19.73</v>
      </c>
      <c r="R45" s="13" t="n">
        <f aca="false">I45*J45*N45*P45</f>
        <v>3.5710115E-010</v>
      </c>
      <c r="S45" s="13" t="n">
        <f aca="false">I45*K45*O45*P45</f>
        <v>2.97019649169257E-009</v>
      </c>
      <c r="T45" s="14" t="n">
        <f aca="false">IF(Summary!$B$6&gt;0,R45/Summary!$B$6,0)</f>
        <v>0.0216736612235891</v>
      </c>
      <c r="U45" s="13" t="n">
        <f aca="false">I45*K45</f>
        <v>2.79093613214287E-006</v>
      </c>
      <c r="V45" s="13" t="n">
        <f aca="false">I45*O45*P45</f>
        <v>3.72480315876747E-007</v>
      </c>
      <c r="W45" s="17" t="n">
        <f aca="false">INDEX('HB Evidence'!$I$6:$I$25,MATCH(E45,'HB Evidence'!$A$6:$A$25,0))</f>
        <v>0.0006</v>
      </c>
      <c r="X45" s="17" t="n">
        <f aca="false">I45*W45*N45*P45</f>
        <v>1.07130345E-010</v>
      </c>
    </row>
    <row r="46" customFormat="false" ht="15" hidden="false" customHeight="false" outlineLevel="0" collapsed="false">
      <c r="A46" s="5" t="s">
        <v>165</v>
      </c>
      <c r="B46" s="5" t="s">
        <v>49</v>
      </c>
      <c r="C46" s="5" t="s">
        <v>54</v>
      </c>
      <c r="D46" s="5" t="s">
        <v>60</v>
      </c>
      <c r="E46" s="5" t="s">
        <v>88</v>
      </c>
      <c r="F46" s="20" t="n">
        <f aca="false">INDEX(Inputs!$B$15:$B$19,MATCH(B46,Inputs!$A$15:$A$19,0))</f>
        <v>0.07</v>
      </c>
      <c r="G46" s="20" t="n">
        <f aca="false">INDEX(Inputs!$B$23:$B$26,MATCH(C46,Inputs!$A$23:$A$26,0))</f>
        <v>0.35</v>
      </c>
      <c r="H46" s="20" t="n">
        <f aca="false">INDEX(Inputs!$B$30:$B$34,MATCH(D46,Inputs!$A$30:$A$34,0))</f>
        <v>0.45</v>
      </c>
      <c r="I46" s="21" t="n">
        <f aca="false">F46*G46*H46</f>
        <v>0.011025</v>
      </c>
      <c r="J46" s="22" t="n">
        <f aca="false">INDEX('HB Evidence'!$F$6:$F$25,MATCH(E46,'HB Evidence'!$A$6:$A$25,0))</f>
        <v>0.000333333333333333</v>
      </c>
      <c r="K46" s="22" t="n">
        <f aca="false">INDEX('HB Evidence'!$H$6:$H$25,MATCH(E46,'HB Evidence'!$A$6:$A$25,0))</f>
        <v>0.00339968442025883</v>
      </c>
      <c r="L46" s="15" t="n">
        <v>2000</v>
      </c>
      <c r="M46" s="15" t="n">
        <v>0</v>
      </c>
      <c r="N46" s="23" t="n">
        <f aca="false">M46/L46</f>
        <v>0</v>
      </c>
      <c r="O46" s="23" t="n">
        <f aca="false">IF(M46=L46,1,BETAINV(Inputs!$B$10,M46+1,L46-M46))</f>
        <v>0.00388404949945426</v>
      </c>
      <c r="P46" s="24" t="n">
        <v>0</v>
      </c>
      <c r="Q46" s="25" t="n">
        <v>0</v>
      </c>
      <c r="R46" s="13" t="n">
        <f aca="false">I46*J46*N46*P46</f>
        <v>0</v>
      </c>
      <c r="S46" s="13" t="n">
        <f aca="false">I46*K46*O46*P46</f>
        <v>0</v>
      </c>
      <c r="T46" s="14" t="n">
        <f aca="false">IF(Summary!$B$6&gt;0,R46/Summary!$B$6,0)</f>
        <v>0</v>
      </c>
      <c r="U46" s="13" t="n">
        <f aca="false">I46*K46</f>
        <v>3.74815207333536E-005</v>
      </c>
      <c r="V46" s="13" t="n">
        <f aca="false">I46*O46*P46</f>
        <v>0</v>
      </c>
      <c r="W46" s="17" t="n">
        <f aca="false">INDEX('HB Evidence'!$I$6:$I$25,MATCH(E46,'HB Evidence'!$A$6:$A$25,0))</f>
        <v>0.0002</v>
      </c>
      <c r="X46" s="17" t="n">
        <f aca="false">I46*W46*N46*P46</f>
        <v>0</v>
      </c>
    </row>
    <row r="47" customFormat="false" ht="15" hidden="false" customHeight="false" outlineLevel="0" collapsed="false">
      <c r="A47" s="5" t="s">
        <v>166</v>
      </c>
      <c r="B47" s="5" t="s">
        <v>49</v>
      </c>
      <c r="C47" s="5" t="s">
        <v>54</v>
      </c>
      <c r="D47" s="5" t="s">
        <v>62</v>
      </c>
      <c r="E47" s="5" t="s">
        <v>88</v>
      </c>
      <c r="F47" s="20" t="n">
        <f aca="false">INDEX(Inputs!$B$15:$B$19,MATCH(B47,Inputs!$A$15:$A$19,0))</f>
        <v>0.07</v>
      </c>
      <c r="G47" s="20" t="n">
        <f aca="false">INDEX(Inputs!$B$23:$B$26,MATCH(C47,Inputs!$A$23:$A$26,0))</f>
        <v>0.35</v>
      </c>
      <c r="H47" s="20" t="n">
        <f aca="false">INDEX(Inputs!$B$30:$B$34,MATCH(D47,Inputs!$A$30:$A$34,0))</f>
        <v>0.2</v>
      </c>
      <c r="I47" s="21" t="n">
        <f aca="false">F47*G47*H47</f>
        <v>0.0049</v>
      </c>
      <c r="J47" s="22" t="n">
        <f aca="false">INDEX('HB Evidence'!$F$6:$F$25,MATCH(E47,'HB Evidence'!$A$6:$A$25,0))</f>
        <v>0.000333333333333333</v>
      </c>
      <c r="K47" s="22" t="n">
        <f aca="false">INDEX('HB Evidence'!$H$6:$H$25,MATCH(E47,'HB Evidence'!$A$6:$A$25,0))</f>
        <v>0.00339968442025883</v>
      </c>
      <c r="L47" s="15" t="n">
        <v>2000</v>
      </c>
      <c r="M47" s="15" t="n">
        <v>0</v>
      </c>
      <c r="N47" s="23" t="n">
        <f aca="false">M47/L47</f>
        <v>0</v>
      </c>
      <c r="O47" s="23" t="n">
        <f aca="false">IF(M47=L47,1,BETAINV(Inputs!$B$10,M47+1,L47-M47))</f>
        <v>0.00388404949945426</v>
      </c>
      <c r="P47" s="24" t="n">
        <v>0</v>
      </c>
      <c r="Q47" s="25" t="n">
        <v>0</v>
      </c>
      <c r="R47" s="13" t="n">
        <f aca="false">I47*J47*N47*P47</f>
        <v>0</v>
      </c>
      <c r="S47" s="13" t="n">
        <f aca="false">I47*K47*O47*P47</f>
        <v>0</v>
      </c>
      <c r="T47" s="14" t="n">
        <f aca="false">IF(Summary!$B$6&gt;0,R47/Summary!$B$6,0)</f>
        <v>0</v>
      </c>
      <c r="U47" s="13" t="n">
        <f aca="false">I47*K47</f>
        <v>1.66584536592683E-005</v>
      </c>
      <c r="V47" s="13" t="n">
        <f aca="false">I47*O47*P47</f>
        <v>0</v>
      </c>
      <c r="W47" s="17" t="n">
        <f aca="false">INDEX('HB Evidence'!$I$6:$I$25,MATCH(E47,'HB Evidence'!$A$6:$A$25,0))</f>
        <v>0.0002</v>
      </c>
      <c r="X47" s="17" t="n">
        <f aca="false">I47*W47*N47*P47</f>
        <v>0</v>
      </c>
    </row>
    <row r="48" customFormat="false" ht="15" hidden="false" customHeight="false" outlineLevel="0" collapsed="false">
      <c r="A48" s="5" t="s">
        <v>167</v>
      </c>
      <c r="B48" s="5" t="s">
        <v>49</v>
      </c>
      <c r="C48" s="5" t="s">
        <v>54</v>
      </c>
      <c r="D48" s="5" t="s">
        <v>63</v>
      </c>
      <c r="E48" s="5" t="s">
        <v>88</v>
      </c>
      <c r="F48" s="20" t="n">
        <f aca="false">INDEX(Inputs!$B$15:$B$19,MATCH(B48,Inputs!$A$15:$A$19,0))</f>
        <v>0.07</v>
      </c>
      <c r="G48" s="20" t="n">
        <f aca="false">INDEX(Inputs!$B$23:$B$26,MATCH(C48,Inputs!$A$23:$A$26,0))</f>
        <v>0.35</v>
      </c>
      <c r="H48" s="20" t="n">
        <f aca="false">INDEX(Inputs!$B$30:$B$34,MATCH(D48,Inputs!$A$30:$A$34,0))</f>
        <v>0.15</v>
      </c>
      <c r="I48" s="21" t="n">
        <f aca="false">F48*G48*H48</f>
        <v>0.003675</v>
      </c>
      <c r="J48" s="22" t="n">
        <f aca="false">INDEX('HB Evidence'!$F$6:$F$25,MATCH(E48,'HB Evidence'!$A$6:$A$25,0))</f>
        <v>0.000333333333333333</v>
      </c>
      <c r="K48" s="22" t="n">
        <f aca="false">INDEX('HB Evidence'!$H$6:$H$25,MATCH(E48,'HB Evidence'!$A$6:$A$25,0))</f>
        <v>0.00339968442025883</v>
      </c>
      <c r="L48" s="15" t="n">
        <v>2000</v>
      </c>
      <c r="M48" s="15" t="n">
        <v>14</v>
      </c>
      <c r="N48" s="23" t="n">
        <f aca="false">M48/L48</f>
        <v>0.007</v>
      </c>
      <c r="O48" s="23" t="n">
        <f aca="false">IF(M48=L48,1,BETAINV(Inputs!$B$10,M48+1,L48-M48))</f>
        <v>0.0156311220362337</v>
      </c>
      <c r="P48" s="24" t="n">
        <v>0.014121</v>
      </c>
      <c r="Q48" s="25" t="n">
        <v>13.87</v>
      </c>
      <c r="R48" s="13" t="n">
        <f aca="false">I48*J48*N48*P48</f>
        <v>1.21087575E-010</v>
      </c>
      <c r="S48" s="13" t="n">
        <f aca="false">I48*K48*O48*P48</f>
        <v>2.75772880360018E-009</v>
      </c>
      <c r="T48" s="14" t="n">
        <f aca="false">IF(Summary!$B$6&gt;0,R48/Summary!$B$6,0)</f>
        <v>0.00734920926167819</v>
      </c>
      <c r="U48" s="13" t="n">
        <f aca="false">I48*K48</f>
        <v>1.24938402444512E-005</v>
      </c>
      <c r="V48" s="13" t="n">
        <f aca="false">I48*O48*P48</f>
        <v>8.11171997955688E-007</v>
      </c>
      <c r="W48" s="17" t="n">
        <f aca="false">INDEX('HB Evidence'!$I$6:$I$25,MATCH(E48,'HB Evidence'!$A$6:$A$25,0))</f>
        <v>0.0002</v>
      </c>
      <c r="X48" s="17" t="n">
        <f aca="false">I48*W48*N48*P48</f>
        <v>7.2652545E-011</v>
      </c>
    </row>
    <row r="49" customFormat="false" ht="15" hidden="false" customHeight="false" outlineLevel="0" collapsed="false">
      <c r="A49" s="5" t="s">
        <v>168</v>
      </c>
      <c r="B49" s="5" t="s">
        <v>49</v>
      </c>
      <c r="C49" s="5" t="s">
        <v>54</v>
      </c>
      <c r="D49" s="5" t="s">
        <v>64</v>
      </c>
      <c r="E49" s="5" t="s">
        <v>88</v>
      </c>
      <c r="F49" s="20" t="n">
        <f aca="false">INDEX(Inputs!$B$15:$B$19,MATCH(B49,Inputs!$A$15:$A$19,0))</f>
        <v>0.07</v>
      </c>
      <c r="G49" s="20" t="n">
        <f aca="false">INDEX(Inputs!$B$23:$B$26,MATCH(C49,Inputs!$A$23:$A$26,0))</f>
        <v>0.35</v>
      </c>
      <c r="H49" s="20" t="n">
        <f aca="false">INDEX(Inputs!$B$30:$B$34,MATCH(D49,Inputs!$A$30:$A$34,0))</f>
        <v>0.13</v>
      </c>
      <c r="I49" s="21" t="n">
        <f aca="false">F49*G49*H49</f>
        <v>0.003185</v>
      </c>
      <c r="J49" s="22" t="n">
        <f aca="false">INDEX('HB Evidence'!$F$6:$F$25,MATCH(E49,'HB Evidence'!$A$6:$A$25,0))</f>
        <v>0.000333333333333333</v>
      </c>
      <c r="K49" s="22" t="n">
        <f aca="false">INDEX('HB Evidence'!$H$6:$H$25,MATCH(E49,'HB Evidence'!$A$6:$A$25,0))</f>
        <v>0.00339968442025883</v>
      </c>
      <c r="L49" s="15" t="n">
        <v>2000</v>
      </c>
      <c r="M49" s="15" t="n">
        <v>89</v>
      </c>
      <c r="N49" s="23" t="n">
        <f aca="false">M49/L49</f>
        <v>0.0445</v>
      </c>
      <c r="O49" s="23" t="n">
        <f aca="false">IF(M49=L49,1,BETAINV(Inputs!$B$10,M49+1,L49-M49))</f>
        <v>0.061993990935901</v>
      </c>
      <c r="P49" s="24" t="n">
        <v>0.016381</v>
      </c>
      <c r="Q49" s="25" t="n">
        <v>13.17</v>
      </c>
      <c r="R49" s="13" t="n">
        <f aca="false">I49*J49*N49*P49</f>
        <v>7.73906694166667E-010</v>
      </c>
      <c r="S49" s="13" t="n">
        <f aca="false">I49*K49*O49*P49</f>
        <v>1.09960839664821E-008</v>
      </c>
      <c r="T49" s="14" t="n">
        <f aca="false">IF(Summary!$B$6&gt;0,R49/Summary!$B$6,0)</f>
        <v>0.0469709814937199</v>
      </c>
      <c r="U49" s="13" t="n">
        <f aca="false">I49*K49</f>
        <v>1.08279948785244E-005</v>
      </c>
      <c r="V49" s="13" t="n">
        <f aca="false">I49*O49*P49</f>
        <v>3.23444255618437E-006</v>
      </c>
      <c r="W49" s="17" t="n">
        <f aca="false">INDEX('HB Evidence'!$I$6:$I$25,MATCH(E49,'HB Evidence'!$A$6:$A$25,0))</f>
        <v>0.0002</v>
      </c>
      <c r="X49" s="17" t="n">
        <f aca="false">I49*W49*N49*P49</f>
        <v>4.643440165E-010</v>
      </c>
    </row>
    <row r="50" customFormat="false" ht="15" hidden="false" customHeight="false" outlineLevel="0" collapsed="false">
      <c r="A50" s="5" t="s">
        <v>169</v>
      </c>
      <c r="B50" s="5" t="s">
        <v>49</v>
      </c>
      <c r="C50" s="5" t="s">
        <v>54</v>
      </c>
      <c r="D50" s="5" t="s">
        <v>65</v>
      </c>
      <c r="E50" s="5" t="s">
        <v>88</v>
      </c>
      <c r="F50" s="20" t="n">
        <f aca="false">INDEX(Inputs!$B$15:$B$19,MATCH(B50,Inputs!$A$15:$A$19,0))</f>
        <v>0.07</v>
      </c>
      <c r="G50" s="20" t="n">
        <f aca="false">INDEX(Inputs!$B$23:$B$26,MATCH(C50,Inputs!$A$23:$A$26,0))</f>
        <v>0.35</v>
      </c>
      <c r="H50" s="20" t="n">
        <f aca="false">INDEX(Inputs!$B$30:$B$34,MATCH(D50,Inputs!$A$30:$A$34,0))</f>
        <v>0.07</v>
      </c>
      <c r="I50" s="21" t="n">
        <f aca="false">F50*G50*H50</f>
        <v>0.001715</v>
      </c>
      <c r="J50" s="22" t="n">
        <f aca="false">INDEX('HB Evidence'!$F$6:$F$25,MATCH(E50,'HB Evidence'!$A$6:$A$25,0))</f>
        <v>0.000333333333333333</v>
      </c>
      <c r="K50" s="22" t="n">
        <f aca="false">INDEX('HB Evidence'!$H$6:$H$25,MATCH(E50,'HB Evidence'!$A$6:$A$25,0))</f>
        <v>0.00339968442025883</v>
      </c>
      <c r="L50" s="15" t="n">
        <v>2000</v>
      </c>
      <c r="M50" s="15" t="n">
        <v>444</v>
      </c>
      <c r="N50" s="23" t="n">
        <f aca="false">M50/L50</f>
        <v>0.222</v>
      </c>
      <c r="O50" s="23" t="n">
        <f aca="false">IF(M50=L50,1,BETAINV(Inputs!$B$10,M50+1,L50-M50))</f>
        <v>0.254355284468434</v>
      </c>
      <c r="P50" s="24" t="n">
        <v>0.017847</v>
      </c>
      <c r="Q50" s="25" t="n">
        <v>14.42</v>
      </c>
      <c r="R50" s="13" t="n">
        <f aca="false">I50*J50*N50*P50</f>
        <v>2.26496277E-009</v>
      </c>
      <c r="S50" s="13" t="n">
        <f aca="false">I50*K50*O50*P50</f>
        <v>2.64672438073678E-008</v>
      </c>
      <c r="T50" s="14" t="n">
        <f aca="false">IF(Summary!$B$6&gt;0,R50/Summary!$B$6,0)</f>
        <v>0.137468153661846</v>
      </c>
      <c r="U50" s="13" t="n">
        <f aca="false">I50*K50</f>
        <v>5.8304587807439E-006</v>
      </c>
      <c r="V50" s="13" t="n">
        <f aca="false">I50*O50*P50</f>
        <v>7.78520607667247E-006</v>
      </c>
      <c r="W50" s="17" t="n">
        <f aca="false">INDEX('HB Evidence'!$I$6:$I$25,MATCH(E50,'HB Evidence'!$A$6:$A$25,0))</f>
        <v>0.0002</v>
      </c>
      <c r="X50" s="17" t="n">
        <f aca="false">I50*W50*N50*P50</f>
        <v>1.358977662E-009</v>
      </c>
    </row>
    <row r="51" customFormat="false" ht="15" hidden="false" customHeight="false" outlineLevel="0" collapsed="false">
      <c r="A51" s="5" t="s">
        <v>170</v>
      </c>
      <c r="B51" s="5" t="s">
        <v>49</v>
      </c>
      <c r="C51" s="5" t="s">
        <v>56</v>
      </c>
      <c r="D51" s="5" t="s">
        <v>60</v>
      </c>
      <c r="E51" s="5" t="s">
        <v>89</v>
      </c>
      <c r="F51" s="20" t="n">
        <f aca="false">INDEX(Inputs!$B$15:$B$19,MATCH(B51,Inputs!$A$15:$A$19,0))</f>
        <v>0.07</v>
      </c>
      <c r="G51" s="20" t="n">
        <f aca="false">INDEX(Inputs!$B$23:$B$26,MATCH(C51,Inputs!$A$23:$A$26,0))</f>
        <v>0.4</v>
      </c>
      <c r="H51" s="20" t="n">
        <f aca="false">INDEX(Inputs!$B$30:$B$34,MATCH(D51,Inputs!$A$30:$A$34,0))</f>
        <v>0.45</v>
      </c>
      <c r="I51" s="21" t="n">
        <f aca="false">F51*G51*H51</f>
        <v>0.0126</v>
      </c>
      <c r="J51" s="22" t="n">
        <f aca="false">INDEX('HB Evidence'!$F$6:$F$25,MATCH(E51,'HB Evidence'!$A$6:$A$25,0))</f>
        <v>0</v>
      </c>
      <c r="K51" s="22" t="n">
        <f aca="false">INDEX('HB Evidence'!$H$6:$H$25,MATCH(E51,'HB Evidence'!$A$6:$A$25,0))</f>
        <v>0.00222377829038176</v>
      </c>
      <c r="L51" s="15" t="n">
        <v>2000</v>
      </c>
      <c r="M51" s="15" t="n">
        <v>0</v>
      </c>
      <c r="N51" s="23" t="n">
        <f aca="false">M51/L51</f>
        <v>0</v>
      </c>
      <c r="O51" s="23" t="n">
        <f aca="false">IF(M51=L51,1,BETAINV(Inputs!$B$10,M51+1,L51-M51))</f>
        <v>0.00388404949945426</v>
      </c>
      <c r="P51" s="24" t="n">
        <v>0</v>
      </c>
      <c r="Q51" s="25" t="n">
        <v>0</v>
      </c>
      <c r="R51" s="13" t="n">
        <f aca="false">I51*J51*N51*P51</f>
        <v>0</v>
      </c>
      <c r="S51" s="13" t="n">
        <f aca="false">I51*K51*O51*P51</f>
        <v>0</v>
      </c>
      <c r="T51" s="14" t="n">
        <f aca="false">IF(Summary!$B$6&gt;0,R51/Summary!$B$6,0)</f>
        <v>0</v>
      </c>
      <c r="U51" s="13" t="n">
        <f aca="false">I51*K51</f>
        <v>2.80196064588101E-005</v>
      </c>
      <c r="V51" s="13" t="n">
        <f aca="false">I51*O51*P51</f>
        <v>0</v>
      </c>
      <c r="W51" s="17" t="n">
        <f aca="false">INDEX('HB Evidence'!$I$6:$I$25,MATCH(E51,'HB Evidence'!$A$6:$A$25,0))</f>
        <v>0.0002</v>
      </c>
      <c r="X51" s="17" t="n">
        <f aca="false">I51*W51*N51*P51</f>
        <v>0</v>
      </c>
    </row>
    <row r="52" customFormat="false" ht="15" hidden="false" customHeight="false" outlineLevel="0" collapsed="false">
      <c r="A52" s="5" t="s">
        <v>171</v>
      </c>
      <c r="B52" s="5" t="s">
        <v>49</v>
      </c>
      <c r="C52" s="5" t="s">
        <v>56</v>
      </c>
      <c r="D52" s="5" t="s">
        <v>62</v>
      </c>
      <c r="E52" s="5" t="s">
        <v>89</v>
      </c>
      <c r="F52" s="20" t="n">
        <f aca="false">INDEX(Inputs!$B$15:$B$19,MATCH(B52,Inputs!$A$15:$A$19,0))</f>
        <v>0.07</v>
      </c>
      <c r="G52" s="20" t="n">
        <f aca="false">INDEX(Inputs!$B$23:$B$26,MATCH(C52,Inputs!$A$23:$A$26,0))</f>
        <v>0.4</v>
      </c>
      <c r="H52" s="20" t="n">
        <f aca="false">INDEX(Inputs!$B$30:$B$34,MATCH(D52,Inputs!$A$30:$A$34,0))</f>
        <v>0.2</v>
      </c>
      <c r="I52" s="21" t="n">
        <f aca="false">F52*G52*H52</f>
        <v>0.0056</v>
      </c>
      <c r="J52" s="22" t="n">
        <f aca="false">INDEX('HB Evidence'!$F$6:$F$25,MATCH(E52,'HB Evidence'!$A$6:$A$25,0))</f>
        <v>0</v>
      </c>
      <c r="K52" s="22" t="n">
        <f aca="false">INDEX('HB Evidence'!$H$6:$H$25,MATCH(E52,'HB Evidence'!$A$6:$A$25,0))</f>
        <v>0.00222377829038176</v>
      </c>
      <c r="L52" s="15" t="n">
        <v>2000</v>
      </c>
      <c r="M52" s="15" t="n">
        <v>0</v>
      </c>
      <c r="N52" s="23" t="n">
        <f aca="false">M52/L52</f>
        <v>0</v>
      </c>
      <c r="O52" s="23" t="n">
        <f aca="false">IF(M52=L52,1,BETAINV(Inputs!$B$10,M52+1,L52-M52))</f>
        <v>0.00388404949945426</v>
      </c>
      <c r="P52" s="24" t="n">
        <v>0</v>
      </c>
      <c r="Q52" s="25" t="n">
        <v>0</v>
      </c>
      <c r="R52" s="13" t="n">
        <f aca="false">I52*J52*N52*P52</f>
        <v>0</v>
      </c>
      <c r="S52" s="13" t="n">
        <f aca="false">I52*K52*O52*P52</f>
        <v>0</v>
      </c>
      <c r="T52" s="14" t="n">
        <f aca="false">IF(Summary!$B$6&gt;0,R52/Summary!$B$6,0)</f>
        <v>0</v>
      </c>
      <c r="U52" s="13" t="n">
        <f aca="false">I52*K52</f>
        <v>1.24531584261378E-005</v>
      </c>
      <c r="V52" s="13" t="n">
        <f aca="false">I52*O52*P52</f>
        <v>0</v>
      </c>
      <c r="W52" s="17" t="n">
        <f aca="false">INDEX('HB Evidence'!$I$6:$I$25,MATCH(E52,'HB Evidence'!$A$6:$A$25,0))</f>
        <v>0.0002</v>
      </c>
      <c r="X52" s="17" t="n">
        <f aca="false">I52*W52*N52*P52</f>
        <v>0</v>
      </c>
    </row>
    <row r="53" customFormat="false" ht="15" hidden="false" customHeight="false" outlineLevel="0" collapsed="false">
      <c r="A53" s="5" t="s">
        <v>172</v>
      </c>
      <c r="B53" s="5" t="s">
        <v>49</v>
      </c>
      <c r="C53" s="5" t="s">
        <v>56</v>
      </c>
      <c r="D53" s="5" t="s">
        <v>63</v>
      </c>
      <c r="E53" s="5" t="s">
        <v>89</v>
      </c>
      <c r="F53" s="20" t="n">
        <f aca="false">INDEX(Inputs!$B$15:$B$19,MATCH(B53,Inputs!$A$15:$A$19,0))</f>
        <v>0.07</v>
      </c>
      <c r="G53" s="20" t="n">
        <f aca="false">INDEX(Inputs!$B$23:$B$26,MATCH(C53,Inputs!$A$23:$A$26,0))</f>
        <v>0.4</v>
      </c>
      <c r="H53" s="20" t="n">
        <f aca="false">INDEX(Inputs!$B$30:$B$34,MATCH(D53,Inputs!$A$30:$A$34,0))</f>
        <v>0.15</v>
      </c>
      <c r="I53" s="21" t="n">
        <f aca="false">F53*G53*H53</f>
        <v>0.0042</v>
      </c>
      <c r="J53" s="22" t="n">
        <f aca="false">INDEX('HB Evidence'!$F$6:$F$25,MATCH(E53,'HB Evidence'!$A$6:$A$25,0))</f>
        <v>0</v>
      </c>
      <c r="K53" s="22" t="n">
        <f aca="false">INDEX('HB Evidence'!$H$6:$H$25,MATCH(E53,'HB Evidence'!$A$6:$A$25,0))</f>
        <v>0.00222377829038176</v>
      </c>
      <c r="L53" s="15" t="n">
        <v>2000</v>
      </c>
      <c r="M53" s="15" t="n">
        <v>8</v>
      </c>
      <c r="N53" s="23" t="n">
        <f aca="false">M53/L53</f>
        <v>0.004</v>
      </c>
      <c r="O53" s="23" t="n">
        <f aca="false">IF(M53=L53,1,BETAINV(Inputs!$B$10,M53+1,L53-M53))</f>
        <v>0.0112052408385336</v>
      </c>
      <c r="P53" s="24" t="n">
        <v>0.019183</v>
      </c>
      <c r="Q53" s="25" t="n">
        <v>12.29</v>
      </c>
      <c r="R53" s="13" t="n">
        <f aca="false">I53*J53*N53*P53</f>
        <v>0</v>
      </c>
      <c r="S53" s="13" t="n">
        <f aca="false">I53*K53*O53*P53</f>
        <v>2.00760606370825E-009</v>
      </c>
      <c r="T53" s="14" t="n">
        <f aca="false">IF(Summary!$B$6&gt;0,R53/Summary!$B$6,0)</f>
        <v>0</v>
      </c>
      <c r="U53" s="13" t="n">
        <f aca="false">I53*K53</f>
        <v>9.33986881960338E-006</v>
      </c>
      <c r="V53" s="13" t="n">
        <f aca="false">I53*O53*P53</f>
        <v>9.0279056702348E-007</v>
      </c>
      <c r="W53" s="17" t="n">
        <f aca="false">INDEX('HB Evidence'!$I$6:$I$25,MATCH(E53,'HB Evidence'!$A$6:$A$25,0))</f>
        <v>0.0002</v>
      </c>
      <c r="X53" s="17" t="n">
        <f aca="false">I53*W53*N53*P53</f>
        <v>6.445488E-011</v>
      </c>
    </row>
    <row r="54" customFormat="false" ht="15" hidden="false" customHeight="false" outlineLevel="0" collapsed="false">
      <c r="A54" s="5" t="s">
        <v>173</v>
      </c>
      <c r="B54" s="5" t="s">
        <v>49</v>
      </c>
      <c r="C54" s="5" t="s">
        <v>56</v>
      </c>
      <c r="D54" s="5" t="s">
        <v>64</v>
      </c>
      <c r="E54" s="5" t="s">
        <v>89</v>
      </c>
      <c r="F54" s="20" t="n">
        <f aca="false">INDEX(Inputs!$B$15:$B$19,MATCH(B54,Inputs!$A$15:$A$19,0))</f>
        <v>0.07</v>
      </c>
      <c r="G54" s="20" t="n">
        <f aca="false">INDEX(Inputs!$B$23:$B$26,MATCH(C54,Inputs!$A$23:$A$26,0))</f>
        <v>0.4</v>
      </c>
      <c r="H54" s="20" t="n">
        <f aca="false">INDEX(Inputs!$B$30:$B$34,MATCH(D54,Inputs!$A$30:$A$34,0))</f>
        <v>0.13</v>
      </c>
      <c r="I54" s="21" t="n">
        <f aca="false">F54*G54*H54</f>
        <v>0.00364</v>
      </c>
      <c r="J54" s="22" t="n">
        <f aca="false">INDEX('HB Evidence'!$F$6:$F$25,MATCH(E54,'HB Evidence'!$A$6:$A$25,0))</f>
        <v>0</v>
      </c>
      <c r="K54" s="22" t="n">
        <f aca="false">INDEX('HB Evidence'!$H$6:$H$25,MATCH(E54,'HB Evidence'!$A$6:$A$25,0))</f>
        <v>0.00222377829038176</v>
      </c>
      <c r="L54" s="15" t="n">
        <v>2000</v>
      </c>
      <c r="M54" s="15" t="n">
        <v>25</v>
      </c>
      <c r="N54" s="23" t="n">
        <f aca="false">M54/L54</f>
        <v>0.0125</v>
      </c>
      <c r="O54" s="23" t="n">
        <f aca="false">IF(M54=L54,1,BETAINV(Inputs!$B$10,M54+1,L54-M54))</f>
        <v>0.0231172374996389</v>
      </c>
      <c r="P54" s="24" t="n">
        <v>0.036275</v>
      </c>
      <c r="Q54" s="25" t="n">
        <v>18.63</v>
      </c>
      <c r="R54" s="13" t="n">
        <f aca="false">I54*J54*N54*P54</f>
        <v>0</v>
      </c>
      <c r="S54" s="13" t="n">
        <f aca="false">I54*K54*O54*P54</f>
        <v>6.78791234890537E-009</v>
      </c>
      <c r="T54" s="14" t="n">
        <f aca="false">IF(Summary!$B$6&gt;0,R54/Summary!$B$6,0)</f>
        <v>0</v>
      </c>
      <c r="U54" s="13" t="n">
        <f aca="false">I54*K54</f>
        <v>8.0945529769896E-006</v>
      </c>
      <c r="V54" s="13" t="n">
        <f aca="false">I54*O54*P54</f>
        <v>3.05242315668982E-006</v>
      </c>
      <c r="W54" s="17" t="n">
        <f aca="false">INDEX('HB Evidence'!$I$6:$I$25,MATCH(E54,'HB Evidence'!$A$6:$A$25,0))</f>
        <v>0.0002</v>
      </c>
      <c r="X54" s="17" t="n">
        <f aca="false">I54*W54*N54*P54</f>
        <v>3.301025E-010</v>
      </c>
    </row>
    <row r="55" customFormat="false" ht="15" hidden="false" customHeight="false" outlineLevel="0" collapsed="false">
      <c r="A55" s="5" t="s">
        <v>174</v>
      </c>
      <c r="B55" s="5" t="s">
        <v>49</v>
      </c>
      <c r="C55" s="5" t="s">
        <v>56</v>
      </c>
      <c r="D55" s="5" t="s">
        <v>65</v>
      </c>
      <c r="E55" s="5" t="s">
        <v>89</v>
      </c>
      <c r="F55" s="20" t="n">
        <f aca="false">INDEX(Inputs!$B$15:$B$19,MATCH(B55,Inputs!$A$15:$A$19,0))</f>
        <v>0.07</v>
      </c>
      <c r="G55" s="20" t="n">
        <f aca="false">INDEX(Inputs!$B$23:$B$26,MATCH(C55,Inputs!$A$23:$A$26,0))</f>
        <v>0.4</v>
      </c>
      <c r="H55" s="20" t="n">
        <f aca="false">INDEX(Inputs!$B$30:$B$34,MATCH(D55,Inputs!$A$30:$A$34,0))</f>
        <v>0.07</v>
      </c>
      <c r="I55" s="21" t="n">
        <f aca="false">F55*G55*H55</f>
        <v>0.00196</v>
      </c>
      <c r="J55" s="22" t="n">
        <f aca="false">INDEX('HB Evidence'!$F$6:$F$25,MATCH(E55,'HB Evidence'!$A$6:$A$25,0))</f>
        <v>0</v>
      </c>
      <c r="K55" s="22" t="n">
        <f aca="false">INDEX('HB Evidence'!$H$6:$H$25,MATCH(E55,'HB Evidence'!$A$6:$A$25,0))</f>
        <v>0.00222377829038176</v>
      </c>
      <c r="L55" s="15" t="n">
        <v>2000</v>
      </c>
      <c r="M55" s="15" t="n">
        <v>151</v>
      </c>
      <c r="N55" s="23" t="n">
        <f aca="false">M55/L55</f>
        <v>0.0755</v>
      </c>
      <c r="O55" s="23" t="n">
        <f aca="false">IF(M55=L55,1,BETAINV(Inputs!$B$10,M55+1,L55-M55))</f>
        <v>0.0971726062052506</v>
      </c>
      <c r="P55" s="24" t="n">
        <v>0.026146</v>
      </c>
      <c r="Q55" s="25" t="n">
        <v>15.85</v>
      </c>
      <c r="R55" s="13" t="n">
        <f aca="false">I55*J55*N55*P55</f>
        <v>0</v>
      </c>
      <c r="S55" s="13" t="n">
        <f aca="false">I55*K55*O55*P55</f>
        <v>1.10737997332012E-008</v>
      </c>
      <c r="T55" s="14" t="n">
        <f aca="false">IF(Summary!$B$6&gt;0,R55/Summary!$B$6,0)</f>
        <v>0</v>
      </c>
      <c r="U55" s="13" t="n">
        <f aca="false">I55*K55</f>
        <v>4.35860544914824E-006</v>
      </c>
      <c r="V55" s="13" t="n">
        <f aca="false">I55*O55*P55</f>
        <v>4.97972292521127E-006</v>
      </c>
      <c r="W55" s="17" t="n">
        <f aca="false">INDEX('HB Evidence'!$I$6:$I$25,MATCH(E55,'HB Evidence'!$A$6:$A$25,0))</f>
        <v>0.0002</v>
      </c>
      <c r="X55" s="17" t="n">
        <f aca="false">I55*W55*N55*P55</f>
        <v>7.73817016E-010</v>
      </c>
    </row>
    <row r="56" customFormat="false" ht="15" hidden="false" customHeight="false" outlineLevel="0" collapsed="false">
      <c r="A56" s="5" t="s">
        <v>175</v>
      </c>
      <c r="B56" s="5" t="s">
        <v>49</v>
      </c>
      <c r="C56" s="5" t="s">
        <v>57</v>
      </c>
      <c r="D56" s="5" t="s">
        <v>60</v>
      </c>
      <c r="E56" s="5" t="s">
        <v>90</v>
      </c>
      <c r="F56" s="20" t="n">
        <f aca="false">INDEX(Inputs!$B$15:$B$19,MATCH(B56,Inputs!$A$15:$A$19,0))</f>
        <v>0.07</v>
      </c>
      <c r="G56" s="20" t="n">
        <f aca="false">INDEX(Inputs!$B$23:$B$26,MATCH(C56,Inputs!$A$23:$A$26,0))</f>
        <v>0.15</v>
      </c>
      <c r="H56" s="20" t="n">
        <f aca="false">INDEX(Inputs!$B$30:$B$34,MATCH(D56,Inputs!$A$30:$A$34,0))</f>
        <v>0.45</v>
      </c>
      <c r="I56" s="21" t="n">
        <f aca="false">F56*G56*H56</f>
        <v>0.004725</v>
      </c>
      <c r="J56" s="22" t="n">
        <f aca="false">INDEX('HB Evidence'!$F$6:$F$25,MATCH(E56,'HB Evidence'!$A$6:$A$25,0))</f>
        <v>0</v>
      </c>
      <c r="K56" s="22" t="n">
        <f aca="false">INDEX('HB Evidence'!$H$6:$H$25,MATCH(E56,'HB Evidence'!$A$6:$A$25,0))</f>
        <v>0.00389161200816807</v>
      </c>
      <c r="L56" s="15" t="n">
        <v>2000</v>
      </c>
      <c r="M56" s="15" t="n">
        <v>0</v>
      </c>
      <c r="N56" s="23" t="n">
        <f aca="false">M56/L56</f>
        <v>0</v>
      </c>
      <c r="O56" s="23" t="n">
        <f aca="false">IF(M56=L56,1,BETAINV(Inputs!$B$10,M56+1,L56-M56))</f>
        <v>0.00388404949945426</v>
      </c>
      <c r="P56" s="24" t="n">
        <v>0</v>
      </c>
      <c r="Q56" s="25" t="n">
        <v>0</v>
      </c>
      <c r="R56" s="13" t="n">
        <f aca="false">I56*J56*N56*P56</f>
        <v>0</v>
      </c>
      <c r="S56" s="13" t="n">
        <f aca="false">I56*K56*O56*P56</f>
        <v>0</v>
      </c>
      <c r="T56" s="14" t="n">
        <f aca="false">IF(Summary!$B$6&gt;0,R56/Summary!$B$6,0)</f>
        <v>0</v>
      </c>
      <c r="U56" s="13" t="n">
        <f aca="false">I56*K56</f>
        <v>1.83878667385942E-005</v>
      </c>
      <c r="V56" s="13" t="n">
        <f aca="false">I56*O56*P56</f>
        <v>0</v>
      </c>
      <c r="W56" s="17" t="n">
        <f aca="false">INDEX('HB Evidence'!$I$6:$I$25,MATCH(E56,'HB Evidence'!$A$6:$A$25,0))</f>
        <v>0.00024</v>
      </c>
      <c r="X56" s="17" t="n">
        <f aca="false">I56*W56*N56*P56</f>
        <v>0</v>
      </c>
    </row>
    <row r="57" customFormat="false" ht="15" hidden="false" customHeight="false" outlineLevel="0" collapsed="false">
      <c r="A57" s="5" t="s">
        <v>176</v>
      </c>
      <c r="B57" s="5" t="s">
        <v>49</v>
      </c>
      <c r="C57" s="5" t="s">
        <v>57</v>
      </c>
      <c r="D57" s="5" t="s">
        <v>62</v>
      </c>
      <c r="E57" s="5" t="s">
        <v>90</v>
      </c>
      <c r="F57" s="20" t="n">
        <f aca="false">INDEX(Inputs!$B$15:$B$19,MATCH(B57,Inputs!$A$15:$A$19,0))</f>
        <v>0.07</v>
      </c>
      <c r="G57" s="20" t="n">
        <f aca="false">INDEX(Inputs!$B$23:$B$26,MATCH(C57,Inputs!$A$23:$A$26,0))</f>
        <v>0.15</v>
      </c>
      <c r="H57" s="20" t="n">
        <f aca="false">INDEX(Inputs!$B$30:$B$34,MATCH(D57,Inputs!$A$30:$A$34,0))</f>
        <v>0.2</v>
      </c>
      <c r="I57" s="21" t="n">
        <f aca="false">F57*G57*H57</f>
        <v>0.0021</v>
      </c>
      <c r="J57" s="22" t="n">
        <f aca="false">INDEX('HB Evidence'!$F$6:$F$25,MATCH(E57,'HB Evidence'!$A$6:$A$25,0))</f>
        <v>0</v>
      </c>
      <c r="K57" s="22" t="n">
        <f aca="false">INDEX('HB Evidence'!$H$6:$H$25,MATCH(E57,'HB Evidence'!$A$6:$A$25,0))</f>
        <v>0.00389161200816807</v>
      </c>
      <c r="L57" s="15" t="n">
        <v>2000</v>
      </c>
      <c r="M57" s="15" t="n">
        <v>1</v>
      </c>
      <c r="N57" s="23" t="n">
        <f aca="false">M57/L57</f>
        <v>0.0005</v>
      </c>
      <c r="O57" s="23" t="n">
        <f aca="false">IF(M57=L57,1,BETAINV(Inputs!$B$10,M57+1,L57-M57))</f>
        <v>0.00508781553003008</v>
      </c>
      <c r="P57" s="24" t="n">
        <v>0.100266</v>
      </c>
      <c r="Q57" s="25" t="n">
        <v>29.64</v>
      </c>
      <c r="R57" s="13" t="n">
        <f aca="false">I57*J57*N57*P57</f>
        <v>0</v>
      </c>
      <c r="S57" s="13" t="n">
        <f aca="false">I57*K57*O57*P57</f>
        <v>4.16901901304302E-009</v>
      </c>
      <c r="T57" s="14" t="n">
        <f aca="false">IF(Summary!$B$6&gt;0,R57/Summary!$B$6,0)</f>
        <v>0</v>
      </c>
      <c r="U57" s="13" t="n">
        <f aca="false">I57*K57</f>
        <v>8.17238521715296E-006</v>
      </c>
      <c r="V57" s="13" t="n">
        <f aca="false">I57*O57*P57</f>
        <v>1.07128331506139E-006</v>
      </c>
      <c r="W57" s="17" t="n">
        <f aca="false">INDEX('HB Evidence'!$I$6:$I$25,MATCH(E57,'HB Evidence'!$A$6:$A$25,0))</f>
        <v>0.00024</v>
      </c>
      <c r="X57" s="17" t="n">
        <f aca="false">I57*W57*N57*P57</f>
        <v>2.5267032E-011</v>
      </c>
    </row>
    <row r="58" customFormat="false" ht="15" hidden="false" customHeight="false" outlineLevel="0" collapsed="false">
      <c r="A58" s="5" t="s">
        <v>177</v>
      </c>
      <c r="B58" s="5" t="s">
        <v>49</v>
      </c>
      <c r="C58" s="5" t="s">
        <v>57</v>
      </c>
      <c r="D58" s="5" t="s">
        <v>63</v>
      </c>
      <c r="E58" s="5" t="s">
        <v>90</v>
      </c>
      <c r="F58" s="20" t="n">
        <f aca="false">INDEX(Inputs!$B$15:$B$19,MATCH(B58,Inputs!$A$15:$A$19,0))</f>
        <v>0.07</v>
      </c>
      <c r="G58" s="20" t="n">
        <f aca="false">INDEX(Inputs!$B$23:$B$26,MATCH(C58,Inputs!$A$23:$A$26,0))</f>
        <v>0.15</v>
      </c>
      <c r="H58" s="20" t="n">
        <f aca="false">INDEX(Inputs!$B$30:$B$34,MATCH(D58,Inputs!$A$30:$A$34,0))</f>
        <v>0.15</v>
      </c>
      <c r="I58" s="21" t="n">
        <f aca="false">F58*G58*H58</f>
        <v>0.001575</v>
      </c>
      <c r="J58" s="22" t="n">
        <f aca="false">INDEX('HB Evidence'!$F$6:$F$25,MATCH(E58,'HB Evidence'!$A$6:$A$25,0))</f>
        <v>0</v>
      </c>
      <c r="K58" s="22" t="n">
        <f aca="false">INDEX('HB Evidence'!$H$6:$H$25,MATCH(E58,'HB Evidence'!$A$6:$A$25,0))</f>
        <v>0.00389161200816807</v>
      </c>
      <c r="L58" s="15" t="n">
        <v>2000</v>
      </c>
      <c r="M58" s="15" t="n">
        <v>1</v>
      </c>
      <c r="N58" s="23" t="n">
        <f aca="false">M58/L58</f>
        <v>0.0005</v>
      </c>
      <c r="O58" s="23" t="n">
        <f aca="false">IF(M58=L58,1,BETAINV(Inputs!$B$10,M58+1,L58-M58))</f>
        <v>0.00508781553003008</v>
      </c>
      <c r="P58" s="24" t="n">
        <v>0.15919</v>
      </c>
      <c r="Q58" s="25" t="n">
        <v>33.35</v>
      </c>
      <c r="R58" s="13" t="n">
        <f aca="false">I58*J58*N58*P58</f>
        <v>0</v>
      </c>
      <c r="S58" s="13" t="n">
        <f aca="false">I58*K58*O58*P58</f>
        <v>4.96429101105797E-009</v>
      </c>
      <c r="T58" s="14" t="n">
        <f aca="false">IF(Summary!$B$6&gt;0,R58/Summary!$B$6,0)</f>
        <v>0</v>
      </c>
      <c r="U58" s="13" t="n">
        <f aca="false">I58*K58</f>
        <v>6.12928891286472E-006</v>
      </c>
      <c r="V58" s="13" t="n">
        <f aca="false">I58*O58*P58</f>
        <v>1.27563873290514E-006</v>
      </c>
      <c r="W58" s="17" t="n">
        <f aca="false">INDEX('HB Evidence'!$I$6:$I$25,MATCH(E58,'HB Evidence'!$A$6:$A$25,0))</f>
        <v>0.00024</v>
      </c>
      <c r="X58" s="17" t="n">
        <f aca="false">I58*W58*N58*P58</f>
        <v>3.008691E-011</v>
      </c>
    </row>
    <row r="59" customFormat="false" ht="15" hidden="false" customHeight="false" outlineLevel="0" collapsed="false">
      <c r="A59" s="5" t="s">
        <v>178</v>
      </c>
      <c r="B59" s="5" t="s">
        <v>49</v>
      </c>
      <c r="C59" s="5" t="s">
        <v>57</v>
      </c>
      <c r="D59" s="5" t="s">
        <v>64</v>
      </c>
      <c r="E59" s="5" t="s">
        <v>90</v>
      </c>
      <c r="F59" s="20" t="n">
        <f aca="false">INDEX(Inputs!$B$15:$B$19,MATCH(B59,Inputs!$A$15:$A$19,0))</f>
        <v>0.07</v>
      </c>
      <c r="G59" s="20" t="n">
        <f aca="false">INDEX(Inputs!$B$23:$B$26,MATCH(C59,Inputs!$A$23:$A$26,0))</f>
        <v>0.15</v>
      </c>
      <c r="H59" s="20" t="n">
        <f aca="false">INDEX(Inputs!$B$30:$B$34,MATCH(D59,Inputs!$A$30:$A$34,0))</f>
        <v>0.13</v>
      </c>
      <c r="I59" s="21" t="n">
        <f aca="false">F59*G59*H59</f>
        <v>0.001365</v>
      </c>
      <c r="J59" s="22" t="n">
        <f aca="false">INDEX('HB Evidence'!$F$6:$F$25,MATCH(E59,'HB Evidence'!$A$6:$A$25,0))</f>
        <v>0</v>
      </c>
      <c r="K59" s="22" t="n">
        <f aca="false">INDEX('HB Evidence'!$H$6:$H$25,MATCH(E59,'HB Evidence'!$A$6:$A$25,0))</f>
        <v>0.00389161200816807</v>
      </c>
      <c r="L59" s="15" t="n">
        <v>2000</v>
      </c>
      <c r="M59" s="15" t="n">
        <v>6</v>
      </c>
      <c r="N59" s="23" t="n">
        <f aca="false">M59/L59</f>
        <v>0.003</v>
      </c>
      <c r="O59" s="23" t="n">
        <f aca="false">IF(M59=L59,1,BETAINV(Inputs!$B$10,M59+1,L59-M59))</f>
        <v>0.00962418520988131</v>
      </c>
      <c r="P59" s="24" t="n">
        <v>0.06519</v>
      </c>
      <c r="Q59" s="25" t="n">
        <v>22.45</v>
      </c>
      <c r="R59" s="13" t="n">
        <f aca="false">I59*J59*N59*P59</f>
        <v>0</v>
      </c>
      <c r="S59" s="13" t="n">
        <f aca="false">I59*K59*O59*P59</f>
        <v>3.33278378235554E-009</v>
      </c>
      <c r="T59" s="14" t="n">
        <f aca="false">IF(Summary!$B$6&gt;0,R59/Summary!$B$6,0)</f>
        <v>0</v>
      </c>
      <c r="U59" s="13" t="n">
        <f aca="false">I59*K59</f>
        <v>5.31205039114942E-006</v>
      </c>
      <c r="V59" s="13" t="n">
        <f aca="false">I59*O59*P59</f>
        <v>8.56401865180902E-007</v>
      </c>
      <c r="W59" s="17" t="n">
        <f aca="false">INDEX('HB Evidence'!$I$6:$I$25,MATCH(E59,'HB Evidence'!$A$6:$A$25,0))</f>
        <v>0.00024</v>
      </c>
      <c r="X59" s="17" t="n">
        <f aca="false">I59*W59*N59*P59</f>
        <v>6.4068732E-011</v>
      </c>
    </row>
    <row r="60" customFormat="false" ht="15" hidden="false" customHeight="false" outlineLevel="0" collapsed="false">
      <c r="A60" s="5" t="s">
        <v>179</v>
      </c>
      <c r="B60" s="5" t="s">
        <v>49</v>
      </c>
      <c r="C60" s="5" t="s">
        <v>57</v>
      </c>
      <c r="D60" s="5" t="s">
        <v>65</v>
      </c>
      <c r="E60" s="5" t="s">
        <v>90</v>
      </c>
      <c r="F60" s="20" t="n">
        <f aca="false">INDEX(Inputs!$B$15:$B$19,MATCH(B60,Inputs!$A$15:$A$19,0))</f>
        <v>0.07</v>
      </c>
      <c r="G60" s="20" t="n">
        <f aca="false">INDEX(Inputs!$B$23:$B$26,MATCH(C60,Inputs!$A$23:$A$26,0))</f>
        <v>0.15</v>
      </c>
      <c r="H60" s="20" t="n">
        <f aca="false">INDEX(Inputs!$B$30:$B$34,MATCH(D60,Inputs!$A$30:$A$34,0))</f>
        <v>0.07</v>
      </c>
      <c r="I60" s="21" t="n">
        <f aca="false">F60*G60*H60</f>
        <v>0.000735</v>
      </c>
      <c r="J60" s="22" t="n">
        <f aca="false">INDEX('HB Evidence'!$F$6:$F$25,MATCH(E60,'HB Evidence'!$A$6:$A$25,0))</f>
        <v>0</v>
      </c>
      <c r="K60" s="22" t="n">
        <f aca="false">INDEX('HB Evidence'!$H$6:$H$25,MATCH(E60,'HB Evidence'!$A$6:$A$25,0))</f>
        <v>0.00389161200816807</v>
      </c>
      <c r="L60" s="15" t="n">
        <v>2000</v>
      </c>
      <c r="M60" s="15" t="n">
        <v>35</v>
      </c>
      <c r="N60" s="23" t="n">
        <f aca="false">M60/L60</f>
        <v>0.0175</v>
      </c>
      <c r="O60" s="23" t="n">
        <f aca="false">IF(M60=L60,1,BETAINV(Inputs!$B$10,M60+1,L60-M60))</f>
        <v>0.0295619568342202</v>
      </c>
      <c r="P60" s="24" t="n">
        <v>0.046424</v>
      </c>
      <c r="Q60" s="25" t="n">
        <v>18.25</v>
      </c>
      <c r="R60" s="13" t="n">
        <f aca="false">I60*J60*N60*P60</f>
        <v>0</v>
      </c>
      <c r="S60" s="13" t="n">
        <f aca="false">I60*K60*O60*P60</f>
        <v>3.92547856239061E-009</v>
      </c>
      <c r="T60" s="14" t="n">
        <f aca="false">IF(Summary!$B$6&gt;0,R60/Summary!$B$6,0)</f>
        <v>0</v>
      </c>
      <c r="U60" s="13" t="n">
        <f aca="false">I60*K60</f>
        <v>2.86033482600353E-006</v>
      </c>
      <c r="V60" s="13" t="n">
        <f aca="false">I60*O60*P60</f>
        <v>1.0087024487928E-006</v>
      </c>
      <c r="W60" s="17" t="n">
        <f aca="false">INDEX('HB Evidence'!$I$6:$I$25,MATCH(E60,'HB Evidence'!$A$6:$A$25,0))</f>
        <v>0.00024</v>
      </c>
      <c r="X60" s="17" t="n">
        <f aca="false">I60*W60*N60*P60</f>
        <v>1.43310888E-010</v>
      </c>
    </row>
    <row r="61" customFormat="false" ht="15" hidden="false" customHeight="false" outlineLevel="0" collapsed="false">
      <c r="A61" s="5" t="s">
        <v>180</v>
      </c>
      <c r="B61" s="5" t="s">
        <v>49</v>
      </c>
      <c r="C61" s="5" t="s">
        <v>58</v>
      </c>
      <c r="D61" s="5" t="s">
        <v>60</v>
      </c>
      <c r="E61" s="5" t="s">
        <v>91</v>
      </c>
      <c r="F61" s="20" t="n">
        <f aca="false">INDEX(Inputs!$B$15:$B$19,MATCH(B61,Inputs!$A$15:$A$19,0))</f>
        <v>0.07</v>
      </c>
      <c r="G61" s="20" t="n">
        <f aca="false">INDEX(Inputs!$B$23:$B$26,MATCH(C61,Inputs!$A$23:$A$26,0))</f>
        <v>0.1</v>
      </c>
      <c r="H61" s="20" t="n">
        <f aca="false">INDEX(Inputs!$B$30:$B$34,MATCH(D61,Inputs!$A$30:$A$34,0))</f>
        <v>0.45</v>
      </c>
      <c r="I61" s="21" t="n">
        <f aca="false">F61*G61*H61</f>
        <v>0.00315</v>
      </c>
      <c r="J61" s="22" t="n">
        <f aca="false">INDEX('HB Evidence'!$F$6:$F$25,MATCH(E61,'HB Evidence'!$A$6:$A$25,0))</f>
        <v>0</v>
      </c>
      <c r="K61" s="22" t="n">
        <f aca="false">INDEX('HB Evidence'!$H$6:$H$25,MATCH(E61,'HB Evidence'!$A$6:$A$25,0))</f>
        <v>0.00518881601089077</v>
      </c>
      <c r="L61" s="15" t="n">
        <v>2000</v>
      </c>
      <c r="M61" s="15" t="n">
        <v>0</v>
      </c>
      <c r="N61" s="23" t="n">
        <f aca="false">M61/L61</f>
        <v>0</v>
      </c>
      <c r="O61" s="23" t="n">
        <f aca="false">IF(M61=L61,1,BETAINV(Inputs!$B$10,M61+1,L61-M61))</f>
        <v>0.00388404949945426</v>
      </c>
      <c r="P61" s="24" t="n">
        <v>0</v>
      </c>
      <c r="Q61" s="25" t="n">
        <v>0</v>
      </c>
      <c r="R61" s="13" t="n">
        <f aca="false">I61*J61*N61*P61</f>
        <v>0</v>
      </c>
      <c r="S61" s="13" t="n">
        <f aca="false">I61*K61*O61*P61</f>
        <v>0</v>
      </c>
      <c r="T61" s="14" t="n">
        <f aca="false">IF(Summary!$B$6&gt;0,R61/Summary!$B$6,0)</f>
        <v>0</v>
      </c>
      <c r="U61" s="13" t="n">
        <f aca="false">I61*K61</f>
        <v>1.63447704343059E-005</v>
      </c>
      <c r="V61" s="13" t="n">
        <f aca="false">I61*O61*P61</f>
        <v>0</v>
      </c>
      <c r="W61" s="17" t="n">
        <f aca="false">INDEX('HB Evidence'!$I$6:$I$25,MATCH(E61,'HB Evidence'!$A$6:$A$25,0))</f>
        <v>0.0003</v>
      </c>
      <c r="X61" s="17" t="n">
        <f aca="false">I61*W61*N61*P61</f>
        <v>0</v>
      </c>
    </row>
    <row r="62" customFormat="false" ht="15" hidden="false" customHeight="false" outlineLevel="0" collapsed="false">
      <c r="A62" s="5" t="s">
        <v>181</v>
      </c>
      <c r="B62" s="5" t="s">
        <v>49</v>
      </c>
      <c r="C62" s="5" t="s">
        <v>58</v>
      </c>
      <c r="D62" s="5" t="s">
        <v>62</v>
      </c>
      <c r="E62" s="5" t="s">
        <v>91</v>
      </c>
      <c r="F62" s="20" t="n">
        <f aca="false">INDEX(Inputs!$B$15:$B$19,MATCH(B62,Inputs!$A$15:$A$19,0))</f>
        <v>0.07</v>
      </c>
      <c r="G62" s="20" t="n">
        <f aca="false">INDEX(Inputs!$B$23:$B$26,MATCH(C62,Inputs!$A$23:$A$26,0))</f>
        <v>0.1</v>
      </c>
      <c r="H62" s="20" t="n">
        <f aca="false">INDEX(Inputs!$B$30:$B$34,MATCH(D62,Inputs!$A$30:$A$34,0))</f>
        <v>0.2</v>
      </c>
      <c r="I62" s="21" t="n">
        <f aca="false">F62*G62*H62</f>
        <v>0.0014</v>
      </c>
      <c r="J62" s="22" t="n">
        <f aca="false">INDEX('HB Evidence'!$F$6:$F$25,MATCH(E62,'HB Evidence'!$A$6:$A$25,0))</f>
        <v>0</v>
      </c>
      <c r="K62" s="22" t="n">
        <f aca="false">INDEX('HB Evidence'!$H$6:$H$25,MATCH(E62,'HB Evidence'!$A$6:$A$25,0))</f>
        <v>0.00518881601089077</v>
      </c>
      <c r="L62" s="15" t="n">
        <v>2000</v>
      </c>
      <c r="M62" s="15" t="n">
        <v>0</v>
      </c>
      <c r="N62" s="23" t="n">
        <f aca="false">M62/L62</f>
        <v>0</v>
      </c>
      <c r="O62" s="23" t="n">
        <f aca="false">IF(M62=L62,1,BETAINV(Inputs!$B$10,M62+1,L62-M62))</f>
        <v>0.00388404949945426</v>
      </c>
      <c r="P62" s="24" t="n">
        <v>0</v>
      </c>
      <c r="Q62" s="25" t="n">
        <v>0</v>
      </c>
      <c r="R62" s="13" t="n">
        <f aca="false">I62*J62*N62*P62</f>
        <v>0</v>
      </c>
      <c r="S62" s="13" t="n">
        <f aca="false">I62*K62*O62*P62</f>
        <v>0</v>
      </c>
      <c r="T62" s="14" t="n">
        <f aca="false">IF(Summary!$B$6&gt;0,R62/Summary!$B$6,0)</f>
        <v>0</v>
      </c>
      <c r="U62" s="13" t="n">
        <f aca="false">I62*K62</f>
        <v>7.26434241524707E-006</v>
      </c>
      <c r="V62" s="13" t="n">
        <f aca="false">I62*O62*P62</f>
        <v>0</v>
      </c>
      <c r="W62" s="17" t="n">
        <f aca="false">INDEX('HB Evidence'!$I$6:$I$25,MATCH(E62,'HB Evidence'!$A$6:$A$25,0))</f>
        <v>0.0003</v>
      </c>
      <c r="X62" s="17" t="n">
        <f aca="false">I62*W62*N62*P62</f>
        <v>0</v>
      </c>
    </row>
    <row r="63" customFormat="false" ht="15" hidden="false" customHeight="false" outlineLevel="0" collapsed="false">
      <c r="A63" s="5" t="s">
        <v>182</v>
      </c>
      <c r="B63" s="5" t="s">
        <v>49</v>
      </c>
      <c r="C63" s="5" t="s">
        <v>58</v>
      </c>
      <c r="D63" s="5" t="s">
        <v>63</v>
      </c>
      <c r="E63" s="5" t="s">
        <v>91</v>
      </c>
      <c r="F63" s="20" t="n">
        <f aca="false">INDEX(Inputs!$B$15:$B$19,MATCH(B63,Inputs!$A$15:$A$19,0))</f>
        <v>0.07</v>
      </c>
      <c r="G63" s="20" t="n">
        <f aca="false">INDEX(Inputs!$B$23:$B$26,MATCH(C63,Inputs!$A$23:$A$26,0))</f>
        <v>0.1</v>
      </c>
      <c r="H63" s="20" t="n">
        <f aca="false">INDEX(Inputs!$B$30:$B$34,MATCH(D63,Inputs!$A$30:$A$34,0))</f>
        <v>0.15</v>
      </c>
      <c r="I63" s="21" t="n">
        <f aca="false">F63*G63*H63</f>
        <v>0.00105</v>
      </c>
      <c r="J63" s="22" t="n">
        <f aca="false">INDEX('HB Evidence'!$F$6:$F$25,MATCH(E63,'HB Evidence'!$A$6:$A$25,0))</f>
        <v>0</v>
      </c>
      <c r="K63" s="22" t="n">
        <f aca="false">INDEX('HB Evidence'!$H$6:$H$25,MATCH(E63,'HB Evidence'!$A$6:$A$25,0))</f>
        <v>0.00518881601089077</v>
      </c>
      <c r="L63" s="15" t="n">
        <v>2000</v>
      </c>
      <c r="M63" s="15" t="n">
        <v>1</v>
      </c>
      <c r="N63" s="23" t="n">
        <f aca="false">M63/L63</f>
        <v>0.0005</v>
      </c>
      <c r="O63" s="23" t="n">
        <f aca="false">IF(M63=L63,1,BETAINV(Inputs!$B$10,M63+1,L63-M63))</f>
        <v>0.00508781553003008</v>
      </c>
      <c r="P63" s="24" t="n">
        <v>0.478271</v>
      </c>
      <c r="Q63" s="25" t="n">
        <v>44.39</v>
      </c>
      <c r="R63" s="13" t="n">
        <f aca="false">I63*J63*N63*P63</f>
        <v>0</v>
      </c>
      <c r="S63" s="13" t="n">
        <f aca="false">I63*K63*O63*P63</f>
        <v>1.32575408904786E-008</v>
      </c>
      <c r="T63" s="14" t="n">
        <f aca="false">IF(Summary!$B$6&gt;0,R63/Summary!$B$6,0)</f>
        <v>0</v>
      </c>
      <c r="U63" s="13" t="n">
        <f aca="false">I63*K63</f>
        <v>5.44825681143531E-006</v>
      </c>
      <c r="V63" s="13" t="n">
        <f aca="false">I63*O63*P63</f>
        <v>2.55502235243117E-006</v>
      </c>
      <c r="W63" s="17" t="n">
        <f aca="false">INDEX('HB Evidence'!$I$6:$I$25,MATCH(E63,'HB Evidence'!$A$6:$A$25,0))</f>
        <v>0.0003</v>
      </c>
      <c r="X63" s="17" t="n">
        <f aca="false">I63*W63*N63*P63</f>
        <v>7.53276825E-011</v>
      </c>
    </row>
    <row r="64" customFormat="false" ht="15" hidden="false" customHeight="false" outlineLevel="0" collapsed="false">
      <c r="A64" s="5" t="s">
        <v>183</v>
      </c>
      <c r="B64" s="5" t="s">
        <v>49</v>
      </c>
      <c r="C64" s="5" t="s">
        <v>58</v>
      </c>
      <c r="D64" s="5" t="s">
        <v>64</v>
      </c>
      <c r="E64" s="5" t="s">
        <v>91</v>
      </c>
      <c r="F64" s="20" t="n">
        <f aca="false">INDEX(Inputs!$B$15:$B$19,MATCH(B64,Inputs!$A$15:$A$19,0))</f>
        <v>0.07</v>
      </c>
      <c r="G64" s="20" t="n">
        <f aca="false">INDEX(Inputs!$B$23:$B$26,MATCH(C64,Inputs!$A$23:$A$26,0))</f>
        <v>0.1</v>
      </c>
      <c r="H64" s="20" t="n">
        <f aca="false">INDEX(Inputs!$B$30:$B$34,MATCH(D64,Inputs!$A$30:$A$34,0))</f>
        <v>0.13</v>
      </c>
      <c r="I64" s="21" t="n">
        <f aca="false">F64*G64*H64</f>
        <v>0.00091</v>
      </c>
      <c r="J64" s="22" t="n">
        <f aca="false">INDEX('HB Evidence'!$F$6:$F$25,MATCH(E64,'HB Evidence'!$A$6:$A$25,0))</f>
        <v>0</v>
      </c>
      <c r="K64" s="22" t="n">
        <f aca="false">INDEX('HB Evidence'!$H$6:$H$25,MATCH(E64,'HB Evidence'!$A$6:$A$25,0))</f>
        <v>0.00518881601089077</v>
      </c>
      <c r="L64" s="15" t="n">
        <v>2000</v>
      </c>
      <c r="M64" s="15" t="n">
        <v>2</v>
      </c>
      <c r="N64" s="23" t="n">
        <f aca="false">M64/L64</f>
        <v>0.001</v>
      </c>
      <c r="O64" s="23" t="n">
        <f aca="false">IF(M64=L64,1,BETAINV(Inputs!$B$10,M64+1,L64-M64))</f>
        <v>0.00611737163154275</v>
      </c>
      <c r="P64" s="24" t="n">
        <v>0.095295</v>
      </c>
      <c r="Q64" s="25" t="n">
        <v>27.16</v>
      </c>
      <c r="R64" s="13" t="n">
        <f aca="false">I64*J64*N64*P64</f>
        <v>0</v>
      </c>
      <c r="S64" s="13" t="n">
        <f aca="false">I64*K64*O64*P64</f>
        <v>2.7526097439575E-009</v>
      </c>
      <c r="T64" s="14" t="n">
        <f aca="false">IF(Summary!$B$6&gt;0,R64/Summary!$B$6,0)</f>
        <v>0</v>
      </c>
      <c r="U64" s="13" t="n">
        <f aca="false">I64*K64</f>
        <v>4.7218225699106E-006</v>
      </c>
      <c r="V64" s="13" t="n">
        <f aca="false">I64*O64*P64</f>
        <v>5.30488985961359E-007</v>
      </c>
      <c r="W64" s="17" t="n">
        <f aca="false">INDEX('HB Evidence'!$I$6:$I$25,MATCH(E64,'HB Evidence'!$A$6:$A$25,0))</f>
        <v>0.0003</v>
      </c>
      <c r="X64" s="17" t="n">
        <f aca="false">I64*W64*N64*P64</f>
        <v>2.6015535E-011</v>
      </c>
    </row>
    <row r="65" customFormat="false" ht="15" hidden="false" customHeight="false" outlineLevel="0" collapsed="false">
      <c r="A65" s="5" t="s">
        <v>184</v>
      </c>
      <c r="B65" s="5" t="s">
        <v>49</v>
      </c>
      <c r="C65" s="5" t="s">
        <v>58</v>
      </c>
      <c r="D65" s="5" t="s">
        <v>65</v>
      </c>
      <c r="E65" s="5" t="s">
        <v>91</v>
      </c>
      <c r="F65" s="20" t="n">
        <f aca="false">INDEX(Inputs!$B$15:$B$19,MATCH(B65,Inputs!$A$15:$A$19,0))</f>
        <v>0.07</v>
      </c>
      <c r="G65" s="20" t="n">
        <f aca="false">INDEX(Inputs!$B$23:$B$26,MATCH(C65,Inputs!$A$23:$A$26,0))</f>
        <v>0.1</v>
      </c>
      <c r="H65" s="20" t="n">
        <f aca="false">INDEX(Inputs!$B$30:$B$34,MATCH(D65,Inputs!$A$30:$A$34,0))</f>
        <v>0.07</v>
      </c>
      <c r="I65" s="21" t="n">
        <f aca="false">F65*G65*H65</f>
        <v>0.00049</v>
      </c>
      <c r="J65" s="22" t="n">
        <f aca="false">INDEX('HB Evidence'!$F$6:$F$25,MATCH(E65,'HB Evidence'!$A$6:$A$25,0))</f>
        <v>0</v>
      </c>
      <c r="K65" s="22" t="n">
        <f aca="false">INDEX('HB Evidence'!$H$6:$H$25,MATCH(E65,'HB Evidence'!$A$6:$A$25,0))</f>
        <v>0.00518881601089077</v>
      </c>
      <c r="L65" s="15" t="n">
        <v>2000</v>
      </c>
      <c r="M65" s="15" t="n">
        <v>18</v>
      </c>
      <c r="N65" s="23" t="n">
        <f aca="false">M65/L65</f>
        <v>0.009</v>
      </c>
      <c r="O65" s="23" t="n">
        <f aca="false">IF(M65=L65,1,BETAINV(Inputs!$B$10,M65+1,L65-M65))</f>
        <v>0.0184207828742698</v>
      </c>
      <c r="P65" s="24" t="n">
        <v>0.083424</v>
      </c>
      <c r="Q65" s="25" t="n">
        <v>20.04</v>
      </c>
      <c r="R65" s="13" t="n">
        <f aca="false">I65*J65*N65*P65</f>
        <v>0</v>
      </c>
      <c r="S65" s="13" t="n">
        <f aca="false">I65*K65*O65*P65</f>
        <v>3.90718022738499E-009</v>
      </c>
      <c r="T65" s="14" t="n">
        <f aca="false">IF(Summary!$B$6&gt;0,R65/Summary!$B$6,0)</f>
        <v>0</v>
      </c>
      <c r="U65" s="13" t="n">
        <f aca="false">I65*K65</f>
        <v>2.54251984533648E-006</v>
      </c>
      <c r="V65" s="13" t="n">
        <f aca="false">I65*O65*P65</f>
        <v>7.53000341346512E-007</v>
      </c>
      <c r="W65" s="17" t="n">
        <f aca="false">INDEX('HB Evidence'!$I$6:$I$25,MATCH(E65,'HB Evidence'!$A$6:$A$25,0))</f>
        <v>0.0003</v>
      </c>
      <c r="X65" s="17" t="n">
        <f aca="false">I65*W65*N65*P65</f>
        <v>1.10369952E-010</v>
      </c>
    </row>
    <row r="66" customFormat="false" ht="15" hidden="false" customHeight="false" outlineLevel="0" collapsed="false">
      <c r="A66" s="5" t="s">
        <v>185</v>
      </c>
      <c r="B66" s="5" t="s">
        <v>50</v>
      </c>
      <c r="C66" s="5" t="s">
        <v>54</v>
      </c>
      <c r="D66" s="5" t="s">
        <v>60</v>
      </c>
      <c r="E66" s="5" t="s">
        <v>92</v>
      </c>
      <c r="F66" s="20" t="n">
        <f aca="false">INDEX(Inputs!$B$15:$B$19,MATCH(B66,Inputs!$A$15:$A$19,0))</f>
        <v>0.05</v>
      </c>
      <c r="G66" s="20" t="n">
        <f aca="false">INDEX(Inputs!$B$23:$B$26,MATCH(C66,Inputs!$A$23:$A$26,0))</f>
        <v>0.35</v>
      </c>
      <c r="H66" s="20" t="n">
        <f aca="false">INDEX(Inputs!$B$30:$B$34,MATCH(D66,Inputs!$A$30:$A$34,0))</f>
        <v>0.45</v>
      </c>
      <c r="I66" s="21" t="n">
        <f aca="false">F66*G66*H66</f>
        <v>0.007875</v>
      </c>
      <c r="J66" s="22" t="n">
        <f aca="false">INDEX('HB Evidence'!$F$6:$F$25,MATCH(E66,'HB Evidence'!$A$6:$A$25,0))</f>
        <v>0.0008</v>
      </c>
      <c r="K66" s="22" t="n">
        <f aca="false">INDEX('HB Evidence'!$H$6:$H$25,MATCH(E66,'HB Evidence'!$A$6:$A$25,0))</f>
        <v>0.00490647139970048</v>
      </c>
      <c r="L66" s="15" t="n">
        <v>2000</v>
      </c>
      <c r="M66" s="15" t="n">
        <v>0</v>
      </c>
      <c r="N66" s="23" t="n">
        <f aca="false">M66/L66</f>
        <v>0</v>
      </c>
      <c r="O66" s="23" t="n">
        <f aca="false">IF(M66=L66,1,BETAINV(Inputs!$B$10,M66+1,L66-M66))</f>
        <v>0.00388404949945426</v>
      </c>
      <c r="P66" s="24" t="n">
        <v>0</v>
      </c>
      <c r="Q66" s="25" t="n">
        <v>0</v>
      </c>
      <c r="R66" s="13" t="n">
        <f aca="false">I66*J66*N66*P66</f>
        <v>0</v>
      </c>
      <c r="S66" s="13" t="n">
        <f aca="false">I66*K66*O66*P66</f>
        <v>0</v>
      </c>
      <c r="T66" s="14" t="n">
        <f aca="false">IF(Summary!$B$6&gt;0,R66/Summary!$B$6,0)</f>
        <v>0</v>
      </c>
      <c r="U66" s="13" t="n">
        <f aca="false">I66*K66</f>
        <v>3.86384622726413E-005</v>
      </c>
      <c r="V66" s="13" t="n">
        <f aca="false">I66*O66*P66</f>
        <v>0</v>
      </c>
      <c r="W66" s="17" t="n">
        <f aca="false">INDEX('HB Evidence'!$I$6:$I$25,MATCH(E66,'HB Evidence'!$A$6:$A$25,0))</f>
        <v>0.0006</v>
      </c>
      <c r="X66" s="17" t="n">
        <f aca="false">I66*W66*N66*P66</f>
        <v>0</v>
      </c>
    </row>
    <row r="67" customFormat="false" ht="15" hidden="false" customHeight="false" outlineLevel="0" collapsed="false">
      <c r="A67" s="5" t="s">
        <v>186</v>
      </c>
      <c r="B67" s="5" t="s">
        <v>50</v>
      </c>
      <c r="C67" s="5" t="s">
        <v>54</v>
      </c>
      <c r="D67" s="5" t="s">
        <v>62</v>
      </c>
      <c r="E67" s="5" t="s">
        <v>92</v>
      </c>
      <c r="F67" s="20" t="n">
        <f aca="false">INDEX(Inputs!$B$15:$B$19,MATCH(B67,Inputs!$A$15:$A$19,0))</f>
        <v>0.05</v>
      </c>
      <c r="G67" s="20" t="n">
        <f aca="false">INDEX(Inputs!$B$23:$B$26,MATCH(C67,Inputs!$A$23:$A$26,0))</f>
        <v>0.35</v>
      </c>
      <c r="H67" s="20" t="n">
        <f aca="false">INDEX(Inputs!$B$30:$B$34,MATCH(D67,Inputs!$A$30:$A$34,0))</f>
        <v>0.2</v>
      </c>
      <c r="I67" s="21" t="n">
        <f aca="false">F67*G67*H67</f>
        <v>0.0035</v>
      </c>
      <c r="J67" s="22" t="n">
        <f aca="false">INDEX('HB Evidence'!$F$6:$F$25,MATCH(E67,'HB Evidence'!$A$6:$A$25,0))</f>
        <v>0.0008</v>
      </c>
      <c r="K67" s="22" t="n">
        <f aca="false">INDEX('HB Evidence'!$H$6:$H$25,MATCH(E67,'HB Evidence'!$A$6:$A$25,0))</f>
        <v>0.00490647139970048</v>
      </c>
      <c r="L67" s="15" t="n">
        <v>2000</v>
      </c>
      <c r="M67" s="15" t="n">
        <v>2</v>
      </c>
      <c r="N67" s="23" t="n">
        <f aca="false">M67/L67</f>
        <v>0.001</v>
      </c>
      <c r="O67" s="23" t="n">
        <f aca="false">IF(M67=L67,1,BETAINV(Inputs!$B$10,M67+1,L67-M67))</f>
        <v>0.00611737163154275</v>
      </c>
      <c r="P67" s="24" t="n">
        <v>0.004686</v>
      </c>
      <c r="Q67" s="25" t="n">
        <v>7.45</v>
      </c>
      <c r="R67" s="13" t="n">
        <f aca="false">I67*J67*N67*P67</f>
        <v>1.31208E-011</v>
      </c>
      <c r="S67" s="13" t="n">
        <f aca="false">I67*K67*O67*P67</f>
        <v>4.9227124151361E-010</v>
      </c>
      <c r="T67" s="14" t="n">
        <f aca="false">IF(Summary!$B$6&gt;0,R67/Summary!$B$6,0)</f>
        <v>0.000796345164899265</v>
      </c>
      <c r="U67" s="13" t="n">
        <f aca="false">I67*K67</f>
        <v>1.71726498989517E-005</v>
      </c>
      <c r="V67" s="13" t="n">
        <f aca="false">I67*O67*P67</f>
        <v>1.00331012128933E-007</v>
      </c>
      <c r="W67" s="17" t="n">
        <f aca="false">INDEX('HB Evidence'!$I$6:$I$25,MATCH(E67,'HB Evidence'!$A$6:$A$25,0))</f>
        <v>0.0006</v>
      </c>
      <c r="X67" s="17" t="n">
        <f aca="false">I67*W67*N67*P67</f>
        <v>9.8406E-012</v>
      </c>
    </row>
    <row r="68" customFormat="false" ht="15" hidden="false" customHeight="false" outlineLevel="0" collapsed="false">
      <c r="A68" s="5" t="s">
        <v>187</v>
      </c>
      <c r="B68" s="5" t="s">
        <v>50</v>
      </c>
      <c r="C68" s="5" t="s">
        <v>54</v>
      </c>
      <c r="D68" s="5" t="s">
        <v>63</v>
      </c>
      <c r="E68" s="5" t="s">
        <v>92</v>
      </c>
      <c r="F68" s="20" t="n">
        <f aca="false">INDEX(Inputs!$B$15:$B$19,MATCH(B68,Inputs!$A$15:$A$19,0))</f>
        <v>0.05</v>
      </c>
      <c r="G68" s="20" t="n">
        <f aca="false">INDEX(Inputs!$B$23:$B$26,MATCH(C68,Inputs!$A$23:$A$26,0))</f>
        <v>0.35</v>
      </c>
      <c r="H68" s="20" t="n">
        <f aca="false">INDEX(Inputs!$B$30:$B$34,MATCH(D68,Inputs!$A$30:$A$34,0))</f>
        <v>0.15</v>
      </c>
      <c r="I68" s="21" t="n">
        <f aca="false">F68*G68*H68</f>
        <v>0.002625</v>
      </c>
      <c r="J68" s="22" t="n">
        <f aca="false">INDEX('HB Evidence'!$F$6:$F$25,MATCH(E68,'HB Evidence'!$A$6:$A$25,0))</f>
        <v>0.0008</v>
      </c>
      <c r="K68" s="22" t="n">
        <f aca="false">INDEX('HB Evidence'!$H$6:$H$25,MATCH(E68,'HB Evidence'!$A$6:$A$25,0))</f>
        <v>0.00490647139970048</v>
      </c>
      <c r="L68" s="15" t="n">
        <v>2000</v>
      </c>
      <c r="M68" s="15" t="n">
        <v>18</v>
      </c>
      <c r="N68" s="23" t="n">
        <f aca="false">M68/L68</f>
        <v>0.009</v>
      </c>
      <c r="O68" s="23" t="n">
        <f aca="false">IF(M68=L68,1,BETAINV(Inputs!$B$10,M68+1,L68-M68))</f>
        <v>0.0184207828742698</v>
      </c>
      <c r="P68" s="24" t="n">
        <v>0.012619</v>
      </c>
      <c r="Q68" s="25" t="n">
        <v>12.61</v>
      </c>
      <c r="R68" s="13" t="n">
        <f aca="false">I68*J68*N68*P68</f>
        <v>2.384991E-010</v>
      </c>
      <c r="S68" s="13" t="n">
        <f aca="false">I68*K68*O68*P68</f>
        <v>2.99386079589005E-009</v>
      </c>
      <c r="T68" s="14" t="n">
        <f aca="false">IF(Summary!$B$6&gt;0,R68/Summary!$B$6,0)</f>
        <v>0.0144753067738115</v>
      </c>
      <c r="U68" s="13" t="n">
        <f aca="false">I68*K68</f>
        <v>1.28794874242138E-005</v>
      </c>
      <c r="V68" s="13" t="n">
        <f aca="false">I68*O68*P68</f>
        <v>6.10186130112328E-007</v>
      </c>
      <c r="W68" s="17" t="n">
        <f aca="false">INDEX('HB Evidence'!$I$6:$I$25,MATCH(E68,'HB Evidence'!$A$6:$A$25,0))</f>
        <v>0.0006</v>
      </c>
      <c r="X68" s="17" t="n">
        <f aca="false">I68*W68*N68*P68</f>
        <v>1.78874325E-010</v>
      </c>
    </row>
    <row r="69" customFormat="false" ht="15" hidden="false" customHeight="false" outlineLevel="0" collapsed="false">
      <c r="A69" s="5" t="s">
        <v>188</v>
      </c>
      <c r="B69" s="5" t="s">
        <v>50</v>
      </c>
      <c r="C69" s="5" t="s">
        <v>54</v>
      </c>
      <c r="D69" s="5" t="s">
        <v>64</v>
      </c>
      <c r="E69" s="5" t="s">
        <v>92</v>
      </c>
      <c r="F69" s="20" t="n">
        <f aca="false">INDEX(Inputs!$B$15:$B$19,MATCH(B69,Inputs!$A$15:$A$19,0))</f>
        <v>0.05</v>
      </c>
      <c r="G69" s="20" t="n">
        <f aca="false">INDEX(Inputs!$B$23:$B$26,MATCH(C69,Inputs!$A$23:$A$26,0))</f>
        <v>0.35</v>
      </c>
      <c r="H69" s="20" t="n">
        <f aca="false">INDEX(Inputs!$B$30:$B$34,MATCH(D69,Inputs!$A$30:$A$34,0))</f>
        <v>0.13</v>
      </c>
      <c r="I69" s="21" t="n">
        <f aca="false">F69*G69*H69</f>
        <v>0.002275</v>
      </c>
      <c r="J69" s="22" t="n">
        <f aca="false">INDEX('HB Evidence'!$F$6:$F$25,MATCH(E69,'HB Evidence'!$A$6:$A$25,0))</f>
        <v>0.0008</v>
      </c>
      <c r="K69" s="22" t="n">
        <f aca="false">INDEX('HB Evidence'!$H$6:$H$25,MATCH(E69,'HB Evidence'!$A$6:$A$25,0))</f>
        <v>0.00490647139970048</v>
      </c>
      <c r="L69" s="15" t="n">
        <v>2000</v>
      </c>
      <c r="M69" s="15" t="n">
        <v>98</v>
      </c>
      <c r="N69" s="23" t="n">
        <f aca="false">M69/L69</f>
        <v>0.049</v>
      </c>
      <c r="O69" s="23" t="n">
        <f aca="false">IF(M69=L69,1,BETAINV(Inputs!$B$10,M69+1,L69-M69))</f>
        <v>0.0671921364444153</v>
      </c>
      <c r="P69" s="24" t="n">
        <v>0.017985</v>
      </c>
      <c r="Q69" s="25" t="n">
        <v>14.5</v>
      </c>
      <c r="R69" s="13" t="n">
        <f aca="false">I69*J69*N69*P69</f>
        <v>1.6039023E-009</v>
      </c>
      <c r="S69" s="13" t="n">
        <f aca="false">I69*K69*O69*P69</f>
        <v>1.34889941073412E-008</v>
      </c>
      <c r="T69" s="14" t="n">
        <f aca="false">IF(Summary!$B$6&gt;0,R69/Summary!$B$6,0)</f>
        <v>0.0973461863282583</v>
      </c>
      <c r="U69" s="13" t="n">
        <f aca="false">I69*K69</f>
        <v>1.11622224343186E-005</v>
      </c>
      <c r="V69" s="13" t="n">
        <f aca="false">I69*O69*P69</f>
        <v>2.74922505574264E-006</v>
      </c>
      <c r="W69" s="17" t="n">
        <f aca="false">INDEX('HB Evidence'!$I$6:$I$25,MATCH(E69,'HB Evidence'!$A$6:$A$25,0))</f>
        <v>0.0006</v>
      </c>
      <c r="X69" s="17" t="n">
        <f aca="false">I69*W69*N69*P69</f>
        <v>1.202926725E-009</v>
      </c>
    </row>
    <row r="70" customFormat="false" ht="15" hidden="false" customHeight="false" outlineLevel="0" collapsed="false">
      <c r="A70" s="5" t="s">
        <v>189</v>
      </c>
      <c r="B70" s="5" t="s">
        <v>50</v>
      </c>
      <c r="C70" s="5" t="s">
        <v>54</v>
      </c>
      <c r="D70" s="5" t="s">
        <v>65</v>
      </c>
      <c r="E70" s="5" t="s">
        <v>92</v>
      </c>
      <c r="F70" s="20" t="n">
        <f aca="false">INDEX(Inputs!$B$15:$B$19,MATCH(B70,Inputs!$A$15:$A$19,0))</f>
        <v>0.05</v>
      </c>
      <c r="G70" s="20" t="n">
        <f aca="false">INDEX(Inputs!$B$23:$B$26,MATCH(C70,Inputs!$A$23:$A$26,0))</f>
        <v>0.35</v>
      </c>
      <c r="H70" s="20" t="n">
        <f aca="false">INDEX(Inputs!$B$30:$B$34,MATCH(D70,Inputs!$A$30:$A$34,0))</f>
        <v>0.07</v>
      </c>
      <c r="I70" s="21" t="n">
        <f aca="false">F70*G70*H70</f>
        <v>0.001225</v>
      </c>
      <c r="J70" s="22" t="n">
        <f aca="false">INDEX('HB Evidence'!$F$6:$F$25,MATCH(E70,'HB Evidence'!$A$6:$A$25,0))</f>
        <v>0.0008</v>
      </c>
      <c r="K70" s="22" t="n">
        <f aca="false">INDEX('HB Evidence'!$H$6:$H$25,MATCH(E70,'HB Evidence'!$A$6:$A$25,0))</f>
        <v>0.00490647139970048</v>
      </c>
      <c r="L70" s="15" t="n">
        <v>2000</v>
      </c>
      <c r="M70" s="15" t="n">
        <v>456</v>
      </c>
      <c r="N70" s="23" t="n">
        <f aca="false">M70/L70</f>
        <v>0.228</v>
      </c>
      <c r="O70" s="23" t="n">
        <f aca="false">IF(M70=L70,1,BETAINV(Inputs!$B$10,M70+1,L70-M70))</f>
        <v>0.260625897187532</v>
      </c>
      <c r="P70" s="24" t="n">
        <v>0.018805</v>
      </c>
      <c r="Q70" s="25" t="n">
        <v>14.64</v>
      </c>
      <c r="R70" s="13" t="n">
        <f aca="false">I70*J70*N70*P70</f>
        <v>4.2017892E-009</v>
      </c>
      <c r="S70" s="13" t="n">
        <f aca="false">I70*K70*O70*P70</f>
        <v>2.94575257137232E-008</v>
      </c>
      <c r="T70" s="14" t="n">
        <f aca="false">IF(Summary!$B$6&gt;0,R70/Summary!$B$6,0)</f>
        <v>0.255020617138128</v>
      </c>
      <c r="U70" s="13" t="n">
        <f aca="false">I70*K70</f>
        <v>6.01042746463309E-006</v>
      </c>
      <c r="V70" s="13" t="n">
        <f aca="false">I70*O70*P70</f>
        <v>6.00381074584914E-006</v>
      </c>
      <c r="W70" s="17" t="n">
        <f aca="false">INDEX('HB Evidence'!$I$6:$I$25,MATCH(E70,'HB Evidence'!$A$6:$A$25,0))</f>
        <v>0.0006</v>
      </c>
      <c r="X70" s="17" t="n">
        <f aca="false">I70*W70*N70*P70</f>
        <v>3.1513419E-009</v>
      </c>
    </row>
    <row r="71" customFormat="false" ht="15" hidden="false" customHeight="false" outlineLevel="0" collapsed="false">
      <c r="A71" s="5" t="s">
        <v>190</v>
      </c>
      <c r="B71" s="5" t="s">
        <v>50</v>
      </c>
      <c r="C71" s="5" t="s">
        <v>56</v>
      </c>
      <c r="D71" s="5" t="s">
        <v>60</v>
      </c>
      <c r="E71" s="5" t="s">
        <v>93</v>
      </c>
      <c r="F71" s="20" t="n">
        <f aca="false">INDEX(Inputs!$B$15:$B$19,MATCH(B71,Inputs!$A$15:$A$19,0))</f>
        <v>0.05</v>
      </c>
      <c r="G71" s="20" t="n">
        <f aca="false">INDEX(Inputs!$B$23:$B$26,MATCH(C71,Inputs!$A$23:$A$26,0))</f>
        <v>0.4</v>
      </c>
      <c r="H71" s="20" t="n">
        <f aca="false">INDEX(Inputs!$B$30:$B$34,MATCH(D71,Inputs!$A$30:$A$34,0))</f>
        <v>0.45</v>
      </c>
      <c r="I71" s="21" t="n">
        <f aca="false">F71*G71*H71</f>
        <v>0.009</v>
      </c>
      <c r="J71" s="22" t="n">
        <f aca="false">INDEX('HB Evidence'!$F$6:$F$25,MATCH(E71,'HB Evidence'!$A$6:$A$25,0))</f>
        <v>0</v>
      </c>
      <c r="K71" s="22" t="n">
        <f aca="false">INDEX('HB Evidence'!$H$6:$H$25,MATCH(E71,'HB Evidence'!$A$6:$A$25,0))</f>
        <v>0.00259440800544538</v>
      </c>
      <c r="L71" s="15" t="n">
        <v>2000</v>
      </c>
      <c r="M71" s="15" t="n">
        <v>0</v>
      </c>
      <c r="N71" s="23" t="n">
        <f aca="false">M71/L71</f>
        <v>0</v>
      </c>
      <c r="O71" s="23" t="n">
        <f aca="false">IF(M71=L71,1,BETAINV(Inputs!$B$10,M71+1,L71-M71))</f>
        <v>0.00388404949945426</v>
      </c>
      <c r="P71" s="24" t="n">
        <v>0</v>
      </c>
      <c r="Q71" s="25" t="n">
        <v>0</v>
      </c>
      <c r="R71" s="13" t="n">
        <f aca="false">I71*J71*N71*P71</f>
        <v>0</v>
      </c>
      <c r="S71" s="13" t="n">
        <f aca="false">I71*K71*O71*P71</f>
        <v>0</v>
      </c>
      <c r="T71" s="14" t="n">
        <f aca="false">IF(Summary!$B$6&gt;0,R71/Summary!$B$6,0)</f>
        <v>0</v>
      </c>
      <c r="U71" s="13" t="n">
        <f aca="false">I71*K71</f>
        <v>2.33496720490085E-005</v>
      </c>
      <c r="V71" s="13" t="n">
        <f aca="false">I71*O71*P71</f>
        <v>0</v>
      </c>
      <c r="W71" s="17" t="n">
        <f aca="false">INDEX('HB Evidence'!$I$6:$I$25,MATCH(E71,'HB Evidence'!$A$6:$A$25,0))</f>
        <v>0.0006</v>
      </c>
      <c r="X71" s="17" t="n">
        <f aca="false">I71*W71*N71*P71</f>
        <v>0</v>
      </c>
    </row>
    <row r="72" customFormat="false" ht="15" hidden="false" customHeight="false" outlineLevel="0" collapsed="false">
      <c r="A72" s="5" t="s">
        <v>191</v>
      </c>
      <c r="B72" s="5" t="s">
        <v>50</v>
      </c>
      <c r="C72" s="5" t="s">
        <v>56</v>
      </c>
      <c r="D72" s="5" t="s">
        <v>62</v>
      </c>
      <c r="E72" s="5" t="s">
        <v>93</v>
      </c>
      <c r="F72" s="20" t="n">
        <f aca="false">INDEX(Inputs!$B$15:$B$19,MATCH(B72,Inputs!$A$15:$A$19,0))</f>
        <v>0.05</v>
      </c>
      <c r="G72" s="20" t="n">
        <f aca="false">INDEX(Inputs!$B$23:$B$26,MATCH(C72,Inputs!$A$23:$A$26,0))</f>
        <v>0.4</v>
      </c>
      <c r="H72" s="20" t="n">
        <f aca="false">INDEX(Inputs!$B$30:$B$34,MATCH(D72,Inputs!$A$30:$A$34,0))</f>
        <v>0.2</v>
      </c>
      <c r="I72" s="21" t="n">
        <f aca="false">F72*G72*H72</f>
        <v>0.004</v>
      </c>
      <c r="J72" s="22" t="n">
        <f aca="false">INDEX('HB Evidence'!$F$6:$F$25,MATCH(E72,'HB Evidence'!$A$6:$A$25,0))</f>
        <v>0</v>
      </c>
      <c r="K72" s="22" t="n">
        <f aca="false">INDEX('HB Evidence'!$H$6:$H$25,MATCH(E72,'HB Evidence'!$A$6:$A$25,0))</f>
        <v>0.00259440800544538</v>
      </c>
      <c r="L72" s="15" t="n">
        <v>2000</v>
      </c>
      <c r="M72" s="15" t="n">
        <v>0</v>
      </c>
      <c r="N72" s="23" t="n">
        <f aca="false">M72/L72</f>
        <v>0</v>
      </c>
      <c r="O72" s="23" t="n">
        <f aca="false">IF(M72=L72,1,BETAINV(Inputs!$B$10,M72+1,L72-M72))</f>
        <v>0.00388404949945426</v>
      </c>
      <c r="P72" s="24" t="n">
        <v>0</v>
      </c>
      <c r="Q72" s="25" t="n">
        <v>0</v>
      </c>
      <c r="R72" s="13" t="n">
        <f aca="false">I72*J72*N72*P72</f>
        <v>0</v>
      </c>
      <c r="S72" s="13" t="n">
        <f aca="false">I72*K72*O72*P72</f>
        <v>0</v>
      </c>
      <c r="T72" s="14" t="n">
        <f aca="false">IF(Summary!$B$6&gt;0,R72/Summary!$B$6,0)</f>
        <v>0</v>
      </c>
      <c r="U72" s="13" t="n">
        <f aca="false">I72*K72</f>
        <v>1.03776320217815E-005</v>
      </c>
      <c r="V72" s="13" t="n">
        <f aca="false">I72*O72*P72</f>
        <v>0</v>
      </c>
      <c r="W72" s="17" t="n">
        <f aca="false">INDEX('HB Evidence'!$I$6:$I$25,MATCH(E72,'HB Evidence'!$A$6:$A$25,0))</f>
        <v>0.0006</v>
      </c>
      <c r="X72" s="17" t="n">
        <f aca="false">I72*W72*N72*P72</f>
        <v>0</v>
      </c>
    </row>
    <row r="73" customFormat="false" ht="15" hidden="false" customHeight="false" outlineLevel="0" collapsed="false">
      <c r="A73" s="5" t="s">
        <v>192</v>
      </c>
      <c r="B73" s="5" t="s">
        <v>50</v>
      </c>
      <c r="C73" s="5" t="s">
        <v>56</v>
      </c>
      <c r="D73" s="5" t="s">
        <v>63</v>
      </c>
      <c r="E73" s="5" t="s">
        <v>93</v>
      </c>
      <c r="F73" s="20" t="n">
        <f aca="false">INDEX(Inputs!$B$15:$B$19,MATCH(B73,Inputs!$A$15:$A$19,0))</f>
        <v>0.05</v>
      </c>
      <c r="G73" s="20" t="n">
        <f aca="false">INDEX(Inputs!$B$23:$B$26,MATCH(C73,Inputs!$A$23:$A$26,0))</f>
        <v>0.4</v>
      </c>
      <c r="H73" s="20" t="n">
        <f aca="false">INDEX(Inputs!$B$30:$B$34,MATCH(D73,Inputs!$A$30:$A$34,0))</f>
        <v>0.15</v>
      </c>
      <c r="I73" s="21" t="n">
        <f aca="false">F73*G73*H73</f>
        <v>0.003</v>
      </c>
      <c r="J73" s="22" t="n">
        <f aca="false">INDEX('HB Evidence'!$F$6:$F$25,MATCH(E73,'HB Evidence'!$A$6:$A$25,0))</f>
        <v>0</v>
      </c>
      <c r="K73" s="22" t="n">
        <f aca="false">INDEX('HB Evidence'!$H$6:$H$25,MATCH(E73,'HB Evidence'!$A$6:$A$25,0))</f>
        <v>0.00259440800544538</v>
      </c>
      <c r="L73" s="15" t="n">
        <v>2000</v>
      </c>
      <c r="M73" s="15" t="n">
        <v>1</v>
      </c>
      <c r="N73" s="23" t="n">
        <f aca="false">M73/L73</f>
        <v>0.0005</v>
      </c>
      <c r="O73" s="23" t="n">
        <f aca="false">IF(M73=L73,1,BETAINV(Inputs!$B$10,M73+1,L73-M73))</f>
        <v>0.00508781553003008</v>
      </c>
      <c r="P73" s="24" t="n">
        <v>0.009982</v>
      </c>
      <c r="Q73" s="25" t="n">
        <v>12.82</v>
      </c>
      <c r="R73" s="13" t="n">
        <f aca="false">I73*J73*N73*P73</f>
        <v>0</v>
      </c>
      <c r="S73" s="13" t="n">
        <f aca="false">I73*K73*O73*P73</f>
        <v>3.95283287295749E-010</v>
      </c>
      <c r="T73" s="14" t="n">
        <f aca="false">IF(Summary!$B$6&gt;0,R73/Summary!$B$6,0)</f>
        <v>0</v>
      </c>
      <c r="U73" s="13" t="n">
        <f aca="false">I73*K73</f>
        <v>7.78322401633615E-006</v>
      </c>
      <c r="V73" s="13" t="n">
        <f aca="false">I73*O73*P73</f>
        <v>1.52359723862281E-007</v>
      </c>
      <c r="W73" s="17" t="n">
        <f aca="false">INDEX('HB Evidence'!$I$6:$I$25,MATCH(E73,'HB Evidence'!$A$6:$A$25,0))</f>
        <v>0.0006</v>
      </c>
      <c r="X73" s="17" t="n">
        <f aca="false">I73*W73*N73*P73</f>
        <v>8.9838E-012</v>
      </c>
    </row>
    <row r="74" customFormat="false" ht="15" hidden="false" customHeight="false" outlineLevel="0" collapsed="false">
      <c r="A74" s="5" t="s">
        <v>193</v>
      </c>
      <c r="B74" s="5" t="s">
        <v>50</v>
      </c>
      <c r="C74" s="5" t="s">
        <v>56</v>
      </c>
      <c r="D74" s="5" t="s">
        <v>64</v>
      </c>
      <c r="E74" s="5" t="s">
        <v>93</v>
      </c>
      <c r="F74" s="20" t="n">
        <f aca="false">INDEX(Inputs!$B$15:$B$19,MATCH(B74,Inputs!$A$15:$A$19,0))</f>
        <v>0.05</v>
      </c>
      <c r="G74" s="20" t="n">
        <f aca="false">INDEX(Inputs!$B$23:$B$26,MATCH(C74,Inputs!$A$23:$A$26,0))</f>
        <v>0.4</v>
      </c>
      <c r="H74" s="20" t="n">
        <f aca="false">INDEX(Inputs!$B$30:$B$34,MATCH(D74,Inputs!$A$30:$A$34,0))</f>
        <v>0.13</v>
      </c>
      <c r="I74" s="21" t="n">
        <f aca="false">F74*G74*H74</f>
        <v>0.0026</v>
      </c>
      <c r="J74" s="22" t="n">
        <f aca="false">INDEX('HB Evidence'!$F$6:$F$25,MATCH(E74,'HB Evidence'!$A$6:$A$25,0))</f>
        <v>0</v>
      </c>
      <c r="K74" s="22" t="n">
        <f aca="false">INDEX('HB Evidence'!$H$6:$H$25,MATCH(E74,'HB Evidence'!$A$6:$A$25,0))</f>
        <v>0.00259440800544538</v>
      </c>
      <c r="L74" s="15" t="n">
        <v>2000</v>
      </c>
      <c r="M74" s="15" t="n">
        <v>24</v>
      </c>
      <c r="N74" s="23" t="n">
        <f aca="false">M74/L74</f>
        <v>0.012</v>
      </c>
      <c r="O74" s="23" t="n">
        <f aca="false">IF(M74=L74,1,BETAINV(Inputs!$B$10,M74+1,L74-M74))</f>
        <v>0.0224576410966508</v>
      </c>
      <c r="P74" s="24" t="n">
        <v>0.041435</v>
      </c>
      <c r="Q74" s="25" t="n">
        <v>19.15</v>
      </c>
      <c r="R74" s="13" t="n">
        <f aca="false">I74*J74*N74*P74</f>
        <v>0</v>
      </c>
      <c r="S74" s="13" t="n">
        <f aca="false">I74*K74*O74*P74</f>
        <v>6.27686956285939E-009</v>
      </c>
      <c r="T74" s="14" t="n">
        <f aca="false">IF(Summary!$B$6&gt;0,R74/Summary!$B$6,0)</f>
        <v>0</v>
      </c>
      <c r="U74" s="13" t="n">
        <f aca="false">I74*K74</f>
        <v>6.745460814158E-006</v>
      </c>
      <c r="V74" s="13" t="n">
        <f aca="false">I74*O74*P74</f>
        <v>2.41938413298329E-006</v>
      </c>
      <c r="W74" s="17" t="n">
        <f aca="false">INDEX('HB Evidence'!$I$6:$I$25,MATCH(E74,'HB Evidence'!$A$6:$A$25,0))</f>
        <v>0.0006</v>
      </c>
      <c r="X74" s="17" t="n">
        <f aca="false">I74*W74*N74*P74</f>
        <v>7.756632E-010</v>
      </c>
    </row>
    <row r="75" customFormat="false" ht="15" hidden="false" customHeight="false" outlineLevel="0" collapsed="false">
      <c r="A75" s="5" t="s">
        <v>194</v>
      </c>
      <c r="B75" s="5" t="s">
        <v>50</v>
      </c>
      <c r="C75" s="5" t="s">
        <v>56</v>
      </c>
      <c r="D75" s="5" t="s">
        <v>65</v>
      </c>
      <c r="E75" s="5" t="s">
        <v>93</v>
      </c>
      <c r="F75" s="20" t="n">
        <f aca="false">INDEX(Inputs!$B$15:$B$19,MATCH(B75,Inputs!$A$15:$A$19,0))</f>
        <v>0.05</v>
      </c>
      <c r="G75" s="20" t="n">
        <f aca="false">INDEX(Inputs!$B$23:$B$26,MATCH(C75,Inputs!$A$23:$A$26,0))</f>
        <v>0.4</v>
      </c>
      <c r="H75" s="20" t="n">
        <f aca="false">INDEX(Inputs!$B$30:$B$34,MATCH(D75,Inputs!$A$30:$A$34,0))</f>
        <v>0.07</v>
      </c>
      <c r="I75" s="21" t="n">
        <f aca="false">F75*G75*H75</f>
        <v>0.0014</v>
      </c>
      <c r="J75" s="22" t="n">
        <f aca="false">INDEX('HB Evidence'!$F$6:$F$25,MATCH(E75,'HB Evidence'!$A$6:$A$25,0))</f>
        <v>0</v>
      </c>
      <c r="K75" s="22" t="n">
        <f aca="false">INDEX('HB Evidence'!$H$6:$H$25,MATCH(E75,'HB Evidence'!$A$6:$A$25,0))</f>
        <v>0.00259440800544538</v>
      </c>
      <c r="L75" s="15" t="n">
        <v>2000</v>
      </c>
      <c r="M75" s="15" t="n">
        <v>166</v>
      </c>
      <c r="N75" s="23" t="n">
        <f aca="false">M75/L75</f>
        <v>0.083</v>
      </c>
      <c r="O75" s="23" t="n">
        <f aca="false">IF(M75=L75,1,BETAINV(Inputs!$B$10,M75+1,L75-M75))</f>
        <v>0.105510872351719</v>
      </c>
      <c r="P75" s="24" t="n">
        <v>0.031015</v>
      </c>
      <c r="Q75" s="25" t="n">
        <v>16.55</v>
      </c>
      <c r="R75" s="13" t="n">
        <f aca="false">I75*J75*N75*P75</f>
        <v>0</v>
      </c>
      <c r="S75" s="13" t="n">
        <f aca="false">I75*K75*O75*P75</f>
        <v>1.18859886353515E-008</v>
      </c>
      <c r="T75" s="14" t="n">
        <f aca="false">IF(Summary!$B$6&gt;0,R75/Summary!$B$6,0)</f>
        <v>0</v>
      </c>
      <c r="U75" s="13" t="n">
        <f aca="false">I75*K75</f>
        <v>3.63217120762354E-006</v>
      </c>
      <c r="V75" s="13" t="n">
        <f aca="false">I75*O75*P75</f>
        <v>4.58138758838398E-006</v>
      </c>
      <c r="W75" s="17" t="n">
        <f aca="false">INDEX('HB Evidence'!$I$6:$I$25,MATCH(E75,'HB Evidence'!$A$6:$A$25,0))</f>
        <v>0.0006</v>
      </c>
      <c r="X75" s="17" t="n">
        <f aca="false">I75*W75*N75*P75</f>
        <v>2.1623658E-009</v>
      </c>
    </row>
    <row r="76" customFormat="false" ht="15" hidden="false" customHeight="false" outlineLevel="0" collapsed="false">
      <c r="A76" s="5" t="s">
        <v>195</v>
      </c>
      <c r="B76" s="5" t="s">
        <v>50</v>
      </c>
      <c r="C76" s="5" t="s">
        <v>57</v>
      </c>
      <c r="D76" s="5" t="s">
        <v>60</v>
      </c>
      <c r="E76" s="5" t="s">
        <v>94</v>
      </c>
      <c r="F76" s="20" t="n">
        <f aca="false">INDEX(Inputs!$B$15:$B$19,MATCH(B76,Inputs!$A$15:$A$19,0))</f>
        <v>0.05</v>
      </c>
      <c r="G76" s="20" t="n">
        <f aca="false">INDEX(Inputs!$B$23:$B$26,MATCH(C76,Inputs!$A$23:$A$26,0))</f>
        <v>0.15</v>
      </c>
      <c r="H76" s="20" t="n">
        <f aca="false">INDEX(Inputs!$B$30:$B$34,MATCH(D76,Inputs!$A$30:$A$34,0))</f>
        <v>0.45</v>
      </c>
      <c r="I76" s="21" t="n">
        <f aca="false">F76*G76*H76</f>
        <v>0.003375</v>
      </c>
      <c r="J76" s="22" t="n">
        <f aca="false">INDEX('HB Evidence'!$F$6:$F$25,MATCH(E76,'HB Evidence'!$A$6:$A$25,0))</f>
        <v>0.0005</v>
      </c>
      <c r="K76" s="22" t="n">
        <f aca="false">INDEX('HB Evidence'!$H$6:$H$25,MATCH(E76,'HB Evidence'!$A$6:$A$25,0))</f>
        <v>0.00509952663038825</v>
      </c>
      <c r="L76" s="15" t="n">
        <v>2000</v>
      </c>
      <c r="M76" s="15" t="n">
        <v>0</v>
      </c>
      <c r="N76" s="23" t="n">
        <f aca="false">M76/L76</f>
        <v>0</v>
      </c>
      <c r="O76" s="23" t="n">
        <f aca="false">IF(M76=L76,1,BETAINV(Inputs!$B$10,M76+1,L76-M76))</f>
        <v>0.00388404949945426</v>
      </c>
      <c r="P76" s="24" t="n">
        <v>0</v>
      </c>
      <c r="Q76" s="25" t="n">
        <v>0</v>
      </c>
      <c r="R76" s="13" t="n">
        <f aca="false">I76*J76*N76*P76</f>
        <v>0</v>
      </c>
      <c r="S76" s="13" t="n">
        <f aca="false">I76*K76*O76*P76</f>
        <v>0</v>
      </c>
      <c r="T76" s="14" t="n">
        <f aca="false">IF(Summary!$B$6&gt;0,R76/Summary!$B$6,0)</f>
        <v>0</v>
      </c>
      <c r="U76" s="13" t="n">
        <f aca="false">I76*K76</f>
        <v>1.72109023775603E-005</v>
      </c>
      <c r="V76" s="13" t="n">
        <f aca="false">I76*O76*P76</f>
        <v>0</v>
      </c>
      <c r="W76" s="17" t="n">
        <f aca="false">INDEX('HB Evidence'!$I$6:$I$25,MATCH(E76,'HB Evidence'!$A$6:$A$25,0))</f>
        <v>0.00072</v>
      </c>
      <c r="X76" s="17" t="n">
        <f aca="false">I76*W76*N76*P76</f>
        <v>0</v>
      </c>
    </row>
    <row r="77" customFormat="false" ht="15" hidden="false" customHeight="false" outlineLevel="0" collapsed="false">
      <c r="A77" s="5" t="s">
        <v>196</v>
      </c>
      <c r="B77" s="5" t="s">
        <v>50</v>
      </c>
      <c r="C77" s="5" t="s">
        <v>57</v>
      </c>
      <c r="D77" s="5" t="s">
        <v>62</v>
      </c>
      <c r="E77" s="5" t="s">
        <v>94</v>
      </c>
      <c r="F77" s="20" t="n">
        <f aca="false">INDEX(Inputs!$B$15:$B$19,MATCH(B77,Inputs!$A$15:$A$19,0))</f>
        <v>0.05</v>
      </c>
      <c r="G77" s="20" t="n">
        <f aca="false">INDEX(Inputs!$B$23:$B$26,MATCH(C77,Inputs!$A$23:$A$26,0))</f>
        <v>0.15</v>
      </c>
      <c r="H77" s="20" t="n">
        <f aca="false">INDEX(Inputs!$B$30:$B$34,MATCH(D77,Inputs!$A$30:$A$34,0))</f>
        <v>0.2</v>
      </c>
      <c r="I77" s="21" t="n">
        <f aca="false">F77*G77*H77</f>
        <v>0.0015</v>
      </c>
      <c r="J77" s="22" t="n">
        <f aca="false">INDEX('HB Evidence'!$F$6:$F$25,MATCH(E77,'HB Evidence'!$A$6:$A$25,0))</f>
        <v>0.0005</v>
      </c>
      <c r="K77" s="22" t="n">
        <f aca="false">INDEX('HB Evidence'!$H$6:$H$25,MATCH(E77,'HB Evidence'!$A$6:$A$25,0))</f>
        <v>0.00509952663038825</v>
      </c>
      <c r="L77" s="15" t="n">
        <v>2000</v>
      </c>
      <c r="M77" s="15" t="n">
        <v>0</v>
      </c>
      <c r="N77" s="23" t="n">
        <f aca="false">M77/L77</f>
        <v>0</v>
      </c>
      <c r="O77" s="23" t="n">
        <f aca="false">IF(M77=L77,1,BETAINV(Inputs!$B$10,M77+1,L77-M77))</f>
        <v>0.00388404949945426</v>
      </c>
      <c r="P77" s="24" t="n">
        <v>0</v>
      </c>
      <c r="Q77" s="25" t="n">
        <v>0</v>
      </c>
      <c r="R77" s="13" t="n">
        <f aca="false">I77*J77*N77*P77</f>
        <v>0</v>
      </c>
      <c r="S77" s="13" t="n">
        <f aca="false">I77*K77*O77*P77</f>
        <v>0</v>
      </c>
      <c r="T77" s="14" t="n">
        <f aca="false">IF(Summary!$B$6&gt;0,R77/Summary!$B$6,0)</f>
        <v>0</v>
      </c>
      <c r="U77" s="13" t="n">
        <f aca="false">I77*K77</f>
        <v>7.64928994558237E-006</v>
      </c>
      <c r="V77" s="13" t="n">
        <f aca="false">I77*O77*P77</f>
        <v>0</v>
      </c>
      <c r="W77" s="17" t="n">
        <f aca="false">INDEX('HB Evidence'!$I$6:$I$25,MATCH(E77,'HB Evidence'!$A$6:$A$25,0))</f>
        <v>0.00072</v>
      </c>
      <c r="X77" s="17" t="n">
        <f aca="false">I77*W77*N77*P77</f>
        <v>0</v>
      </c>
    </row>
    <row r="78" customFormat="false" ht="15" hidden="false" customHeight="false" outlineLevel="0" collapsed="false">
      <c r="A78" s="5" t="s">
        <v>197</v>
      </c>
      <c r="B78" s="5" t="s">
        <v>50</v>
      </c>
      <c r="C78" s="5" t="s">
        <v>57</v>
      </c>
      <c r="D78" s="5" t="s">
        <v>63</v>
      </c>
      <c r="E78" s="5" t="s">
        <v>94</v>
      </c>
      <c r="F78" s="20" t="n">
        <f aca="false">INDEX(Inputs!$B$15:$B$19,MATCH(B78,Inputs!$A$15:$A$19,0))</f>
        <v>0.05</v>
      </c>
      <c r="G78" s="20" t="n">
        <f aca="false">INDEX(Inputs!$B$23:$B$26,MATCH(C78,Inputs!$A$23:$A$26,0))</f>
        <v>0.15</v>
      </c>
      <c r="H78" s="20" t="n">
        <f aca="false">INDEX(Inputs!$B$30:$B$34,MATCH(D78,Inputs!$A$30:$A$34,0))</f>
        <v>0.15</v>
      </c>
      <c r="I78" s="21" t="n">
        <f aca="false">F78*G78*H78</f>
        <v>0.001125</v>
      </c>
      <c r="J78" s="22" t="n">
        <f aca="false">INDEX('HB Evidence'!$F$6:$F$25,MATCH(E78,'HB Evidence'!$A$6:$A$25,0))</f>
        <v>0.0005</v>
      </c>
      <c r="K78" s="22" t="n">
        <f aca="false">INDEX('HB Evidence'!$H$6:$H$25,MATCH(E78,'HB Evidence'!$A$6:$A$25,0))</f>
        <v>0.00509952663038825</v>
      </c>
      <c r="L78" s="15" t="n">
        <v>2000</v>
      </c>
      <c r="M78" s="15" t="n">
        <v>0</v>
      </c>
      <c r="N78" s="23" t="n">
        <f aca="false">M78/L78</f>
        <v>0</v>
      </c>
      <c r="O78" s="23" t="n">
        <f aca="false">IF(M78=L78,1,BETAINV(Inputs!$B$10,M78+1,L78-M78))</f>
        <v>0.00388404949945426</v>
      </c>
      <c r="P78" s="24" t="n">
        <v>0</v>
      </c>
      <c r="Q78" s="25" t="n">
        <v>0</v>
      </c>
      <c r="R78" s="13" t="n">
        <f aca="false">I78*J78*N78*P78</f>
        <v>0</v>
      </c>
      <c r="S78" s="13" t="n">
        <f aca="false">I78*K78*O78*P78</f>
        <v>0</v>
      </c>
      <c r="T78" s="14" t="n">
        <f aca="false">IF(Summary!$B$6&gt;0,R78/Summary!$B$6,0)</f>
        <v>0</v>
      </c>
      <c r="U78" s="13" t="n">
        <f aca="false">I78*K78</f>
        <v>5.73696745918678E-006</v>
      </c>
      <c r="V78" s="13" t="n">
        <f aca="false">I78*O78*P78</f>
        <v>0</v>
      </c>
      <c r="W78" s="17" t="n">
        <f aca="false">INDEX('HB Evidence'!$I$6:$I$25,MATCH(E78,'HB Evidence'!$A$6:$A$25,0))</f>
        <v>0.00072</v>
      </c>
      <c r="X78" s="17" t="n">
        <f aca="false">I78*W78*N78*P78</f>
        <v>0</v>
      </c>
    </row>
    <row r="79" customFormat="false" ht="15" hidden="false" customHeight="false" outlineLevel="0" collapsed="false">
      <c r="A79" s="5" t="s">
        <v>198</v>
      </c>
      <c r="B79" s="5" t="s">
        <v>50</v>
      </c>
      <c r="C79" s="5" t="s">
        <v>57</v>
      </c>
      <c r="D79" s="5" t="s">
        <v>64</v>
      </c>
      <c r="E79" s="5" t="s">
        <v>94</v>
      </c>
      <c r="F79" s="20" t="n">
        <f aca="false">INDEX(Inputs!$B$15:$B$19,MATCH(B79,Inputs!$A$15:$A$19,0))</f>
        <v>0.05</v>
      </c>
      <c r="G79" s="20" t="n">
        <f aca="false">INDEX(Inputs!$B$23:$B$26,MATCH(C79,Inputs!$A$23:$A$26,0))</f>
        <v>0.15</v>
      </c>
      <c r="H79" s="20" t="n">
        <f aca="false">INDEX(Inputs!$B$30:$B$34,MATCH(D79,Inputs!$A$30:$A$34,0))</f>
        <v>0.13</v>
      </c>
      <c r="I79" s="21" t="n">
        <f aca="false">F79*G79*H79</f>
        <v>0.000975</v>
      </c>
      <c r="J79" s="22" t="n">
        <f aca="false">INDEX('HB Evidence'!$F$6:$F$25,MATCH(E79,'HB Evidence'!$A$6:$A$25,0))</f>
        <v>0.0005</v>
      </c>
      <c r="K79" s="22" t="n">
        <f aca="false">INDEX('HB Evidence'!$H$6:$H$25,MATCH(E79,'HB Evidence'!$A$6:$A$25,0))</f>
        <v>0.00509952663038825</v>
      </c>
      <c r="L79" s="15" t="n">
        <v>2000</v>
      </c>
      <c r="M79" s="15" t="n">
        <v>5</v>
      </c>
      <c r="N79" s="23" t="n">
        <f aca="false">M79/L79</f>
        <v>0.0025</v>
      </c>
      <c r="O79" s="23" t="n">
        <f aca="false">IF(M79=L79,1,BETAINV(Inputs!$B$10,M79+1,L79-M79))</f>
        <v>0.00880163963799943</v>
      </c>
      <c r="P79" s="24" t="n">
        <v>0.040348</v>
      </c>
      <c r="Q79" s="25" t="n">
        <v>17.03</v>
      </c>
      <c r="R79" s="13" t="n">
        <f aca="false">I79*J79*N79*P79</f>
        <v>4.9174125E-011</v>
      </c>
      <c r="S79" s="13" t="n">
        <f aca="false">I79*K79*O79*P79</f>
        <v>1.76571284088681E-009</v>
      </c>
      <c r="T79" s="14" t="n">
        <f aca="false">IF(Summary!$B$6&gt;0,R79/Summary!$B$6,0)</f>
        <v>0.00298454184820301</v>
      </c>
      <c r="U79" s="13" t="n">
        <f aca="false">I79*K79</f>
        <v>4.97203846462854E-006</v>
      </c>
      <c r="V79" s="13" t="n">
        <f aca="false">I79*O79*P79</f>
        <v>3.46250342211151E-007</v>
      </c>
      <c r="W79" s="17" t="n">
        <f aca="false">INDEX('HB Evidence'!$I$6:$I$25,MATCH(E79,'HB Evidence'!$A$6:$A$25,0))</f>
        <v>0.00072</v>
      </c>
      <c r="X79" s="17" t="n">
        <f aca="false">I79*W79*N79*P79</f>
        <v>7.081074E-011</v>
      </c>
    </row>
    <row r="80" customFormat="false" ht="15" hidden="false" customHeight="false" outlineLevel="0" collapsed="false">
      <c r="A80" s="5" t="s">
        <v>199</v>
      </c>
      <c r="B80" s="5" t="s">
        <v>50</v>
      </c>
      <c r="C80" s="5" t="s">
        <v>57</v>
      </c>
      <c r="D80" s="5" t="s">
        <v>65</v>
      </c>
      <c r="E80" s="5" t="s">
        <v>94</v>
      </c>
      <c r="F80" s="20" t="n">
        <f aca="false">INDEX(Inputs!$B$15:$B$19,MATCH(B80,Inputs!$A$15:$A$19,0))</f>
        <v>0.05</v>
      </c>
      <c r="G80" s="20" t="n">
        <f aca="false">INDEX(Inputs!$B$23:$B$26,MATCH(C80,Inputs!$A$23:$A$26,0))</f>
        <v>0.15</v>
      </c>
      <c r="H80" s="20" t="n">
        <f aca="false">INDEX(Inputs!$B$30:$B$34,MATCH(D80,Inputs!$A$30:$A$34,0))</f>
        <v>0.07</v>
      </c>
      <c r="I80" s="21" t="n">
        <f aca="false">F80*G80*H80</f>
        <v>0.000525</v>
      </c>
      <c r="J80" s="22" t="n">
        <f aca="false">INDEX('HB Evidence'!$F$6:$F$25,MATCH(E80,'HB Evidence'!$A$6:$A$25,0))</f>
        <v>0.0005</v>
      </c>
      <c r="K80" s="22" t="n">
        <f aca="false">INDEX('HB Evidence'!$H$6:$H$25,MATCH(E80,'HB Evidence'!$A$6:$A$25,0))</f>
        <v>0.00509952663038825</v>
      </c>
      <c r="L80" s="15" t="n">
        <v>2000</v>
      </c>
      <c r="M80" s="15" t="n">
        <v>43</v>
      </c>
      <c r="N80" s="23" t="n">
        <f aca="false">M80/L80</f>
        <v>0.0215</v>
      </c>
      <c r="O80" s="23" t="n">
        <f aca="false">IF(M80=L80,1,BETAINV(Inputs!$B$10,M80+1,L80-M80))</f>
        <v>0.0345685789203533</v>
      </c>
      <c r="P80" s="24" t="n">
        <v>0.039798</v>
      </c>
      <c r="Q80" s="25" t="n">
        <v>18.33</v>
      </c>
      <c r="R80" s="13" t="n">
        <f aca="false">I80*J80*N80*P80</f>
        <v>2.246099625E-010</v>
      </c>
      <c r="S80" s="13" t="n">
        <f aca="false">I80*K80*O80*P80</f>
        <v>3.6832563109794E-009</v>
      </c>
      <c r="T80" s="14" t="n">
        <f aca="false">IF(Summary!$B$6&gt;0,R80/Summary!$B$6,0)</f>
        <v>0.0136323286404091</v>
      </c>
      <c r="U80" s="13" t="n">
        <f aca="false">I80*K80</f>
        <v>2.67725148095383E-006</v>
      </c>
      <c r="V80" s="13" t="n">
        <f aca="false">I80*O80*P80</f>
        <v>7.22274159532917E-007</v>
      </c>
      <c r="W80" s="17" t="n">
        <f aca="false">INDEX('HB Evidence'!$I$6:$I$25,MATCH(E80,'HB Evidence'!$A$6:$A$25,0))</f>
        <v>0.00072</v>
      </c>
      <c r="X80" s="17" t="n">
        <f aca="false">I80*W80*N80*P80</f>
        <v>3.23438346E-010</v>
      </c>
    </row>
    <row r="81" customFormat="false" ht="15" hidden="false" customHeight="false" outlineLevel="0" collapsed="false">
      <c r="A81" s="5" t="s">
        <v>200</v>
      </c>
      <c r="B81" s="5" t="s">
        <v>50</v>
      </c>
      <c r="C81" s="5" t="s">
        <v>58</v>
      </c>
      <c r="D81" s="5" t="s">
        <v>60</v>
      </c>
      <c r="E81" s="5" t="s">
        <v>95</v>
      </c>
      <c r="F81" s="20" t="n">
        <f aca="false">INDEX(Inputs!$B$15:$B$19,MATCH(B81,Inputs!$A$15:$A$19,0))</f>
        <v>0.05</v>
      </c>
      <c r="G81" s="20" t="n">
        <f aca="false">INDEX(Inputs!$B$23:$B$26,MATCH(C81,Inputs!$A$23:$A$26,0))</f>
        <v>0.1</v>
      </c>
      <c r="H81" s="20" t="n">
        <f aca="false">INDEX(Inputs!$B$30:$B$34,MATCH(D81,Inputs!$A$30:$A$34,0))</f>
        <v>0.45</v>
      </c>
      <c r="I81" s="21" t="n">
        <f aca="false">F81*G81*H81</f>
        <v>0.00225</v>
      </c>
      <c r="J81" s="22" t="n">
        <f aca="false">INDEX('HB Evidence'!$F$6:$F$25,MATCH(E81,'HB Evidence'!$A$6:$A$25,0))</f>
        <v>0</v>
      </c>
      <c r="K81" s="22" t="n">
        <f aca="false">INDEX('HB Evidence'!$H$6:$H$25,MATCH(E81,'HB Evidence'!$A$6:$A$25,0))</f>
        <v>0.00518881601089077</v>
      </c>
      <c r="L81" s="15" t="n">
        <v>2000</v>
      </c>
      <c r="M81" s="15" t="n">
        <v>0</v>
      </c>
      <c r="N81" s="23" t="n">
        <f aca="false">M81/L81</f>
        <v>0</v>
      </c>
      <c r="O81" s="23" t="n">
        <f aca="false">IF(M81=L81,1,BETAINV(Inputs!$B$10,M81+1,L81-M81))</f>
        <v>0.00388404949945426</v>
      </c>
      <c r="P81" s="24" t="n">
        <v>0</v>
      </c>
      <c r="Q81" s="25" t="n">
        <v>0</v>
      </c>
      <c r="R81" s="13" t="n">
        <f aca="false">I81*J81*N81*P81</f>
        <v>0</v>
      </c>
      <c r="S81" s="13" t="n">
        <f aca="false">I81*K81*O81*P81</f>
        <v>0</v>
      </c>
      <c r="T81" s="14" t="n">
        <f aca="false">IF(Summary!$B$6&gt;0,R81/Summary!$B$6,0)</f>
        <v>0</v>
      </c>
      <c r="U81" s="13" t="n">
        <f aca="false">I81*K81</f>
        <v>1.16748360245042E-005</v>
      </c>
      <c r="V81" s="13" t="n">
        <f aca="false">I81*O81*P81</f>
        <v>0</v>
      </c>
      <c r="W81" s="17" t="n">
        <f aca="false">INDEX('HB Evidence'!$I$6:$I$25,MATCH(E81,'HB Evidence'!$A$6:$A$25,0))</f>
        <v>0.0009</v>
      </c>
      <c r="X81" s="17" t="n">
        <f aca="false">I81*W81*N81*P81</f>
        <v>0</v>
      </c>
    </row>
    <row r="82" customFormat="false" ht="15" hidden="false" customHeight="false" outlineLevel="0" collapsed="false">
      <c r="A82" s="5" t="s">
        <v>201</v>
      </c>
      <c r="B82" s="5" t="s">
        <v>50</v>
      </c>
      <c r="C82" s="5" t="s">
        <v>58</v>
      </c>
      <c r="D82" s="5" t="s">
        <v>62</v>
      </c>
      <c r="E82" s="5" t="s">
        <v>95</v>
      </c>
      <c r="F82" s="20" t="n">
        <f aca="false">INDEX(Inputs!$B$15:$B$19,MATCH(B82,Inputs!$A$15:$A$19,0))</f>
        <v>0.05</v>
      </c>
      <c r="G82" s="20" t="n">
        <f aca="false">INDEX(Inputs!$B$23:$B$26,MATCH(C82,Inputs!$A$23:$A$26,0))</f>
        <v>0.1</v>
      </c>
      <c r="H82" s="20" t="n">
        <f aca="false">INDEX(Inputs!$B$30:$B$34,MATCH(D82,Inputs!$A$30:$A$34,0))</f>
        <v>0.2</v>
      </c>
      <c r="I82" s="21" t="n">
        <f aca="false">F82*G82*H82</f>
        <v>0.001</v>
      </c>
      <c r="J82" s="22" t="n">
        <f aca="false">INDEX('HB Evidence'!$F$6:$F$25,MATCH(E82,'HB Evidence'!$A$6:$A$25,0))</f>
        <v>0</v>
      </c>
      <c r="K82" s="22" t="n">
        <f aca="false">INDEX('HB Evidence'!$H$6:$H$25,MATCH(E82,'HB Evidence'!$A$6:$A$25,0))</f>
        <v>0.00518881601089077</v>
      </c>
      <c r="L82" s="15" t="n">
        <v>2000</v>
      </c>
      <c r="M82" s="15" t="n">
        <v>0</v>
      </c>
      <c r="N82" s="23" t="n">
        <f aca="false">M82/L82</f>
        <v>0</v>
      </c>
      <c r="O82" s="23" t="n">
        <f aca="false">IF(M82=L82,1,BETAINV(Inputs!$B$10,M82+1,L82-M82))</f>
        <v>0.00388404949945426</v>
      </c>
      <c r="P82" s="24" t="n">
        <v>0</v>
      </c>
      <c r="Q82" s="25" t="n">
        <v>0</v>
      </c>
      <c r="R82" s="13" t="n">
        <f aca="false">I82*J82*N82*P82</f>
        <v>0</v>
      </c>
      <c r="S82" s="13" t="n">
        <f aca="false">I82*K82*O82*P82</f>
        <v>0</v>
      </c>
      <c r="T82" s="14" t="n">
        <f aca="false">IF(Summary!$B$6&gt;0,R82/Summary!$B$6,0)</f>
        <v>0</v>
      </c>
      <c r="U82" s="13" t="n">
        <f aca="false">I82*K82</f>
        <v>5.18881601089077E-006</v>
      </c>
      <c r="V82" s="13" t="n">
        <f aca="false">I82*O82*P82</f>
        <v>0</v>
      </c>
      <c r="W82" s="17" t="n">
        <f aca="false">INDEX('HB Evidence'!$I$6:$I$25,MATCH(E82,'HB Evidence'!$A$6:$A$25,0))</f>
        <v>0.0009</v>
      </c>
      <c r="X82" s="17" t="n">
        <f aca="false">I82*W82*N82*P82</f>
        <v>0</v>
      </c>
    </row>
    <row r="83" customFormat="false" ht="15" hidden="false" customHeight="false" outlineLevel="0" collapsed="false">
      <c r="A83" s="5" t="s">
        <v>202</v>
      </c>
      <c r="B83" s="5" t="s">
        <v>50</v>
      </c>
      <c r="C83" s="5" t="s">
        <v>58</v>
      </c>
      <c r="D83" s="5" t="s">
        <v>63</v>
      </c>
      <c r="E83" s="5" t="s">
        <v>95</v>
      </c>
      <c r="F83" s="20" t="n">
        <f aca="false">INDEX(Inputs!$B$15:$B$19,MATCH(B83,Inputs!$A$15:$A$19,0))</f>
        <v>0.05</v>
      </c>
      <c r="G83" s="20" t="n">
        <f aca="false">INDEX(Inputs!$B$23:$B$26,MATCH(C83,Inputs!$A$23:$A$26,0))</f>
        <v>0.1</v>
      </c>
      <c r="H83" s="20" t="n">
        <f aca="false">INDEX(Inputs!$B$30:$B$34,MATCH(D83,Inputs!$A$30:$A$34,0))</f>
        <v>0.15</v>
      </c>
      <c r="I83" s="21" t="n">
        <f aca="false">F83*G83*H83</f>
        <v>0.00075</v>
      </c>
      <c r="J83" s="22" t="n">
        <f aca="false">INDEX('HB Evidence'!$F$6:$F$25,MATCH(E83,'HB Evidence'!$A$6:$A$25,0))</f>
        <v>0</v>
      </c>
      <c r="K83" s="22" t="n">
        <f aca="false">INDEX('HB Evidence'!$H$6:$H$25,MATCH(E83,'HB Evidence'!$A$6:$A$25,0))</f>
        <v>0.00518881601089077</v>
      </c>
      <c r="L83" s="15" t="n">
        <v>2000</v>
      </c>
      <c r="M83" s="15" t="n">
        <v>0</v>
      </c>
      <c r="N83" s="23" t="n">
        <f aca="false">M83/L83</f>
        <v>0</v>
      </c>
      <c r="O83" s="23" t="n">
        <f aca="false">IF(M83=L83,1,BETAINV(Inputs!$B$10,M83+1,L83-M83))</f>
        <v>0.00388404949945426</v>
      </c>
      <c r="P83" s="24" t="n">
        <v>0</v>
      </c>
      <c r="Q83" s="25" t="n">
        <v>0</v>
      </c>
      <c r="R83" s="13" t="n">
        <f aca="false">I83*J83*N83*P83</f>
        <v>0</v>
      </c>
      <c r="S83" s="13" t="n">
        <f aca="false">I83*K83*O83*P83</f>
        <v>0</v>
      </c>
      <c r="T83" s="14" t="n">
        <f aca="false">IF(Summary!$B$6&gt;0,R83/Summary!$B$6,0)</f>
        <v>0</v>
      </c>
      <c r="U83" s="13" t="n">
        <f aca="false">I83*K83</f>
        <v>3.89161200816808E-006</v>
      </c>
      <c r="V83" s="13" t="n">
        <f aca="false">I83*O83*P83</f>
        <v>0</v>
      </c>
      <c r="W83" s="17" t="n">
        <f aca="false">INDEX('HB Evidence'!$I$6:$I$25,MATCH(E83,'HB Evidence'!$A$6:$A$25,0))</f>
        <v>0.0009</v>
      </c>
      <c r="X83" s="17" t="n">
        <f aca="false">I83*W83*N83*P83</f>
        <v>0</v>
      </c>
    </row>
    <row r="84" customFormat="false" ht="15" hidden="false" customHeight="false" outlineLevel="0" collapsed="false">
      <c r="A84" s="5" t="s">
        <v>203</v>
      </c>
      <c r="B84" s="5" t="s">
        <v>50</v>
      </c>
      <c r="C84" s="5" t="s">
        <v>58</v>
      </c>
      <c r="D84" s="5" t="s">
        <v>64</v>
      </c>
      <c r="E84" s="5" t="s">
        <v>95</v>
      </c>
      <c r="F84" s="20" t="n">
        <f aca="false">INDEX(Inputs!$B$15:$B$19,MATCH(B84,Inputs!$A$15:$A$19,0))</f>
        <v>0.05</v>
      </c>
      <c r="G84" s="20" t="n">
        <f aca="false">INDEX(Inputs!$B$23:$B$26,MATCH(C84,Inputs!$A$23:$A$26,0))</f>
        <v>0.1</v>
      </c>
      <c r="H84" s="20" t="n">
        <f aca="false">INDEX(Inputs!$B$30:$B$34,MATCH(D84,Inputs!$A$30:$A$34,0))</f>
        <v>0.13</v>
      </c>
      <c r="I84" s="21" t="n">
        <f aca="false">F84*G84*H84</f>
        <v>0.00065</v>
      </c>
      <c r="J84" s="22" t="n">
        <f aca="false">INDEX('HB Evidence'!$F$6:$F$25,MATCH(E84,'HB Evidence'!$A$6:$A$25,0))</f>
        <v>0</v>
      </c>
      <c r="K84" s="22" t="n">
        <f aca="false">INDEX('HB Evidence'!$H$6:$H$25,MATCH(E84,'HB Evidence'!$A$6:$A$25,0))</f>
        <v>0.00518881601089077</v>
      </c>
      <c r="L84" s="15" t="n">
        <v>2000</v>
      </c>
      <c r="M84" s="15" t="n">
        <v>1</v>
      </c>
      <c r="N84" s="23" t="n">
        <f aca="false">M84/L84</f>
        <v>0.0005</v>
      </c>
      <c r="O84" s="23" t="n">
        <f aca="false">IF(M84=L84,1,BETAINV(Inputs!$B$10,M84+1,L84-M84))</f>
        <v>0.00508781553003008</v>
      </c>
      <c r="P84" s="24" t="n">
        <v>0.011307</v>
      </c>
      <c r="Q84" s="25" t="n">
        <v>13.7</v>
      </c>
      <c r="R84" s="13" t="n">
        <f aca="false">I84*J84*N84*P84</f>
        <v>0</v>
      </c>
      <c r="S84" s="13" t="n">
        <f aca="false">I84*K84*O84*P84</f>
        <v>1.94026199435282E-010</v>
      </c>
      <c r="T84" s="14" t="n">
        <f aca="false">IF(Summary!$B$6&gt;0,R84/Summary!$B$6,0)</f>
        <v>0</v>
      </c>
      <c r="U84" s="13" t="n">
        <f aca="false">I84*K84</f>
        <v>3.372730407079E-006</v>
      </c>
      <c r="V84" s="13" t="n">
        <f aca="false">I84*O84*P84</f>
        <v>3.73931546287326E-008</v>
      </c>
      <c r="W84" s="17" t="n">
        <f aca="false">INDEX('HB Evidence'!$I$6:$I$25,MATCH(E84,'HB Evidence'!$A$6:$A$25,0))</f>
        <v>0.0009</v>
      </c>
      <c r="X84" s="17" t="n">
        <f aca="false">I84*W84*N84*P84</f>
        <v>3.3072975E-012</v>
      </c>
    </row>
    <row r="85" customFormat="false" ht="15" hidden="false" customHeight="false" outlineLevel="0" collapsed="false">
      <c r="A85" s="5" t="s">
        <v>204</v>
      </c>
      <c r="B85" s="5" t="s">
        <v>50</v>
      </c>
      <c r="C85" s="5" t="s">
        <v>58</v>
      </c>
      <c r="D85" s="5" t="s">
        <v>65</v>
      </c>
      <c r="E85" s="5" t="s">
        <v>95</v>
      </c>
      <c r="F85" s="20" t="n">
        <f aca="false">INDEX(Inputs!$B$15:$B$19,MATCH(B85,Inputs!$A$15:$A$19,0))</f>
        <v>0.05</v>
      </c>
      <c r="G85" s="20" t="n">
        <f aca="false">INDEX(Inputs!$B$23:$B$26,MATCH(C85,Inputs!$A$23:$A$26,0))</f>
        <v>0.1</v>
      </c>
      <c r="H85" s="20" t="n">
        <f aca="false">INDEX(Inputs!$B$30:$B$34,MATCH(D85,Inputs!$A$30:$A$34,0))</f>
        <v>0.07</v>
      </c>
      <c r="I85" s="21" t="n">
        <f aca="false">F85*G85*H85</f>
        <v>0.00035</v>
      </c>
      <c r="J85" s="22" t="n">
        <f aca="false">INDEX('HB Evidence'!$F$6:$F$25,MATCH(E85,'HB Evidence'!$A$6:$A$25,0))</f>
        <v>0</v>
      </c>
      <c r="K85" s="22" t="n">
        <f aca="false">INDEX('HB Evidence'!$H$6:$H$25,MATCH(E85,'HB Evidence'!$A$6:$A$25,0))</f>
        <v>0.00518881601089077</v>
      </c>
      <c r="L85" s="15" t="n">
        <v>2000</v>
      </c>
      <c r="M85" s="15" t="n">
        <v>17</v>
      </c>
      <c r="N85" s="23" t="n">
        <f aca="false">M85/L85</f>
        <v>0.0085</v>
      </c>
      <c r="O85" s="23" t="n">
        <f aca="false">IF(M85=L85,1,BETAINV(Inputs!$B$10,M85+1,L85-M85))</f>
        <v>0.0177321337943176</v>
      </c>
      <c r="P85" s="24" t="n">
        <v>0.077759</v>
      </c>
      <c r="Q85" s="25" t="n">
        <v>23.13</v>
      </c>
      <c r="R85" s="13" t="n">
        <f aca="false">I85*J85*N85*P85</f>
        <v>0</v>
      </c>
      <c r="S85" s="13" t="n">
        <f aca="false">I85*K85*O85*P85</f>
        <v>2.5040787463095E-009</v>
      </c>
      <c r="T85" s="14" t="n">
        <f aca="false">IF(Summary!$B$6&gt;0,R85/Summary!$B$6,0)</f>
        <v>0</v>
      </c>
      <c r="U85" s="13" t="n">
        <f aca="false">I85*K85</f>
        <v>1.81608560381177E-006</v>
      </c>
      <c r="V85" s="13" t="n">
        <f aca="false">I85*O85*P85</f>
        <v>4.82591547099321E-007</v>
      </c>
      <c r="W85" s="17" t="n">
        <f aca="false">INDEX('HB Evidence'!$I$6:$I$25,MATCH(E85,'HB Evidence'!$A$6:$A$25,0))</f>
        <v>0.0009</v>
      </c>
      <c r="X85" s="17" t="n">
        <f aca="false">I85*W85*N85*P85</f>
        <v>2.081997225E-010</v>
      </c>
    </row>
    <row r="86" customFormat="false" ht="15" hidden="false" customHeight="false" outlineLevel="0" collapsed="false">
      <c r="A86" s="5" t="s">
        <v>205</v>
      </c>
      <c r="B86" s="5" t="s">
        <v>51</v>
      </c>
      <c r="C86" s="5" t="s">
        <v>54</v>
      </c>
      <c r="D86" s="5" t="s">
        <v>60</v>
      </c>
      <c r="E86" s="5" t="s">
        <v>96</v>
      </c>
      <c r="F86" s="20" t="n">
        <f aca="false">INDEX(Inputs!$B$15:$B$19,MATCH(B86,Inputs!$A$15:$A$19,0))</f>
        <v>0.03</v>
      </c>
      <c r="G86" s="20" t="n">
        <f aca="false">INDEX(Inputs!$B$23:$B$26,MATCH(C86,Inputs!$A$23:$A$26,0))</f>
        <v>0.35</v>
      </c>
      <c r="H86" s="20" t="n">
        <f aca="false">INDEX(Inputs!$B$30:$B$34,MATCH(D86,Inputs!$A$30:$A$34,0))</f>
        <v>0.45</v>
      </c>
      <c r="I86" s="21" t="n">
        <f aca="false">F86*G86*H86</f>
        <v>0.004725</v>
      </c>
      <c r="J86" s="22" t="n">
        <f aca="false">INDEX('HB Evidence'!$F$6:$F$25,MATCH(E86,'HB Evidence'!$A$6:$A$25,0))</f>
        <v>0.0005</v>
      </c>
      <c r="K86" s="22" t="n">
        <f aca="false">INDEX('HB Evidence'!$H$6:$H$25,MATCH(E86,'HB Evidence'!$A$6:$A$25,0))</f>
        <v>0.00509952663038825</v>
      </c>
      <c r="L86" s="15" t="n">
        <v>2000</v>
      </c>
      <c r="M86" s="15" t="n">
        <v>0</v>
      </c>
      <c r="N86" s="23" t="n">
        <f aca="false">M86/L86</f>
        <v>0</v>
      </c>
      <c r="O86" s="23" t="n">
        <f aca="false">IF(M86=L86,1,BETAINV(Inputs!$B$10,M86+1,L86-M86))</f>
        <v>0.00388404949945426</v>
      </c>
      <c r="P86" s="24" t="n">
        <v>0</v>
      </c>
      <c r="Q86" s="25" t="n">
        <v>0</v>
      </c>
      <c r="R86" s="13" t="n">
        <f aca="false">I86*J86*N86*P86</f>
        <v>0</v>
      </c>
      <c r="S86" s="13" t="n">
        <f aca="false">I86*K86*O86*P86</f>
        <v>0</v>
      </c>
      <c r="T86" s="14" t="n">
        <f aca="false">IF(Summary!$B$6&gt;0,R86/Summary!$B$6,0)</f>
        <v>0</v>
      </c>
      <c r="U86" s="13" t="n">
        <f aca="false">I86*K86</f>
        <v>2.40952633285845E-005</v>
      </c>
      <c r="V86" s="13" t="n">
        <f aca="false">I86*O86*P86</f>
        <v>0</v>
      </c>
      <c r="W86" s="17" t="n">
        <f aca="false">INDEX('HB Evidence'!$I$6:$I$25,MATCH(E86,'HB Evidence'!$A$6:$A$25,0))</f>
        <v>0.0003</v>
      </c>
      <c r="X86" s="17" t="n">
        <f aca="false">I86*W86*N86*P86</f>
        <v>0</v>
      </c>
    </row>
    <row r="87" customFormat="false" ht="15" hidden="false" customHeight="false" outlineLevel="0" collapsed="false">
      <c r="A87" s="5" t="s">
        <v>206</v>
      </c>
      <c r="B87" s="5" t="s">
        <v>51</v>
      </c>
      <c r="C87" s="5" t="s">
        <v>54</v>
      </c>
      <c r="D87" s="5" t="s">
        <v>62</v>
      </c>
      <c r="E87" s="5" t="s">
        <v>96</v>
      </c>
      <c r="F87" s="20" t="n">
        <f aca="false">INDEX(Inputs!$B$15:$B$19,MATCH(B87,Inputs!$A$15:$A$19,0))</f>
        <v>0.03</v>
      </c>
      <c r="G87" s="20" t="n">
        <f aca="false">INDEX(Inputs!$B$23:$B$26,MATCH(C87,Inputs!$A$23:$A$26,0))</f>
        <v>0.35</v>
      </c>
      <c r="H87" s="20" t="n">
        <f aca="false">INDEX(Inputs!$B$30:$B$34,MATCH(D87,Inputs!$A$30:$A$34,0))</f>
        <v>0.2</v>
      </c>
      <c r="I87" s="21" t="n">
        <f aca="false">F87*G87*H87</f>
        <v>0.0021</v>
      </c>
      <c r="J87" s="22" t="n">
        <f aca="false">INDEX('HB Evidence'!$F$6:$F$25,MATCH(E87,'HB Evidence'!$A$6:$A$25,0))</f>
        <v>0.0005</v>
      </c>
      <c r="K87" s="22" t="n">
        <f aca="false">INDEX('HB Evidence'!$H$6:$H$25,MATCH(E87,'HB Evidence'!$A$6:$A$25,0))</f>
        <v>0.00509952663038825</v>
      </c>
      <c r="L87" s="15" t="n">
        <v>2000</v>
      </c>
      <c r="M87" s="15" t="n">
        <v>0</v>
      </c>
      <c r="N87" s="23" t="n">
        <f aca="false">M87/L87</f>
        <v>0</v>
      </c>
      <c r="O87" s="23" t="n">
        <f aca="false">IF(M87=L87,1,BETAINV(Inputs!$B$10,M87+1,L87-M87))</f>
        <v>0.00388404949945426</v>
      </c>
      <c r="P87" s="24" t="n">
        <v>0</v>
      </c>
      <c r="Q87" s="25" t="n">
        <v>0</v>
      </c>
      <c r="R87" s="13" t="n">
        <f aca="false">I87*J87*N87*P87</f>
        <v>0</v>
      </c>
      <c r="S87" s="13" t="n">
        <f aca="false">I87*K87*O87*P87</f>
        <v>0</v>
      </c>
      <c r="T87" s="14" t="n">
        <f aca="false">IF(Summary!$B$6&gt;0,R87/Summary!$B$6,0)</f>
        <v>0</v>
      </c>
      <c r="U87" s="13" t="n">
        <f aca="false">I87*K87</f>
        <v>1.07090059238153E-005</v>
      </c>
      <c r="V87" s="13" t="n">
        <f aca="false">I87*O87*P87</f>
        <v>0</v>
      </c>
      <c r="W87" s="17" t="n">
        <f aca="false">INDEX('HB Evidence'!$I$6:$I$25,MATCH(E87,'HB Evidence'!$A$6:$A$25,0))</f>
        <v>0.0003</v>
      </c>
      <c r="X87" s="17" t="n">
        <f aca="false">I87*W87*N87*P87</f>
        <v>0</v>
      </c>
    </row>
    <row r="88" customFormat="false" ht="15" hidden="false" customHeight="false" outlineLevel="0" collapsed="false">
      <c r="A88" s="5" t="s">
        <v>207</v>
      </c>
      <c r="B88" s="5" t="s">
        <v>51</v>
      </c>
      <c r="C88" s="5" t="s">
        <v>54</v>
      </c>
      <c r="D88" s="5" t="s">
        <v>63</v>
      </c>
      <c r="E88" s="5" t="s">
        <v>96</v>
      </c>
      <c r="F88" s="20" t="n">
        <f aca="false">INDEX(Inputs!$B$15:$B$19,MATCH(B88,Inputs!$A$15:$A$19,0))</f>
        <v>0.03</v>
      </c>
      <c r="G88" s="20" t="n">
        <f aca="false">INDEX(Inputs!$B$23:$B$26,MATCH(C88,Inputs!$A$23:$A$26,0))</f>
        <v>0.35</v>
      </c>
      <c r="H88" s="20" t="n">
        <f aca="false">INDEX(Inputs!$B$30:$B$34,MATCH(D88,Inputs!$A$30:$A$34,0))</f>
        <v>0.15</v>
      </c>
      <c r="I88" s="21" t="n">
        <f aca="false">F88*G88*H88</f>
        <v>0.001575</v>
      </c>
      <c r="J88" s="22" t="n">
        <f aca="false">INDEX('HB Evidence'!$F$6:$F$25,MATCH(E88,'HB Evidence'!$A$6:$A$25,0))</f>
        <v>0.0005</v>
      </c>
      <c r="K88" s="22" t="n">
        <f aca="false">INDEX('HB Evidence'!$H$6:$H$25,MATCH(E88,'HB Evidence'!$A$6:$A$25,0))</f>
        <v>0.00509952663038825</v>
      </c>
      <c r="L88" s="15" t="n">
        <v>2000</v>
      </c>
      <c r="M88" s="15" t="n">
        <v>11</v>
      </c>
      <c r="N88" s="23" t="n">
        <f aca="false">M88/L88</f>
        <v>0.0055</v>
      </c>
      <c r="O88" s="23" t="n">
        <f aca="false">IF(M88=L88,1,BETAINV(Inputs!$B$10,M88+1,L88-M88))</f>
        <v>0.0134643687999082</v>
      </c>
      <c r="P88" s="24" t="n">
        <v>0.013875</v>
      </c>
      <c r="Q88" s="25" t="n">
        <v>13.51</v>
      </c>
      <c r="R88" s="13" t="n">
        <f aca="false">I88*J88*N88*P88</f>
        <v>6.009609375E-011</v>
      </c>
      <c r="S88" s="13" t="n">
        <f aca="false">I88*K88*O88*P88</f>
        <v>1.50047724201471E-009</v>
      </c>
      <c r="T88" s="14" t="n">
        <f aca="false">IF(Summary!$B$6&gt;0,R88/Summary!$B$6,0)</f>
        <v>0.00364743260221522</v>
      </c>
      <c r="U88" s="13" t="n">
        <f aca="false">I88*K88</f>
        <v>8.03175444286149E-006</v>
      </c>
      <c r="V88" s="13" t="n">
        <f aca="false">I88*O88*P88</f>
        <v>2.94238534430493E-007</v>
      </c>
      <c r="W88" s="17" t="n">
        <f aca="false">INDEX('HB Evidence'!$I$6:$I$25,MATCH(E88,'HB Evidence'!$A$6:$A$25,0))</f>
        <v>0.0003</v>
      </c>
      <c r="X88" s="17" t="n">
        <f aca="false">I88*W88*N88*P88</f>
        <v>3.605765625E-011</v>
      </c>
    </row>
    <row r="89" customFormat="false" ht="15" hidden="false" customHeight="false" outlineLevel="0" collapsed="false">
      <c r="A89" s="5" t="s">
        <v>208</v>
      </c>
      <c r="B89" s="5" t="s">
        <v>51</v>
      </c>
      <c r="C89" s="5" t="s">
        <v>54</v>
      </c>
      <c r="D89" s="5" t="s">
        <v>64</v>
      </c>
      <c r="E89" s="5" t="s">
        <v>96</v>
      </c>
      <c r="F89" s="20" t="n">
        <f aca="false">INDEX(Inputs!$B$15:$B$19,MATCH(B89,Inputs!$A$15:$A$19,0))</f>
        <v>0.03</v>
      </c>
      <c r="G89" s="20" t="n">
        <f aca="false">INDEX(Inputs!$B$23:$B$26,MATCH(C89,Inputs!$A$23:$A$26,0))</f>
        <v>0.35</v>
      </c>
      <c r="H89" s="20" t="n">
        <f aca="false">INDEX(Inputs!$B$30:$B$34,MATCH(D89,Inputs!$A$30:$A$34,0))</f>
        <v>0.13</v>
      </c>
      <c r="I89" s="21" t="n">
        <f aca="false">F89*G89*H89</f>
        <v>0.001365</v>
      </c>
      <c r="J89" s="22" t="n">
        <f aca="false">INDEX('HB Evidence'!$F$6:$F$25,MATCH(E89,'HB Evidence'!$A$6:$A$25,0))</f>
        <v>0.0005</v>
      </c>
      <c r="K89" s="22" t="n">
        <f aca="false">INDEX('HB Evidence'!$H$6:$H$25,MATCH(E89,'HB Evidence'!$A$6:$A$25,0))</f>
        <v>0.00509952663038825</v>
      </c>
      <c r="L89" s="15" t="n">
        <v>2000</v>
      </c>
      <c r="M89" s="15" t="n">
        <v>107</v>
      </c>
      <c r="N89" s="23" t="n">
        <f aca="false">M89/L89</f>
        <v>0.0535</v>
      </c>
      <c r="O89" s="23" t="n">
        <f aca="false">IF(M89=L89,1,BETAINV(Inputs!$B$10,M89+1,L89-M89))</f>
        <v>0.0723532828571413</v>
      </c>
      <c r="P89" s="24" t="n">
        <v>0.020001</v>
      </c>
      <c r="Q89" s="25" t="n">
        <v>14.7</v>
      </c>
      <c r="R89" s="13" t="n">
        <f aca="false">I89*J89*N89*P89</f>
        <v>7.3031151375E-010</v>
      </c>
      <c r="S89" s="13" t="n">
        <f aca="false">I89*K89*O89*P89</f>
        <v>1.00733161920475E-008</v>
      </c>
      <c r="T89" s="14" t="n">
        <f aca="false">IF(Summary!$B$6&gt;0,R89/Summary!$B$6,0)</f>
        <v>0.0443250444214587</v>
      </c>
      <c r="U89" s="13" t="n">
        <f aca="false">I89*K89</f>
        <v>6.96085385047996E-006</v>
      </c>
      <c r="V89" s="13" t="n">
        <f aca="false">I89*O89*P89</f>
        <v>1.97534338423106E-006</v>
      </c>
      <c r="W89" s="17" t="n">
        <f aca="false">INDEX('HB Evidence'!$I$6:$I$25,MATCH(E89,'HB Evidence'!$A$6:$A$25,0))</f>
        <v>0.0003</v>
      </c>
      <c r="X89" s="17" t="n">
        <f aca="false">I89*W89*N89*P89</f>
        <v>4.3818690825E-010</v>
      </c>
    </row>
    <row r="90" customFormat="false" ht="15" hidden="false" customHeight="false" outlineLevel="0" collapsed="false">
      <c r="A90" s="5" t="s">
        <v>209</v>
      </c>
      <c r="B90" s="5" t="s">
        <v>51</v>
      </c>
      <c r="C90" s="5" t="s">
        <v>54</v>
      </c>
      <c r="D90" s="5" t="s">
        <v>65</v>
      </c>
      <c r="E90" s="5" t="s">
        <v>96</v>
      </c>
      <c r="F90" s="20" t="n">
        <f aca="false">INDEX(Inputs!$B$15:$B$19,MATCH(B90,Inputs!$A$15:$A$19,0))</f>
        <v>0.03</v>
      </c>
      <c r="G90" s="20" t="n">
        <f aca="false">INDEX(Inputs!$B$23:$B$26,MATCH(C90,Inputs!$A$23:$A$26,0))</f>
        <v>0.35</v>
      </c>
      <c r="H90" s="20" t="n">
        <f aca="false">INDEX(Inputs!$B$30:$B$34,MATCH(D90,Inputs!$A$30:$A$34,0))</f>
        <v>0.07</v>
      </c>
      <c r="I90" s="21" t="n">
        <f aca="false">F90*G90*H90</f>
        <v>0.000735</v>
      </c>
      <c r="J90" s="22" t="n">
        <f aca="false">INDEX('HB Evidence'!$F$6:$F$25,MATCH(E90,'HB Evidence'!$A$6:$A$25,0))</f>
        <v>0.0005</v>
      </c>
      <c r="K90" s="22" t="n">
        <f aca="false">INDEX('HB Evidence'!$H$6:$H$25,MATCH(E90,'HB Evidence'!$A$6:$A$25,0))</f>
        <v>0.00509952663038825</v>
      </c>
      <c r="L90" s="15" t="n">
        <v>2000</v>
      </c>
      <c r="M90" s="15" t="n">
        <v>450</v>
      </c>
      <c r="N90" s="23" t="n">
        <f aca="false">M90/L90</f>
        <v>0.225</v>
      </c>
      <c r="O90" s="23" t="n">
        <f aca="false">IF(M90=L90,1,BETAINV(Inputs!$B$10,M90+1,L90-M90))</f>
        <v>0.257491739467184</v>
      </c>
      <c r="P90" s="24" t="n">
        <v>0.018722</v>
      </c>
      <c r="Q90" s="25" t="n">
        <v>14.49</v>
      </c>
      <c r="R90" s="13" t="n">
        <f aca="false">I90*J90*N90*P90</f>
        <v>1.548075375E-009</v>
      </c>
      <c r="S90" s="13" t="n">
        <f aca="false">I90*K90*O90*P90</f>
        <v>1.80689428870546E-008</v>
      </c>
      <c r="T90" s="14" t="n">
        <f aca="false">IF(Summary!$B$6&gt;0,R90/Summary!$B$6,0)</f>
        <v>0.0939578638330641</v>
      </c>
      <c r="U90" s="13" t="n">
        <f aca="false">I90*K90</f>
        <v>3.74815207333536E-006</v>
      </c>
      <c r="V90" s="13" t="n">
        <f aca="false">I90*O90*P90</f>
        <v>3.5432588545339E-006</v>
      </c>
      <c r="W90" s="17" t="n">
        <f aca="false">INDEX('HB Evidence'!$I$6:$I$25,MATCH(E90,'HB Evidence'!$A$6:$A$25,0))</f>
        <v>0.0003</v>
      </c>
      <c r="X90" s="17" t="n">
        <f aca="false">I90*W90*N90*P90</f>
        <v>9.28845225E-010</v>
      </c>
    </row>
    <row r="91" customFormat="false" ht="15" hidden="false" customHeight="false" outlineLevel="0" collapsed="false">
      <c r="A91" s="5" t="s">
        <v>210</v>
      </c>
      <c r="B91" s="5" t="s">
        <v>51</v>
      </c>
      <c r="C91" s="5" t="s">
        <v>56</v>
      </c>
      <c r="D91" s="5" t="s">
        <v>60</v>
      </c>
      <c r="E91" s="5" t="s">
        <v>97</v>
      </c>
      <c r="F91" s="20" t="n">
        <f aca="false">INDEX(Inputs!$B$15:$B$19,MATCH(B91,Inputs!$A$15:$A$19,0))</f>
        <v>0.03</v>
      </c>
      <c r="G91" s="20" t="n">
        <f aca="false">INDEX(Inputs!$B$23:$B$26,MATCH(C91,Inputs!$A$23:$A$26,0))</f>
        <v>0.4</v>
      </c>
      <c r="H91" s="20" t="n">
        <f aca="false">INDEX(Inputs!$B$30:$B$34,MATCH(D91,Inputs!$A$30:$A$34,0))</f>
        <v>0.45</v>
      </c>
      <c r="I91" s="21" t="n">
        <f aca="false">F91*G91*H91</f>
        <v>0.0054</v>
      </c>
      <c r="J91" s="22" t="n">
        <f aca="false">INDEX('HB Evidence'!$F$6:$F$25,MATCH(E91,'HB Evidence'!$A$6:$A$25,0))</f>
        <v>0</v>
      </c>
      <c r="K91" s="22" t="n">
        <f aca="false">INDEX('HB Evidence'!$H$6:$H$25,MATCH(E91,'HB Evidence'!$A$6:$A$25,0))</f>
        <v>0.00311328960653446</v>
      </c>
      <c r="L91" s="15" t="n">
        <v>2000</v>
      </c>
      <c r="M91" s="15" t="n">
        <v>0</v>
      </c>
      <c r="N91" s="23" t="n">
        <f aca="false">M91/L91</f>
        <v>0</v>
      </c>
      <c r="O91" s="23" t="n">
        <f aca="false">IF(M91=L91,1,BETAINV(Inputs!$B$10,M91+1,L91-M91))</f>
        <v>0.00388404949945426</v>
      </c>
      <c r="P91" s="24" t="n">
        <v>0</v>
      </c>
      <c r="Q91" s="25" t="n">
        <v>0</v>
      </c>
      <c r="R91" s="13" t="n">
        <f aca="false">I91*J91*N91*P91</f>
        <v>0</v>
      </c>
      <c r="S91" s="13" t="n">
        <f aca="false">I91*K91*O91*P91</f>
        <v>0</v>
      </c>
      <c r="T91" s="14" t="n">
        <f aca="false">IF(Summary!$B$6&gt;0,R91/Summary!$B$6,0)</f>
        <v>0</v>
      </c>
      <c r="U91" s="13" t="n">
        <f aca="false">I91*K91</f>
        <v>1.68117638752861E-005</v>
      </c>
      <c r="V91" s="13" t="n">
        <f aca="false">I91*O91*P91</f>
        <v>0</v>
      </c>
      <c r="W91" s="17" t="n">
        <f aca="false">INDEX('HB Evidence'!$I$6:$I$25,MATCH(E91,'HB Evidence'!$A$6:$A$25,0))</f>
        <v>0.0003</v>
      </c>
      <c r="X91" s="17" t="n">
        <f aca="false">I91*W91*N91*P91</f>
        <v>0</v>
      </c>
    </row>
    <row r="92" customFormat="false" ht="15" hidden="false" customHeight="false" outlineLevel="0" collapsed="false">
      <c r="A92" s="5" t="s">
        <v>211</v>
      </c>
      <c r="B92" s="5" t="s">
        <v>51</v>
      </c>
      <c r="C92" s="5" t="s">
        <v>56</v>
      </c>
      <c r="D92" s="5" t="s">
        <v>62</v>
      </c>
      <c r="E92" s="5" t="s">
        <v>97</v>
      </c>
      <c r="F92" s="20" t="n">
        <f aca="false">INDEX(Inputs!$B$15:$B$19,MATCH(B92,Inputs!$A$15:$A$19,0))</f>
        <v>0.03</v>
      </c>
      <c r="G92" s="20" t="n">
        <f aca="false">INDEX(Inputs!$B$23:$B$26,MATCH(C92,Inputs!$A$23:$A$26,0))</f>
        <v>0.4</v>
      </c>
      <c r="H92" s="20" t="n">
        <f aca="false">INDEX(Inputs!$B$30:$B$34,MATCH(D92,Inputs!$A$30:$A$34,0))</f>
        <v>0.2</v>
      </c>
      <c r="I92" s="21" t="n">
        <f aca="false">F92*G92*H92</f>
        <v>0.0024</v>
      </c>
      <c r="J92" s="22" t="n">
        <f aca="false">INDEX('HB Evidence'!$F$6:$F$25,MATCH(E92,'HB Evidence'!$A$6:$A$25,0))</f>
        <v>0</v>
      </c>
      <c r="K92" s="22" t="n">
        <f aca="false">INDEX('HB Evidence'!$H$6:$H$25,MATCH(E92,'HB Evidence'!$A$6:$A$25,0))</f>
        <v>0.00311328960653446</v>
      </c>
      <c r="L92" s="15" t="n">
        <v>2000</v>
      </c>
      <c r="M92" s="15" t="n">
        <v>1</v>
      </c>
      <c r="N92" s="23" t="n">
        <f aca="false">M92/L92</f>
        <v>0.0005</v>
      </c>
      <c r="O92" s="23" t="n">
        <f aca="false">IF(M92=L92,1,BETAINV(Inputs!$B$10,M92+1,L92-M92))</f>
        <v>0.00508781553003008</v>
      </c>
      <c r="P92" s="24" t="n">
        <v>0.006007</v>
      </c>
      <c r="Q92" s="25" t="n">
        <v>9.24</v>
      </c>
      <c r="R92" s="13" t="n">
        <f aca="false">I92*J92*N92*P92</f>
        <v>0</v>
      </c>
      <c r="S92" s="13" t="n">
        <f aca="false">I92*K92*O92*P92</f>
        <v>2.28359851584266E-010</v>
      </c>
      <c r="T92" s="14" t="n">
        <f aca="false">IF(Summary!$B$6&gt;0,R92/Summary!$B$6,0)</f>
        <v>0</v>
      </c>
      <c r="U92" s="13" t="n">
        <f aca="false">I92*K92</f>
        <v>7.4718950556827E-006</v>
      </c>
      <c r="V92" s="13" t="n">
        <f aca="false">I92*O92*P92</f>
        <v>7.33500189333377E-008</v>
      </c>
      <c r="W92" s="17" t="n">
        <f aca="false">INDEX('HB Evidence'!$I$6:$I$25,MATCH(E92,'HB Evidence'!$A$6:$A$25,0))</f>
        <v>0.0003</v>
      </c>
      <c r="X92" s="17" t="n">
        <f aca="false">I92*W92*N92*P92</f>
        <v>2.16252E-012</v>
      </c>
    </row>
    <row r="93" customFormat="false" ht="15" hidden="false" customHeight="false" outlineLevel="0" collapsed="false">
      <c r="A93" s="5" t="s">
        <v>212</v>
      </c>
      <c r="B93" s="5" t="s">
        <v>51</v>
      </c>
      <c r="C93" s="5" t="s">
        <v>56</v>
      </c>
      <c r="D93" s="5" t="s">
        <v>63</v>
      </c>
      <c r="E93" s="5" t="s">
        <v>97</v>
      </c>
      <c r="F93" s="20" t="n">
        <f aca="false">INDEX(Inputs!$B$15:$B$19,MATCH(B93,Inputs!$A$15:$A$19,0))</f>
        <v>0.03</v>
      </c>
      <c r="G93" s="20" t="n">
        <f aca="false">INDEX(Inputs!$B$23:$B$26,MATCH(C93,Inputs!$A$23:$A$26,0))</f>
        <v>0.4</v>
      </c>
      <c r="H93" s="20" t="n">
        <f aca="false">INDEX(Inputs!$B$30:$B$34,MATCH(D93,Inputs!$A$30:$A$34,0))</f>
        <v>0.15</v>
      </c>
      <c r="I93" s="21" t="n">
        <f aca="false">F93*G93*H93</f>
        <v>0.0018</v>
      </c>
      <c r="J93" s="22" t="n">
        <f aca="false">INDEX('HB Evidence'!$F$6:$F$25,MATCH(E93,'HB Evidence'!$A$6:$A$25,0))</f>
        <v>0</v>
      </c>
      <c r="K93" s="22" t="n">
        <f aca="false">INDEX('HB Evidence'!$H$6:$H$25,MATCH(E93,'HB Evidence'!$A$6:$A$25,0))</f>
        <v>0.00311328960653446</v>
      </c>
      <c r="L93" s="15" t="n">
        <v>2000</v>
      </c>
      <c r="M93" s="15" t="n">
        <v>2</v>
      </c>
      <c r="N93" s="23" t="n">
        <f aca="false">M93/L93</f>
        <v>0.001</v>
      </c>
      <c r="O93" s="23" t="n">
        <f aca="false">IF(M93=L93,1,BETAINV(Inputs!$B$10,M93+1,L93-M93))</f>
        <v>0.00611737163154275</v>
      </c>
      <c r="P93" s="24" t="n">
        <v>0.006093</v>
      </c>
      <c r="Q93" s="25" t="n">
        <v>9.06</v>
      </c>
      <c r="R93" s="13" t="n">
        <f aca="false">I93*J93*N93*P93</f>
        <v>0</v>
      </c>
      <c r="S93" s="13" t="n">
        <f aca="false">I93*K93*O93*P93</f>
        <v>2.08875772843354E-010</v>
      </c>
      <c r="T93" s="14" t="n">
        <f aca="false">IF(Summary!$B$6&gt;0,R93/Summary!$B$6,0)</f>
        <v>0</v>
      </c>
      <c r="U93" s="13" t="n">
        <f aca="false">I93*K93</f>
        <v>5.60392129176203E-006</v>
      </c>
      <c r="V93" s="13" t="n">
        <f aca="false">I93*O93*P93</f>
        <v>6.7091661631782E-008</v>
      </c>
      <c r="W93" s="17" t="n">
        <f aca="false">INDEX('HB Evidence'!$I$6:$I$25,MATCH(E93,'HB Evidence'!$A$6:$A$25,0))</f>
        <v>0.0003</v>
      </c>
      <c r="X93" s="17" t="n">
        <f aca="false">I93*W93*N93*P93</f>
        <v>3.29022E-012</v>
      </c>
    </row>
    <row r="94" customFormat="false" ht="15" hidden="false" customHeight="false" outlineLevel="0" collapsed="false">
      <c r="A94" s="5" t="s">
        <v>213</v>
      </c>
      <c r="B94" s="5" t="s">
        <v>51</v>
      </c>
      <c r="C94" s="5" t="s">
        <v>56</v>
      </c>
      <c r="D94" s="5" t="s">
        <v>64</v>
      </c>
      <c r="E94" s="5" t="s">
        <v>97</v>
      </c>
      <c r="F94" s="20" t="n">
        <f aca="false">INDEX(Inputs!$B$15:$B$19,MATCH(B94,Inputs!$A$15:$A$19,0))</f>
        <v>0.03</v>
      </c>
      <c r="G94" s="20" t="n">
        <f aca="false">INDEX(Inputs!$B$23:$B$26,MATCH(C94,Inputs!$A$23:$A$26,0))</f>
        <v>0.4</v>
      </c>
      <c r="H94" s="20" t="n">
        <f aca="false">INDEX(Inputs!$B$30:$B$34,MATCH(D94,Inputs!$A$30:$A$34,0))</f>
        <v>0.13</v>
      </c>
      <c r="I94" s="21" t="n">
        <f aca="false">F94*G94*H94</f>
        <v>0.00156</v>
      </c>
      <c r="J94" s="22" t="n">
        <f aca="false">INDEX('HB Evidence'!$F$6:$F$25,MATCH(E94,'HB Evidence'!$A$6:$A$25,0))</f>
        <v>0</v>
      </c>
      <c r="K94" s="22" t="n">
        <f aca="false">INDEX('HB Evidence'!$H$6:$H$25,MATCH(E94,'HB Evidence'!$A$6:$A$25,0))</f>
        <v>0.00311328960653446</v>
      </c>
      <c r="L94" s="15" t="n">
        <v>2000</v>
      </c>
      <c r="M94" s="15" t="n">
        <v>25</v>
      </c>
      <c r="N94" s="23" t="n">
        <f aca="false">M94/L94</f>
        <v>0.0125</v>
      </c>
      <c r="O94" s="23" t="n">
        <f aca="false">IF(M94=L94,1,BETAINV(Inputs!$B$10,M94+1,L94-M94))</f>
        <v>0.0231172374996389</v>
      </c>
      <c r="P94" s="24" t="n">
        <v>0.031577</v>
      </c>
      <c r="Q94" s="25" t="n">
        <v>17.25</v>
      </c>
      <c r="R94" s="13" t="n">
        <f aca="false">I94*J94*N94*P94</f>
        <v>0</v>
      </c>
      <c r="S94" s="13" t="n">
        <f aca="false">I94*K94*O94*P94</f>
        <v>3.54528311357219E-009</v>
      </c>
      <c r="T94" s="14" t="n">
        <f aca="false">IF(Summary!$B$6&gt;0,R94/Summary!$B$6,0)</f>
        <v>0</v>
      </c>
      <c r="U94" s="13" t="n">
        <f aca="false">I94*K94</f>
        <v>4.85673178619376E-006</v>
      </c>
      <c r="V94" s="13" t="n">
        <f aca="false">I94*O94*P94</f>
        <v>1.13875789330071E-006</v>
      </c>
      <c r="W94" s="17" t="n">
        <f aca="false">INDEX('HB Evidence'!$I$6:$I$25,MATCH(E94,'HB Evidence'!$A$6:$A$25,0))</f>
        <v>0.0003</v>
      </c>
      <c r="X94" s="17" t="n">
        <f aca="false">I94*W94*N94*P94</f>
        <v>1.8472545E-010</v>
      </c>
    </row>
    <row r="95" customFormat="false" ht="15" hidden="false" customHeight="false" outlineLevel="0" collapsed="false">
      <c r="A95" s="5" t="s">
        <v>214</v>
      </c>
      <c r="B95" s="5" t="s">
        <v>51</v>
      </c>
      <c r="C95" s="5" t="s">
        <v>56</v>
      </c>
      <c r="D95" s="5" t="s">
        <v>65</v>
      </c>
      <c r="E95" s="5" t="s">
        <v>97</v>
      </c>
      <c r="F95" s="20" t="n">
        <f aca="false">INDEX(Inputs!$B$15:$B$19,MATCH(B95,Inputs!$A$15:$A$19,0))</f>
        <v>0.03</v>
      </c>
      <c r="G95" s="20" t="n">
        <f aca="false">INDEX(Inputs!$B$23:$B$26,MATCH(C95,Inputs!$A$23:$A$26,0))</f>
        <v>0.4</v>
      </c>
      <c r="H95" s="20" t="n">
        <f aca="false">INDEX(Inputs!$B$30:$B$34,MATCH(D95,Inputs!$A$30:$A$34,0))</f>
        <v>0.07</v>
      </c>
      <c r="I95" s="21" t="n">
        <f aca="false">F95*G95*H95</f>
        <v>0.00084</v>
      </c>
      <c r="J95" s="22" t="n">
        <f aca="false">INDEX('HB Evidence'!$F$6:$F$25,MATCH(E95,'HB Evidence'!$A$6:$A$25,0))</f>
        <v>0</v>
      </c>
      <c r="K95" s="22" t="n">
        <f aca="false">INDEX('HB Evidence'!$H$6:$H$25,MATCH(E95,'HB Evidence'!$A$6:$A$25,0))</f>
        <v>0.00311328960653446</v>
      </c>
      <c r="L95" s="15" t="n">
        <v>2000</v>
      </c>
      <c r="M95" s="15" t="n">
        <v>144</v>
      </c>
      <c r="N95" s="23" t="n">
        <f aca="false">M95/L95</f>
        <v>0.072</v>
      </c>
      <c r="O95" s="23" t="n">
        <f aca="false">IF(M95=L95,1,BETAINV(Inputs!$B$10,M95+1,L95-M95))</f>
        <v>0.0932625874163302</v>
      </c>
      <c r="P95" s="24" t="n">
        <v>0.030617</v>
      </c>
      <c r="Q95" s="25" t="n">
        <v>16.19</v>
      </c>
      <c r="R95" s="13" t="n">
        <f aca="false">I95*J95*N95*P95</f>
        <v>0</v>
      </c>
      <c r="S95" s="13" t="n">
        <f aca="false">I95*K95*O95*P95</f>
        <v>7.46739117385936E-009</v>
      </c>
      <c r="T95" s="14" t="n">
        <f aca="false">IF(Summary!$B$6&gt;0,R95/Summary!$B$6,0)</f>
        <v>0</v>
      </c>
      <c r="U95" s="13" t="n">
        <f aca="false">I95*K95</f>
        <v>2.61516326948895E-006</v>
      </c>
      <c r="V95" s="13" t="n">
        <f aca="false">I95*O95*P95</f>
        <v>2.39855333669766E-006</v>
      </c>
      <c r="W95" s="17" t="n">
        <f aca="false">INDEX('HB Evidence'!$I$6:$I$25,MATCH(E95,'HB Evidence'!$A$6:$A$25,0))</f>
        <v>0.0003</v>
      </c>
      <c r="X95" s="17" t="n">
        <f aca="false">I95*W95*N95*P95</f>
        <v>5.55514848E-010</v>
      </c>
    </row>
    <row r="96" customFormat="false" ht="15" hidden="false" customHeight="false" outlineLevel="0" collapsed="false">
      <c r="A96" s="5" t="s">
        <v>215</v>
      </c>
      <c r="B96" s="5" t="s">
        <v>51</v>
      </c>
      <c r="C96" s="5" t="s">
        <v>57</v>
      </c>
      <c r="D96" s="5" t="s">
        <v>60</v>
      </c>
      <c r="E96" s="5" t="s">
        <v>98</v>
      </c>
      <c r="F96" s="20" t="n">
        <f aca="false">INDEX(Inputs!$B$15:$B$19,MATCH(B96,Inputs!$A$15:$A$19,0))</f>
        <v>0.03</v>
      </c>
      <c r="G96" s="20" t="n">
        <f aca="false">INDEX(Inputs!$B$23:$B$26,MATCH(C96,Inputs!$A$23:$A$26,0))</f>
        <v>0.15</v>
      </c>
      <c r="H96" s="20" t="n">
        <f aca="false">INDEX(Inputs!$B$30:$B$34,MATCH(D96,Inputs!$A$30:$A$34,0))</f>
        <v>0.45</v>
      </c>
      <c r="I96" s="21" t="n">
        <f aca="false">F96*G96*H96</f>
        <v>0.002025</v>
      </c>
      <c r="J96" s="22" t="n">
        <f aca="false">INDEX('HB Evidence'!$F$6:$F$25,MATCH(E96,'HB Evidence'!$A$6:$A$25,0))</f>
        <v>0</v>
      </c>
      <c r="K96" s="22" t="n">
        <f aca="false">INDEX('HB Evidence'!$H$6:$H$25,MATCH(E96,'HB Evidence'!$A$6:$A$25,0))</f>
        <v>0.00518881601089077</v>
      </c>
      <c r="L96" s="15" t="n">
        <v>2000</v>
      </c>
      <c r="M96" s="15" t="n">
        <v>0</v>
      </c>
      <c r="N96" s="23" t="n">
        <f aca="false">M96/L96</f>
        <v>0</v>
      </c>
      <c r="O96" s="23" t="n">
        <f aca="false">IF(M96=L96,1,BETAINV(Inputs!$B$10,M96+1,L96-M96))</f>
        <v>0.00388404949945426</v>
      </c>
      <c r="P96" s="24" t="n">
        <v>0</v>
      </c>
      <c r="Q96" s="25" t="n">
        <v>0</v>
      </c>
      <c r="R96" s="13" t="n">
        <f aca="false">I96*J96*N96*P96</f>
        <v>0</v>
      </c>
      <c r="S96" s="13" t="n">
        <f aca="false">I96*K96*O96*P96</f>
        <v>0</v>
      </c>
      <c r="T96" s="14" t="n">
        <f aca="false">IF(Summary!$B$6&gt;0,R96/Summary!$B$6,0)</f>
        <v>0</v>
      </c>
      <c r="U96" s="13" t="n">
        <f aca="false">I96*K96</f>
        <v>1.05073524220538E-005</v>
      </c>
      <c r="V96" s="13" t="n">
        <f aca="false">I96*O96*P96</f>
        <v>0</v>
      </c>
      <c r="W96" s="17" t="n">
        <f aca="false">INDEX('HB Evidence'!$I$6:$I$25,MATCH(E96,'HB Evidence'!$A$6:$A$25,0))</f>
        <v>0.00036</v>
      </c>
      <c r="X96" s="17" t="n">
        <f aca="false">I96*W96*N96*P96</f>
        <v>0</v>
      </c>
    </row>
    <row r="97" customFormat="false" ht="15" hidden="false" customHeight="false" outlineLevel="0" collapsed="false">
      <c r="A97" s="5" t="s">
        <v>216</v>
      </c>
      <c r="B97" s="5" t="s">
        <v>51</v>
      </c>
      <c r="C97" s="5" t="s">
        <v>57</v>
      </c>
      <c r="D97" s="5" t="s">
        <v>62</v>
      </c>
      <c r="E97" s="5" t="s">
        <v>98</v>
      </c>
      <c r="F97" s="20" t="n">
        <f aca="false">INDEX(Inputs!$B$15:$B$19,MATCH(B97,Inputs!$A$15:$A$19,0))</f>
        <v>0.03</v>
      </c>
      <c r="G97" s="20" t="n">
        <f aca="false">INDEX(Inputs!$B$23:$B$26,MATCH(C97,Inputs!$A$23:$A$26,0))</f>
        <v>0.15</v>
      </c>
      <c r="H97" s="20" t="n">
        <f aca="false">INDEX(Inputs!$B$30:$B$34,MATCH(D97,Inputs!$A$30:$A$34,0))</f>
        <v>0.2</v>
      </c>
      <c r="I97" s="21" t="n">
        <f aca="false">F97*G97*H97</f>
        <v>0.0009</v>
      </c>
      <c r="J97" s="22" t="n">
        <f aca="false">INDEX('HB Evidence'!$F$6:$F$25,MATCH(E97,'HB Evidence'!$A$6:$A$25,0))</f>
        <v>0</v>
      </c>
      <c r="K97" s="22" t="n">
        <f aca="false">INDEX('HB Evidence'!$H$6:$H$25,MATCH(E97,'HB Evidence'!$A$6:$A$25,0))</f>
        <v>0.00518881601089077</v>
      </c>
      <c r="L97" s="15" t="n">
        <v>2000</v>
      </c>
      <c r="M97" s="15" t="n">
        <v>0</v>
      </c>
      <c r="N97" s="23" t="n">
        <f aca="false">M97/L97</f>
        <v>0</v>
      </c>
      <c r="O97" s="23" t="n">
        <f aca="false">IF(M97=L97,1,BETAINV(Inputs!$B$10,M97+1,L97-M97))</f>
        <v>0.00388404949945426</v>
      </c>
      <c r="P97" s="24" t="n">
        <v>0</v>
      </c>
      <c r="Q97" s="25" t="n">
        <v>0</v>
      </c>
      <c r="R97" s="13" t="n">
        <f aca="false">I97*J97*N97*P97</f>
        <v>0</v>
      </c>
      <c r="S97" s="13" t="n">
        <f aca="false">I97*K97*O97*P97</f>
        <v>0</v>
      </c>
      <c r="T97" s="14" t="n">
        <f aca="false">IF(Summary!$B$6&gt;0,R97/Summary!$B$6,0)</f>
        <v>0</v>
      </c>
      <c r="U97" s="13" t="n">
        <f aca="false">I97*K97</f>
        <v>4.66993440980169E-006</v>
      </c>
      <c r="V97" s="13" t="n">
        <f aca="false">I97*O97*P97</f>
        <v>0</v>
      </c>
      <c r="W97" s="17" t="n">
        <f aca="false">INDEX('HB Evidence'!$I$6:$I$25,MATCH(E97,'HB Evidence'!$A$6:$A$25,0))</f>
        <v>0.00036</v>
      </c>
      <c r="X97" s="17" t="n">
        <f aca="false">I97*W97*N97*P97</f>
        <v>0</v>
      </c>
    </row>
    <row r="98" customFormat="false" ht="15" hidden="false" customHeight="false" outlineLevel="0" collapsed="false">
      <c r="A98" s="5" t="s">
        <v>217</v>
      </c>
      <c r="B98" s="5" t="s">
        <v>51</v>
      </c>
      <c r="C98" s="5" t="s">
        <v>57</v>
      </c>
      <c r="D98" s="5" t="s">
        <v>63</v>
      </c>
      <c r="E98" s="5" t="s">
        <v>98</v>
      </c>
      <c r="F98" s="20" t="n">
        <f aca="false">INDEX(Inputs!$B$15:$B$19,MATCH(B98,Inputs!$A$15:$A$19,0))</f>
        <v>0.03</v>
      </c>
      <c r="G98" s="20" t="n">
        <f aca="false">INDEX(Inputs!$B$23:$B$26,MATCH(C98,Inputs!$A$23:$A$26,0))</f>
        <v>0.15</v>
      </c>
      <c r="H98" s="20" t="n">
        <f aca="false">INDEX(Inputs!$B$30:$B$34,MATCH(D98,Inputs!$A$30:$A$34,0))</f>
        <v>0.15</v>
      </c>
      <c r="I98" s="21" t="n">
        <f aca="false">F98*G98*H98</f>
        <v>0.000675</v>
      </c>
      <c r="J98" s="22" t="n">
        <f aca="false">INDEX('HB Evidence'!$F$6:$F$25,MATCH(E98,'HB Evidence'!$A$6:$A$25,0))</f>
        <v>0</v>
      </c>
      <c r="K98" s="22" t="n">
        <f aca="false">INDEX('HB Evidence'!$H$6:$H$25,MATCH(E98,'HB Evidence'!$A$6:$A$25,0))</f>
        <v>0.00518881601089077</v>
      </c>
      <c r="L98" s="15" t="n">
        <v>2000</v>
      </c>
      <c r="M98" s="15" t="n">
        <v>0</v>
      </c>
      <c r="N98" s="23" t="n">
        <f aca="false">M98/L98</f>
        <v>0</v>
      </c>
      <c r="O98" s="23" t="n">
        <f aca="false">IF(M98=L98,1,BETAINV(Inputs!$B$10,M98+1,L98-M98))</f>
        <v>0.00388404949945426</v>
      </c>
      <c r="P98" s="24" t="n">
        <v>0</v>
      </c>
      <c r="Q98" s="25" t="n">
        <v>0</v>
      </c>
      <c r="R98" s="13" t="n">
        <f aca="false">I98*J98*N98*P98</f>
        <v>0</v>
      </c>
      <c r="S98" s="13" t="n">
        <f aca="false">I98*K98*O98*P98</f>
        <v>0</v>
      </c>
      <c r="T98" s="14" t="n">
        <f aca="false">IF(Summary!$B$6&gt;0,R98/Summary!$B$6,0)</f>
        <v>0</v>
      </c>
      <c r="U98" s="13" t="n">
        <f aca="false">I98*K98</f>
        <v>3.50245080735127E-006</v>
      </c>
      <c r="V98" s="13" t="n">
        <f aca="false">I98*O98*P98</f>
        <v>0</v>
      </c>
      <c r="W98" s="17" t="n">
        <f aca="false">INDEX('HB Evidence'!$I$6:$I$25,MATCH(E98,'HB Evidence'!$A$6:$A$25,0))</f>
        <v>0.00036</v>
      </c>
      <c r="X98" s="17" t="n">
        <f aca="false">I98*W98*N98*P98</f>
        <v>0</v>
      </c>
    </row>
    <row r="99" customFormat="false" ht="15" hidden="false" customHeight="false" outlineLevel="0" collapsed="false">
      <c r="A99" s="5" t="s">
        <v>218</v>
      </c>
      <c r="B99" s="5" t="s">
        <v>51</v>
      </c>
      <c r="C99" s="5" t="s">
        <v>57</v>
      </c>
      <c r="D99" s="5" t="s">
        <v>64</v>
      </c>
      <c r="E99" s="5" t="s">
        <v>98</v>
      </c>
      <c r="F99" s="20" t="n">
        <f aca="false">INDEX(Inputs!$B$15:$B$19,MATCH(B99,Inputs!$A$15:$A$19,0))</f>
        <v>0.03</v>
      </c>
      <c r="G99" s="20" t="n">
        <f aca="false">INDEX(Inputs!$B$23:$B$26,MATCH(C99,Inputs!$A$23:$A$26,0))</f>
        <v>0.15</v>
      </c>
      <c r="H99" s="20" t="n">
        <f aca="false">INDEX(Inputs!$B$30:$B$34,MATCH(D99,Inputs!$A$30:$A$34,0))</f>
        <v>0.13</v>
      </c>
      <c r="I99" s="21" t="n">
        <f aca="false">F99*G99*H99</f>
        <v>0.000585</v>
      </c>
      <c r="J99" s="22" t="n">
        <f aca="false">INDEX('HB Evidence'!$F$6:$F$25,MATCH(E99,'HB Evidence'!$A$6:$A$25,0))</f>
        <v>0</v>
      </c>
      <c r="K99" s="22" t="n">
        <f aca="false">INDEX('HB Evidence'!$H$6:$H$25,MATCH(E99,'HB Evidence'!$A$6:$A$25,0))</f>
        <v>0.00518881601089077</v>
      </c>
      <c r="L99" s="15" t="n">
        <v>2000</v>
      </c>
      <c r="M99" s="15" t="n">
        <v>4</v>
      </c>
      <c r="N99" s="23" t="n">
        <f aca="false">M99/L99</f>
        <v>0.002</v>
      </c>
      <c r="O99" s="23" t="n">
        <f aca="false">IF(M99=L99,1,BETAINV(Inputs!$B$10,M99+1,L99-M99))</f>
        <v>0.00795032032562295</v>
      </c>
      <c r="P99" s="24" t="n">
        <v>0.01879</v>
      </c>
      <c r="Q99" s="25" t="n">
        <v>12.25</v>
      </c>
      <c r="R99" s="13" t="n">
        <f aca="false">I99*J99*N99*P99</f>
        <v>0</v>
      </c>
      <c r="S99" s="13" t="n">
        <f aca="false">I99*K99*O99*P99</f>
        <v>4.5345640928756E-010</v>
      </c>
      <c r="T99" s="14" t="n">
        <f aca="false">IF(Summary!$B$6&gt;0,R99/Summary!$B$6,0)</f>
        <v>0</v>
      </c>
      <c r="U99" s="13" t="n">
        <f aca="false">I99*K99</f>
        <v>3.0354573663711E-006</v>
      </c>
      <c r="V99" s="13" t="n">
        <f aca="false">I99*O99*P99</f>
        <v>8.73911135672963E-008</v>
      </c>
      <c r="W99" s="17" t="n">
        <f aca="false">INDEX('HB Evidence'!$I$6:$I$25,MATCH(E99,'HB Evidence'!$A$6:$A$25,0))</f>
        <v>0.00036</v>
      </c>
      <c r="X99" s="17" t="n">
        <f aca="false">I99*W99*N99*P99</f>
        <v>7.914348E-012</v>
      </c>
    </row>
    <row r="100" customFormat="false" ht="15" hidden="false" customHeight="false" outlineLevel="0" collapsed="false">
      <c r="A100" s="5" t="s">
        <v>219</v>
      </c>
      <c r="B100" s="5" t="s">
        <v>51</v>
      </c>
      <c r="C100" s="5" t="s">
        <v>57</v>
      </c>
      <c r="D100" s="5" t="s">
        <v>65</v>
      </c>
      <c r="E100" s="5" t="s">
        <v>98</v>
      </c>
      <c r="F100" s="20" t="n">
        <f aca="false">INDEX(Inputs!$B$15:$B$19,MATCH(B100,Inputs!$A$15:$A$19,0))</f>
        <v>0.03</v>
      </c>
      <c r="G100" s="20" t="n">
        <f aca="false">INDEX(Inputs!$B$23:$B$26,MATCH(C100,Inputs!$A$23:$A$26,0))</f>
        <v>0.15</v>
      </c>
      <c r="H100" s="20" t="n">
        <f aca="false">INDEX(Inputs!$B$30:$B$34,MATCH(D100,Inputs!$A$30:$A$34,0))</f>
        <v>0.07</v>
      </c>
      <c r="I100" s="21" t="n">
        <f aca="false">F100*G100*H100</f>
        <v>0.000315</v>
      </c>
      <c r="J100" s="22" t="n">
        <f aca="false">INDEX('HB Evidence'!$F$6:$F$25,MATCH(E100,'HB Evidence'!$A$6:$A$25,0))</f>
        <v>0</v>
      </c>
      <c r="K100" s="22" t="n">
        <f aca="false">INDEX('HB Evidence'!$H$6:$H$25,MATCH(E100,'HB Evidence'!$A$6:$A$25,0))</f>
        <v>0.00518881601089077</v>
      </c>
      <c r="L100" s="15" t="n">
        <v>2000</v>
      </c>
      <c r="M100" s="15" t="n">
        <v>51</v>
      </c>
      <c r="N100" s="23" t="n">
        <f aca="false">M100/L100</f>
        <v>0.0255</v>
      </c>
      <c r="O100" s="23" t="n">
        <f aca="false">IF(M100=L100,1,BETAINV(Inputs!$B$10,M100+1,L100-M100))</f>
        <v>0.0394801080150416</v>
      </c>
      <c r="P100" s="24" t="n">
        <v>0.049838</v>
      </c>
      <c r="Q100" s="25" t="n">
        <v>18.98</v>
      </c>
      <c r="R100" s="13" t="n">
        <f aca="false">I100*J100*N100*P100</f>
        <v>0</v>
      </c>
      <c r="S100" s="13" t="n">
        <f aca="false">I100*K100*O100*P100</f>
        <v>3.21601275964119E-009</v>
      </c>
      <c r="T100" s="14" t="n">
        <f aca="false">IF(Summary!$B$6&gt;0,R100/Summary!$B$6,0)</f>
        <v>0</v>
      </c>
      <c r="U100" s="13" t="n">
        <f aca="false">I100*K100</f>
        <v>1.63447704343059E-006</v>
      </c>
      <c r="V100" s="13" t="n">
        <f aca="false">I100*O100*P100</f>
        <v>6.19797031324897E-007</v>
      </c>
      <c r="W100" s="17" t="n">
        <f aca="false">INDEX('HB Evidence'!$I$6:$I$25,MATCH(E100,'HB Evidence'!$A$6:$A$25,0))</f>
        <v>0.00036</v>
      </c>
      <c r="X100" s="17" t="n">
        <f aca="false">I100*W100*N100*P100</f>
        <v>1.441165446E-010</v>
      </c>
    </row>
    <row r="101" customFormat="false" ht="15" hidden="false" customHeight="false" outlineLevel="0" collapsed="false">
      <c r="A101" s="5" t="s">
        <v>220</v>
      </c>
      <c r="B101" s="5" t="s">
        <v>51</v>
      </c>
      <c r="C101" s="5" t="s">
        <v>58</v>
      </c>
      <c r="D101" s="5" t="s">
        <v>60</v>
      </c>
      <c r="E101" s="5" t="s">
        <v>99</v>
      </c>
      <c r="F101" s="20" t="n">
        <f aca="false">INDEX(Inputs!$B$15:$B$19,MATCH(B101,Inputs!$A$15:$A$19,0))</f>
        <v>0.03</v>
      </c>
      <c r="G101" s="20" t="n">
        <f aca="false">INDEX(Inputs!$B$23:$B$26,MATCH(C101,Inputs!$A$23:$A$26,0))</f>
        <v>0.1</v>
      </c>
      <c r="H101" s="20" t="n">
        <f aca="false">INDEX(Inputs!$B$30:$B$34,MATCH(D101,Inputs!$A$30:$A$34,0))</f>
        <v>0.45</v>
      </c>
      <c r="I101" s="21" t="n">
        <f aca="false">F101*G101*H101</f>
        <v>0.00135</v>
      </c>
      <c r="J101" s="22" t="n">
        <f aca="false">INDEX('HB Evidence'!$F$6:$F$25,MATCH(E101,'HB Evidence'!$A$6:$A$25,0))</f>
        <v>0.002</v>
      </c>
      <c r="K101" s="22" t="n">
        <f aca="false">INDEX('HB Evidence'!$H$6:$H$25,MATCH(E101,'HB Evidence'!$A$6:$A$25,0))</f>
        <v>0.0122661784992512</v>
      </c>
      <c r="L101" s="15" t="n">
        <v>2000</v>
      </c>
      <c r="M101" s="15" t="n">
        <v>0</v>
      </c>
      <c r="N101" s="23" t="n">
        <f aca="false">M101/L101</f>
        <v>0</v>
      </c>
      <c r="O101" s="23" t="n">
        <f aca="false">IF(M101=L101,1,BETAINV(Inputs!$B$10,M101+1,L101-M101))</f>
        <v>0.00388404949945426</v>
      </c>
      <c r="P101" s="24" t="n">
        <v>0</v>
      </c>
      <c r="Q101" s="25" t="n">
        <v>0</v>
      </c>
      <c r="R101" s="13" t="n">
        <f aca="false">I101*J101*N101*P101</f>
        <v>0</v>
      </c>
      <c r="S101" s="13" t="n">
        <f aca="false">I101*K101*O101*P101</f>
        <v>0</v>
      </c>
      <c r="T101" s="14" t="n">
        <f aca="false">IF(Summary!$B$6&gt;0,R101/Summary!$B$6,0)</f>
        <v>0</v>
      </c>
      <c r="U101" s="13" t="n">
        <f aca="false">I101*K101</f>
        <v>1.65593409739891E-005</v>
      </c>
      <c r="V101" s="13" t="n">
        <f aca="false">I101*O101*P101</f>
        <v>0</v>
      </c>
      <c r="W101" s="17" t="n">
        <f aca="false">INDEX('HB Evidence'!$I$6:$I$25,MATCH(E101,'HB Evidence'!$A$6:$A$25,0))</f>
        <v>0.00045</v>
      </c>
      <c r="X101" s="17" t="n">
        <f aca="false">I101*W101*N101*P101</f>
        <v>0</v>
      </c>
    </row>
    <row r="102" customFormat="false" ht="15" hidden="false" customHeight="false" outlineLevel="0" collapsed="false">
      <c r="A102" s="5" t="s">
        <v>221</v>
      </c>
      <c r="B102" s="5" t="s">
        <v>51</v>
      </c>
      <c r="C102" s="5" t="s">
        <v>58</v>
      </c>
      <c r="D102" s="5" t="s">
        <v>62</v>
      </c>
      <c r="E102" s="5" t="s">
        <v>99</v>
      </c>
      <c r="F102" s="20" t="n">
        <f aca="false">INDEX(Inputs!$B$15:$B$19,MATCH(B102,Inputs!$A$15:$A$19,0))</f>
        <v>0.03</v>
      </c>
      <c r="G102" s="20" t="n">
        <f aca="false">INDEX(Inputs!$B$23:$B$26,MATCH(C102,Inputs!$A$23:$A$26,0))</f>
        <v>0.1</v>
      </c>
      <c r="H102" s="20" t="n">
        <f aca="false">INDEX(Inputs!$B$30:$B$34,MATCH(D102,Inputs!$A$30:$A$34,0))</f>
        <v>0.2</v>
      </c>
      <c r="I102" s="21" t="n">
        <f aca="false">F102*G102*H102</f>
        <v>0.0006</v>
      </c>
      <c r="J102" s="22" t="n">
        <f aca="false">INDEX('HB Evidence'!$F$6:$F$25,MATCH(E102,'HB Evidence'!$A$6:$A$25,0))</f>
        <v>0.002</v>
      </c>
      <c r="K102" s="22" t="n">
        <f aca="false">INDEX('HB Evidence'!$H$6:$H$25,MATCH(E102,'HB Evidence'!$A$6:$A$25,0))</f>
        <v>0.0122661784992512</v>
      </c>
      <c r="L102" s="15" t="n">
        <v>2000</v>
      </c>
      <c r="M102" s="15" t="n">
        <v>0</v>
      </c>
      <c r="N102" s="23" t="n">
        <f aca="false">M102/L102</f>
        <v>0</v>
      </c>
      <c r="O102" s="23" t="n">
        <f aca="false">IF(M102=L102,1,BETAINV(Inputs!$B$10,M102+1,L102-M102))</f>
        <v>0.00388404949945426</v>
      </c>
      <c r="P102" s="24" t="n">
        <v>0</v>
      </c>
      <c r="Q102" s="25" t="n">
        <v>0</v>
      </c>
      <c r="R102" s="13" t="n">
        <f aca="false">I102*J102*N102*P102</f>
        <v>0</v>
      </c>
      <c r="S102" s="13" t="n">
        <f aca="false">I102*K102*O102*P102</f>
        <v>0</v>
      </c>
      <c r="T102" s="14" t="n">
        <f aca="false">IF(Summary!$B$6&gt;0,R102/Summary!$B$6,0)</f>
        <v>0</v>
      </c>
      <c r="U102" s="13" t="n">
        <f aca="false">I102*K102</f>
        <v>7.35970709955072E-006</v>
      </c>
      <c r="V102" s="13" t="n">
        <f aca="false">I102*O102*P102</f>
        <v>0</v>
      </c>
      <c r="W102" s="17" t="n">
        <f aca="false">INDEX('HB Evidence'!$I$6:$I$25,MATCH(E102,'HB Evidence'!$A$6:$A$25,0))</f>
        <v>0.00045</v>
      </c>
      <c r="X102" s="17" t="n">
        <f aca="false">I102*W102*N102*P102</f>
        <v>0</v>
      </c>
    </row>
    <row r="103" customFormat="false" ht="15" hidden="false" customHeight="false" outlineLevel="0" collapsed="false">
      <c r="A103" s="5" t="s">
        <v>222</v>
      </c>
      <c r="B103" s="5" t="s">
        <v>51</v>
      </c>
      <c r="C103" s="5" t="s">
        <v>58</v>
      </c>
      <c r="D103" s="5" t="s">
        <v>63</v>
      </c>
      <c r="E103" s="5" t="s">
        <v>99</v>
      </c>
      <c r="F103" s="20" t="n">
        <f aca="false">INDEX(Inputs!$B$15:$B$19,MATCH(B103,Inputs!$A$15:$A$19,0))</f>
        <v>0.03</v>
      </c>
      <c r="G103" s="20" t="n">
        <f aca="false">INDEX(Inputs!$B$23:$B$26,MATCH(C103,Inputs!$A$23:$A$26,0))</f>
        <v>0.1</v>
      </c>
      <c r="H103" s="20" t="n">
        <f aca="false">INDEX(Inputs!$B$30:$B$34,MATCH(D103,Inputs!$A$30:$A$34,0))</f>
        <v>0.15</v>
      </c>
      <c r="I103" s="21" t="n">
        <f aca="false">F103*G103*H103</f>
        <v>0.00045</v>
      </c>
      <c r="J103" s="22" t="n">
        <f aca="false">INDEX('HB Evidence'!$F$6:$F$25,MATCH(E103,'HB Evidence'!$A$6:$A$25,0))</f>
        <v>0.002</v>
      </c>
      <c r="K103" s="22" t="n">
        <f aca="false">INDEX('HB Evidence'!$H$6:$H$25,MATCH(E103,'HB Evidence'!$A$6:$A$25,0))</f>
        <v>0.0122661784992512</v>
      </c>
      <c r="L103" s="15" t="n">
        <v>2000</v>
      </c>
      <c r="M103" s="15" t="n">
        <v>1</v>
      </c>
      <c r="N103" s="23" t="n">
        <f aca="false">M103/L103</f>
        <v>0.0005</v>
      </c>
      <c r="O103" s="23" t="n">
        <f aca="false">IF(M103=L103,1,BETAINV(Inputs!$B$10,M103+1,L103-M103))</f>
        <v>0.00508781553003008</v>
      </c>
      <c r="P103" s="24" t="n">
        <v>0.017273</v>
      </c>
      <c r="Q103" s="25" t="n">
        <v>16.71</v>
      </c>
      <c r="R103" s="13" t="n">
        <f aca="false">I103*J103*N103*P103</f>
        <v>7.77285E-012</v>
      </c>
      <c r="S103" s="13" t="n">
        <f aca="false">I103*K103*O103*P103</f>
        <v>4.85088438356858E-010</v>
      </c>
      <c r="T103" s="14" t="n">
        <f aca="false">IF(Summary!$B$6&gt;0,R103/Summary!$B$6,0)</f>
        <v>0.000471760221555641</v>
      </c>
      <c r="U103" s="13" t="n">
        <f aca="false">I103*K103</f>
        <v>5.51978032466304E-006</v>
      </c>
      <c r="V103" s="13" t="n">
        <f aca="false">I103*O103*P103</f>
        <v>3.95468269425943E-008</v>
      </c>
      <c r="W103" s="17" t="n">
        <f aca="false">INDEX('HB Evidence'!$I$6:$I$25,MATCH(E103,'HB Evidence'!$A$6:$A$25,0))</f>
        <v>0.00045</v>
      </c>
      <c r="X103" s="17" t="n">
        <f aca="false">I103*W103*N103*P103</f>
        <v>1.74889125E-012</v>
      </c>
    </row>
    <row r="104" customFormat="false" ht="15" hidden="false" customHeight="false" outlineLevel="0" collapsed="false">
      <c r="A104" s="5" t="s">
        <v>223</v>
      </c>
      <c r="B104" s="5" t="s">
        <v>51</v>
      </c>
      <c r="C104" s="5" t="s">
        <v>58</v>
      </c>
      <c r="D104" s="5" t="s">
        <v>64</v>
      </c>
      <c r="E104" s="5" t="s">
        <v>99</v>
      </c>
      <c r="F104" s="20" t="n">
        <f aca="false">INDEX(Inputs!$B$15:$B$19,MATCH(B104,Inputs!$A$15:$A$19,0))</f>
        <v>0.03</v>
      </c>
      <c r="G104" s="20" t="n">
        <f aca="false">INDEX(Inputs!$B$23:$B$26,MATCH(C104,Inputs!$A$23:$A$26,0))</f>
        <v>0.1</v>
      </c>
      <c r="H104" s="20" t="n">
        <f aca="false">INDEX(Inputs!$B$30:$B$34,MATCH(D104,Inputs!$A$30:$A$34,0))</f>
        <v>0.13</v>
      </c>
      <c r="I104" s="21" t="n">
        <f aca="false">F104*G104*H104</f>
        <v>0.00039</v>
      </c>
      <c r="J104" s="22" t="n">
        <f aca="false">INDEX('HB Evidence'!$F$6:$F$25,MATCH(E104,'HB Evidence'!$A$6:$A$25,0))</f>
        <v>0.002</v>
      </c>
      <c r="K104" s="22" t="n">
        <f aca="false">INDEX('HB Evidence'!$H$6:$H$25,MATCH(E104,'HB Evidence'!$A$6:$A$25,0))</f>
        <v>0.0122661784992512</v>
      </c>
      <c r="L104" s="15" t="n">
        <v>2000</v>
      </c>
      <c r="M104" s="15" t="n">
        <v>0</v>
      </c>
      <c r="N104" s="23" t="n">
        <f aca="false">M104/L104</f>
        <v>0</v>
      </c>
      <c r="O104" s="23" t="n">
        <f aca="false">IF(M104=L104,1,BETAINV(Inputs!$B$10,M104+1,L104-M104))</f>
        <v>0.00388404949945426</v>
      </c>
      <c r="P104" s="24" t="n">
        <v>0</v>
      </c>
      <c r="Q104" s="25" t="n">
        <v>0</v>
      </c>
      <c r="R104" s="13" t="n">
        <f aca="false">I104*J104*N104*P104</f>
        <v>0</v>
      </c>
      <c r="S104" s="13" t="n">
        <f aca="false">I104*K104*O104*P104</f>
        <v>0</v>
      </c>
      <c r="T104" s="14" t="n">
        <f aca="false">IF(Summary!$B$6&gt;0,R104/Summary!$B$6,0)</f>
        <v>0</v>
      </c>
      <c r="U104" s="13" t="n">
        <f aca="false">I104*K104</f>
        <v>4.78380961470797E-006</v>
      </c>
      <c r="V104" s="13" t="n">
        <f aca="false">I104*O104*P104</f>
        <v>0</v>
      </c>
      <c r="W104" s="17" t="n">
        <f aca="false">INDEX('HB Evidence'!$I$6:$I$25,MATCH(E104,'HB Evidence'!$A$6:$A$25,0))</f>
        <v>0.00045</v>
      </c>
      <c r="X104" s="17" t="n">
        <f aca="false">I104*W104*N104*P104</f>
        <v>0</v>
      </c>
    </row>
    <row r="105" customFormat="false" ht="15" hidden="false" customHeight="false" outlineLevel="0" collapsed="false">
      <c r="A105" s="5" t="s">
        <v>224</v>
      </c>
      <c r="B105" s="5" t="s">
        <v>51</v>
      </c>
      <c r="C105" s="5" t="s">
        <v>58</v>
      </c>
      <c r="D105" s="5" t="s">
        <v>65</v>
      </c>
      <c r="E105" s="5" t="s">
        <v>99</v>
      </c>
      <c r="F105" s="20" t="n">
        <f aca="false">INDEX(Inputs!$B$15:$B$19,MATCH(B105,Inputs!$A$15:$A$19,0))</f>
        <v>0.03</v>
      </c>
      <c r="G105" s="20" t="n">
        <f aca="false">INDEX(Inputs!$B$23:$B$26,MATCH(C105,Inputs!$A$23:$A$26,0))</f>
        <v>0.1</v>
      </c>
      <c r="H105" s="20" t="n">
        <f aca="false">INDEX(Inputs!$B$30:$B$34,MATCH(D105,Inputs!$A$30:$A$34,0))</f>
        <v>0.07</v>
      </c>
      <c r="I105" s="21" t="n">
        <f aca="false">F105*G105*H105</f>
        <v>0.00021</v>
      </c>
      <c r="J105" s="22" t="n">
        <f aca="false">INDEX('HB Evidence'!$F$6:$F$25,MATCH(E105,'HB Evidence'!$A$6:$A$25,0))</f>
        <v>0.002</v>
      </c>
      <c r="K105" s="22" t="n">
        <f aca="false">INDEX('HB Evidence'!$H$6:$H$25,MATCH(E105,'HB Evidence'!$A$6:$A$25,0))</f>
        <v>0.0122661784992512</v>
      </c>
      <c r="L105" s="15" t="n">
        <v>2000</v>
      </c>
      <c r="M105" s="15" t="n">
        <v>15</v>
      </c>
      <c r="N105" s="23" t="n">
        <f aca="false">M105/L105</f>
        <v>0.0075</v>
      </c>
      <c r="O105" s="23" t="n">
        <f aca="false">IF(M105=L105,1,BETAINV(Inputs!$B$10,M105+1,L105-M105))</f>
        <v>0.0163378309360092</v>
      </c>
      <c r="P105" s="24" t="n">
        <v>0.04382</v>
      </c>
      <c r="Q105" s="25" t="n">
        <v>16.58</v>
      </c>
      <c r="R105" s="13" t="n">
        <f aca="false">I105*J105*N105*P105</f>
        <v>1.38033E-010</v>
      </c>
      <c r="S105" s="13" t="n">
        <f aca="false">I105*K105*O105*P105</f>
        <v>1.84414619112665E-009</v>
      </c>
      <c r="T105" s="14" t="n">
        <f aca="false">IF(Summary!$B$6&gt;0,R105/Summary!$B$6,0)</f>
        <v>0.00837768368899307</v>
      </c>
      <c r="U105" s="13" t="n">
        <f aca="false">I105*K105</f>
        <v>2.57589748484275E-006</v>
      </c>
      <c r="V105" s="13" t="n">
        <f aca="false">I105*O105*P105</f>
        <v>1.50343987839344E-007</v>
      </c>
      <c r="W105" s="17" t="n">
        <f aca="false">INDEX('HB Evidence'!$I$6:$I$25,MATCH(E105,'HB Evidence'!$A$6:$A$25,0))</f>
        <v>0.00045</v>
      </c>
      <c r="X105" s="17" t="n">
        <f aca="false">I105*W105*N105*P105</f>
        <v>3.1057425E-011</v>
      </c>
    </row>
    <row r="107" customFormat="false" ht="15" hidden="false" customHeight="false" outlineLevel="0" collapsed="false">
      <c r="A107" s="19" t="s">
        <v>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226</v>
      </c>
    </row>
    <row r="2" customFormat="false" ht="15" hidden="false" customHeight="false" outlineLevel="0" collapsed="false">
      <c r="A2" s="2" t="s">
        <v>227</v>
      </c>
    </row>
    <row r="4" customFormat="false" ht="45" hidden="false" customHeight="true" outlineLevel="0" collapsed="false">
      <c r="A4" s="7" t="s">
        <v>228</v>
      </c>
      <c r="B4" s="7" t="s">
        <v>29</v>
      </c>
      <c r="C4" s="7" t="s">
        <v>229</v>
      </c>
      <c r="D4" s="7" t="s">
        <v>230</v>
      </c>
    </row>
    <row r="5" customFormat="false" ht="15" hidden="false" customHeight="false" outlineLevel="0" collapsed="false">
      <c r="A5" s="5" t="s">
        <v>231</v>
      </c>
      <c r="B5" s="20" t="n">
        <f aca="false">SUM(Scenarios!I6:I105)</f>
        <v>1</v>
      </c>
      <c r="C5" s="5" t="s">
        <v>232</v>
      </c>
      <c r="D5" s="5" t="s">
        <v>233</v>
      </c>
    </row>
    <row r="6" customFormat="false" ht="15" hidden="false" customHeight="false" outlineLevel="0" collapsed="false">
      <c r="A6" s="5" t="s">
        <v>234</v>
      </c>
      <c r="B6" s="22" t="n">
        <f aca="false">SUM(Scenarios!R6:R105)</f>
        <v>1.64762725741667E-008</v>
      </c>
      <c r="C6" s="5" t="s">
        <v>235</v>
      </c>
      <c r="D6" s="5" t="s">
        <v>236</v>
      </c>
    </row>
    <row r="7" customFormat="false" ht="15" hidden="false" customHeight="false" outlineLevel="0" collapsed="false">
      <c r="A7" s="5" t="s">
        <v>237</v>
      </c>
      <c r="B7" s="22" t="n">
        <f aca="false">SUM(Scenarios!S6:S105)</f>
        <v>4.94030672924164E-007</v>
      </c>
      <c r="C7" s="5" t="s">
        <v>235</v>
      </c>
      <c r="D7" s="5" t="s">
        <v>238</v>
      </c>
    </row>
    <row r="8" customFormat="false" ht="15" hidden="false" customHeight="false" outlineLevel="0" collapsed="false">
      <c r="A8" s="5" t="s">
        <v>239</v>
      </c>
      <c r="B8" s="26" t="n">
        <v>5.74747905086555E-008</v>
      </c>
      <c r="C8" s="5" t="s">
        <v>235</v>
      </c>
      <c r="D8" s="5" t="s">
        <v>240</v>
      </c>
    </row>
    <row r="9" customFormat="false" ht="15" hidden="false" customHeight="false" outlineLevel="0" collapsed="false">
      <c r="A9" s="5" t="s">
        <v>241</v>
      </c>
      <c r="B9" s="26" t="n">
        <v>3.58045565133933E-008</v>
      </c>
      <c r="C9" s="5" t="s">
        <v>235</v>
      </c>
      <c r="D9" s="5" t="s">
        <v>242</v>
      </c>
    </row>
    <row r="10" customFormat="false" ht="15" hidden="false" customHeight="false" outlineLevel="0" collapsed="false">
      <c r="A10" s="5" t="s">
        <v>243</v>
      </c>
      <c r="B10" s="22" t="n">
        <f aca="false">Inputs!B5</f>
        <v>1E-007</v>
      </c>
      <c r="C10" s="5" t="s">
        <v>235</v>
      </c>
      <c r="D10" s="5"/>
    </row>
    <row r="11" customFormat="false" ht="15" hidden="false" customHeight="false" outlineLevel="0" collapsed="false">
      <c r="A11" s="5" t="s">
        <v>244</v>
      </c>
      <c r="B11" s="22" t="n">
        <f aca="false">Inputs!B11</f>
        <v>9E-008</v>
      </c>
      <c r="C11" s="5" t="s">
        <v>235</v>
      </c>
      <c r="D11" s="5" t="s">
        <v>245</v>
      </c>
    </row>
    <row r="13" customFormat="false" ht="15" hidden="false" customHeight="false" outlineLevel="0" collapsed="false">
      <c r="A13" s="3" t="s">
        <v>246</v>
      </c>
    </row>
    <row r="14" customFormat="false" ht="15" hidden="false" customHeight="false" outlineLevel="0" collapsed="false">
      <c r="A14" s="5" t="s">
        <v>23</v>
      </c>
      <c r="B14" s="27" t="n">
        <f aca="false">B6/B11</f>
        <v>0.183069695268519</v>
      </c>
      <c r="D14" s="5" t="str">
        <f aca="false">IF(B6&lt;=B11,"meets budget (point only — not a valid claim)","exceeds budget")</f>
        <v>meets budget (point only — not a valid claim)</v>
      </c>
    </row>
    <row r="15" customFormat="false" ht="15" hidden="false" customHeight="false" outlineLevel="0" collapsed="false">
      <c r="A15" s="5" t="s">
        <v>24</v>
      </c>
      <c r="B15" s="27" t="n">
        <f aca="false">B7/B11</f>
        <v>5.48922969915738</v>
      </c>
      <c r="D15" s="5" t="str">
        <f aca="false">IF(B7&lt;=B11,"PASS at confidence C","FAIL — evidence insufficient, see Validation Targets")</f>
        <v>FAIL — evidence insufficient, see Validation Targets</v>
      </c>
    </row>
    <row r="16" customFormat="false" ht="15" hidden="false" customHeight="false" outlineLevel="0" collapsed="false">
      <c r="A16" s="5" t="s">
        <v>25</v>
      </c>
      <c r="B16" s="27" t="n">
        <f aca="false">B8/B11</f>
        <v>0.638608783429506</v>
      </c>
      <c r="D16" s="5" t="str">
        <f aca="false">IF(B8&lt;=B11,"PASS at 95% posterior (prior must be justified to the assessor)","FAIL")</f>
        <v>PASS at 95% posterior (prior must be justified to the assessor)</v>
      </c>
    </row>
    <row r="18" customFormat="false" ht="15" hidden="false" customHeight="false" outlineLevel="0" collapsed="false">
      <c r="A18" s="3" t="s">
        <v>247</v>
      </c>
    </row>
    <row r="19" customFormat="false" ht="15" hidden="false" customHeight="false" outlineLevel="0" collapsed="false">
      <c r="A19" s="5" t="s">
        <v>248</v>
      </c>
      <c r="B19" s="13" t="n">
        <f aca="false">B6/SUMPRODUCT(Scenarios!I6:I105,Scenarios!J6:J105)</f>
        <v>0.0002701028290847</v>
      </c>
      <c r="D19" s="5" t="s">
        <v>249</v>
      </c>
    </row>
    <row r="20" customFormat="false" ht="15" hidden="false" customHeight="false" outlineLevel="0" collapsed="false">
      <c r="A20" s="5" t="s">
        <v>250</v>
      </c>
      <c r="B20" s="13" t="n">
        <f aca="false">B11/B19</f>
        <v>0.000333206432176161</v>
      </c>
      <c r="C20" s="5" t="s">
        <v>235</v>
      </c>
    </row>
    <row r="21" customFormat="false" ht="15" hidden="false" customHeight="false" outlineLevel="0" collapsed="false">
      <c r="A21" s="5" t="s">
        <v>251</v>
      </c>
      <c r="B21" s="18" t="n">
        <f aca="false">-LN(1-Inputs!B6)/B20</f>
        <v>8990.61958074746</v>
      </c>
      <c r="C21" s="5" t="s">
        <v>252</v>
      </c>
      <c r="D21" s="5" t="s">
        <v>253</v>
      </c>
    </row>
    <row r="22" customFormat="false" ht="15" hidden="false" customHeight="false" outlineLevel="0" collapsed="false">
      <c r="A22" s="5" t="s">
        <v>254</v>
      </c>
      <c r="B22" s="18" t="n">
        <f aca="false">-LN(1-Inputs!B6)/(Inputs!B7*Inputs!B5/B19)</f>
        <v>80915.5762267272</v>
      </c>
      <c r="C22" s="5" t="s">
        <v>252</v>
      </c>
      <c r="D22" s="5" t="s">
        <v>255</v>
      </c>
    </row>
    <row r="23" customFormat="false" ht="15" hidden="false" customHeight="false" outlineLevel="0" collapsed="false">
      <c r="A23" s="5" t="s">
        <v>256</v>
      </c>
      <c r="B23" s="28" t="n">
        <f aca="false">'HB Evidence'!D27</f>
        <v>73500</v>
      </c>
      <c r="C23" s="5" t="s">
        <v>252</v>
      </c>
    </row>
    <row r="25" customFormat="false" ht="15" hidden="false" customHeight="false" outlineLevel="0" collapsed="false">
      <c r="A25" s="3" t="s">
        <v>257</v>
      </c>
      <c r="B25" s="3" t="s">
        <v>258</v>
      </c>
      <c r="C25" s="3" t="s">
        <v>259</v>
      </c>
      <c r="D25" s="3" t="s">
        <v>260</v>
      </c>
    </row>
    <row r="26" customFormat="false" ht="15" hidden="false" customHeight="false" outlineLevel="0" collapsed="false">
      <c r="A26" s="5" t="s">
        <v>46</v>
      </c>
      <c r="B26" s="13" t="n">
        <f aca="false">SUMIF(Scenarios!$B$6:$B$105,A26,Scenarios!$R$6:$R$105)</f>
        <v>0</v>
      </c>
      <c r="C26" s="14" t="n">
        <f aca="false">B26/$B$6</f>
        <v>0</v>
      </c>
      <c r="D26" s="29" t="n">
        <f aca="false">SUMIF(Scenarios!$B$6:$B$105,A26,Scenarios!$X$6:$X$105)/SUM(Scenarios!$X$6:$X$105)</f>
        <v>0.188436083344971</v>
      </c>
    </row>
    <row r="27" customFormat="false" ht="15" hidden="false" customHeight="false" outlineLevel="0" collapsed="false">
      <c r="A27" s="5" t="s">
        <v>48</v>
      </c>
      <c r="B27" s="13" t="n">
        <f aca="false">SUMIF(Scenarios!$B$6:$B$105,A27,Scenarios!$R$6:$R$105)</f>
        <v>4.500931215E-009</v>
      </c>
      <c r="C27" s="14" t="n">
        <f aca="false">B27/$B$6</f>
        <v>0.27317654492176</v>
      </c>
      <c r="D27" s="29" t="n">
        <f aca="false">SUMIF(Scenarios!$B$6:$B$105,A27,Scenarios!$X$6:$X$105)/SUM(Scenarios!$X$6:$X$105)</f>
        <v>0.230487189870312</v>
      </c>
    </row>
    <row r="28" customFormat="false" ht="15" hidden="false" customHeight="false" outlineLevel="0" collapsed="false">
      <c r="A28" s="5" t="s">
        <v>49</v>
      </c>
      <c r="B28" s="13" t="n">
        <f aca="false">SUMIF(Scenarios!$B$6:$B$105,A28,Scenarios!$R$6:$R$105)</f>
        <v>3.15995703916667E-009</v>
      </c>
      <c r="C28" s="14" t="n">
        <f aca="false">B28/$B$6</f>
        <v>0.191788344417244</v>
      </c>
      <c r="D28" s="29" t="n">
        <f aca="false">SUMIF(Scenarios!$B$6:$B$105,A28,Scenarios!$X$6:$X$105)/SUM(Scenarios!$X$6:$X$105)</f>
        <v>0.147214125888316</v>
      </c>
    </row>
    <row r="29" customFormat="false" ht="15" hidden="false" customHeight="false" outlineLevel="0" collapsed="false">
      <c r="A29" s="5" t="s">
        <v>50</v>
      </c>
      <c r="B29" s="13" t="n">
        <f aca="false">SUMIF(Scenarios!$B$6:$B$105,A29,Scenarios!$R$6:$R$105)</f>
        <v>6.3310954875E-009</v>
      </c>
      <c r="C29" s="14" t="n">
        <f aca="false">B29/$B$6</f>
        <v>0.384255325893709</v>
      </c>
      <c r="D29" s="29" t="n">
        <f aca="false">SUMIF(Scenarios!$B$6:$B$105,A29,Scenarios!$X$6:$X$105)/SUM(Scenarios!$X$6:$X$105)</f>
        <v>0.336783849589223</v>
      </c>
    </row>
    <row r="30" customFormat="false" ht="15" hidden="false" customHeight="false" outlineLevel="0" collapsed="false">
      <c r="A30" s="5" t="s">
        <v>51</v>
      </c>
      <c r="B30" s="13" t="n">
        <f aca="false">SUMIF(Scenarios!$B$6:$B$105,A30,Scenarios!$R$6:$R$105)</f>
        <v>2.4842888325E-009</v>
      </c>
      <c r="C30" s="14" t="n">
        <f aca="false">B30/$B$6</f>
        <v>0.150779784767287</v>
      </c>
      <c r="D30" s="29" t="n">
        <f aca="false">SUMIF(Scenarios!$B$6:$B$105,A30,Scenarios!$X$6:$X$105)/SUM(Scenarios!$X$6:$X$105)</f>
        <v>0.0970787513071776</v>
      </c>
    </row>
    <row r="32" customFormat="false" ht="15" hidden="false" customHeight="false" outlineLevel="0" collapsed="false">
      <c r="A32" s="3" t="s">
        <v>261</v>
      </c>
      <c r="B32" s="3" t="s">
        <v>258</v>
      </c>
      <c r="C32" s="3" t="s">
        <v>259</v>
      </c>
      <c r="D32" s="3" t="s">
        <v>260</v>
      </c>
    </row>
    <row r="33" customFormat="false" ht="15" hidden="false" customHeight="false" outlineLevel="0" collapsed="false">
      <c r="A33" s="5" t="s">
        <v>60</v>
      </c>
      <c r="B33" s="13" t="n">
        <f aca="false">SUMIF(Scenarios!$D$6:$D$105,A33,Scenarios!$R$6:$R$105)</f>
        <v>0</v>
      </c>
      <c r="C33" s="14" t="n">
        <f aca="false">B33/$B$6</f>
        <v>0</v>
      </c>
      <c r="D33" s="29" t="n">
        <f aca="false">SUMIF(Scenarios!$D$6:$D$105,A33,Scenarios!$X$6:$X$105)/SUM(Scenarios!$X$6:$X$105)</f>
        <v>0</v>
      </c>
    </row>
    <row r="34" customFormat="false" ht="15" hidden="false" customHeight="false" outlineLevel="0" collapsed="false">
      <c r="A34" s="5" t="s">
        <v>62</v>
      </c>
      <c r="B34" s="13" t="n">
        <f aca="false">SUMIF(Scenarios!$D$6:$D$105,A34,Scenarios!$R$6:$R$105)</f>
        <v>4.752755E-011</v>
      </c>
      <c r="C34" s="14" t="n">
        <f aca="false">B34/$B$6</f>
        <v>0.00288460571321932</v>
      </c>
      <c r="D34" s="29" t="n">
        <f aca="false">SUMIF(Scenarios!$D$6:$D$105,A34,Scenarios!$X$6:$X$105)/SUM(Scenarios!$X$6:$X$105)</f>
        <v>0.00442044897714417</v>
      </c>
    </row>
    <row r="35" customFormat="false" ht="15" hidden="false" customHeight="false" outlineLevel="0" collapsed="false">
      <c r="A35" s="5" t="s">
        <v>63</v>
      </c>
      <c r="B35" s="13" t="n">
        <f aca="false">SUMIF(Scenarios!$D$6:$D$105,A35,Scenarios!$R$6:$R$105)</f>
        <v>6.1025629375E-010</v>
      </c>
      <c r="C35" s="14" t="n">
        <f aca="false">B35/$B$6</f>
        <v>0.0370384922319644</v>
      </c>
      <c r="D35" s="29" t="n">
        <f aca="false">SUMIF(Scenarios!$D$6:$D$105,A35,Scenarios!$X$6:$X$105)/SUM(Scenarios!$X$6:$X$105)</f>
        <v>0.0357870587070705</v>
      </c>
    </row>
    <row r="36" customFormat="false" ht="15" hidden="false" customHeight="false" outlineLevel="0" collapsed="false">
      <c r="A36" s="5" t="s">
        <v>64</v>
      </c>
      <c r="B36" s="13" t="n">
        <f aca="false">SUMIF(Scenarios!$D$6:$D$105,A36,Scenarios!$R$6:$R$105)</f>
        <v>4.18163145291667E-009</v>
      </c>
      <c r="C36" s="14" t="n">
        <f aca="false">B36/$B$6</f>
        <v>0.253797176157009</v>
      </c>
      <c r="D36" s="29" t="n">
        <f aca="false">SUMIF(Scenarios!$D$6:$D$105,A36,Scenarios!$X$6:$X$105)/SUM(Scenarios!$X$6:$X$105)</f>
        <v>0.250373116991157</v>
      </c>
    </row>
    <row r="37" customFormat="false" ht="15" hidden="false" customHeight="false" outlineLevel="0" collapsed="false">
      <c r="A37" s="5" t="s">
        <v>65</v>
      </c>
      <c r="B37" s="13" t="n">
        <f aca="false">SUMIF(Scenarios!$D$6:$D$105,A37,Scenarios!$R$6:$R$105)</f>
        <v>1.16368572775E-008</v>
      </c>
      <c r="C37" s="14" t="n">
        <f aca="false">B37/$B$6</f>
        <v>0.706279725897808</v>
      </c>
      <c r="D37" s="29" t="n">
        <f aca="false">SUMIF(Scenarios!$D$6:$D$105,A37,Scenarios!$X$6:$X$105)/SUM(Scenarios!$X$6:$X$105)</f>
        <v>0.709419375324629</v>
      </c>
    </row>
    <row r="39" customFormat="false" ht="15" hidden="false" customHeight="false" outlineLevel="0" collapsed="false">
      <c r="A39" s="3" t="s">
        <v>262</v>
      </c>
      <c r="B39" s="3" t="s">
        <v>258</v>
      </c>
      <c r="C39" s="3" t="s">
        <v>259</v>
      </c>
      <c r="D39" s="3" t="s">
        <v>260</v>
      </c>
    </row>
    <row r="40" customFormat="false" ht="15" hidden="false" customHeight="false" outlineLevel="0" collapsed="false">
      <c r="A40" s="5" t="s">
        <v>54</v>
      </c>
      <c r="B40" s="13" t="n">
        <f aca="false">SUMIF(Scenarios!$C$6:$C$105,A40,Scenarios!$R$6:$R$105)</f>
        <v>1.43678930966667E-008</v>
      </c>
      <c r="C40" s="14" t="n">
        <f aca="false">B40/$B$6</f>
        <v>0.872035409222001</v>
      </c>
      <c r="D40" s="29" t="n">
        <f aca="false">SUMIF(Scenarios!$C$6:$C$105,A40,Scenarios!$X$6:$X$105)/SUM(Scenarios!$X$6:$X$105)</f>
        <v>0.570068176505295</v>
      </c>
    </row>
    <row r="41" customFormat="false" ht="15" hidden="false" customHeight="false" outlineLevel="0" collapsed="false">
      <c r="A41" s="5" t="s">
        <v>56</v>
      </c>
      <c r="B41" s="13" t="n">
        <f aca="false">SUMIF(Scenarios!$C$6:$C$105,A41,Scenarios!$R$6:$R$105)</f>
        <v>1.15205505E-009</v>
      </c>
      <c r="C41" s="14" t="n">
        <f aca="false">B41/$B$6</f>
        <v>0.0699220679200416</v>
      </c>
      <c r="D41" s="29" t="n">
        <f aca="false">SUMIF(Scenarios!$C$6:$C$105,A41,Scenarios!$X$6:$X$105)/SUM(Scenarios!$X$6:$X$105)</f>
        <v>0.347376176700743</v>
      </c>
    </row>
    <row r="42" customFormat="false" ht="15" hidden="false" customHeight="false" outlineLevel="0" collapsed="false">
      <c r="A42" s="5" t="s">
        <v>57</v>
      </c>
      <c r="B42" s="13" t="n">
        <f aca="false">SUMIF(Scenarios!$C$6:$C$105,A42,Scenarios!$R$6:$R$105)</f>
        <v>4.534174275E-010</v>
      </c>
      <c r="C42" s="14" t="n">
        <f aca="false">B42/$B$6</f>
        <v>0.0275194177238193</v>
      </c>
      <c r="D42" s="29" t="n">
        <f aca="false">SUMIF(Scenarios!$C$6:$C$105,A42,Scenarios!$X$6:$X$105)/SUM(Scenarios!$X$6:$X$105)</f>
        <v>0.0552971301550668</v>
      </c>
    </row>
    <row r="43" customFormat="false" ht="15" hidden="false" customHeight="false" outlineLevel="0" collapsed="false">
      <c r="A43" s="5" t="s">
        <v>58</v>
      </c>
      <c r="B43" s="13" t="n">
        <f aca="false">SUMIF(Scenarios!$C$6:$C$105,A43,Scenarios!$R$6:$R$105)</f>
        <v>5.02907E-010</v>
      </c>
      <c r="C43" s="14" t="n">
        <f aca="false">B43/$B$6</f>
        <v>0.0305231051341378</v>
      </c>
      <c r="D43" s="29" t="n">
        <f aca="false">SUMIF(Scenarios!$C$6:$C$105,A43,Scenarios!$X$6:$X$105)/SUM(Scenarios!$X$6:$X$105)</f>
        <v>0.0272585166388958</v>
      </c>
    </row>
    <row r="45" customFormat="false" ht="15" hidden="false" customHeight="false" outlineLevel="0" collapsed="false">
      <c r="A45" s="5" t="s">
        <v>263</v>
      </c>
      <c r="B45" s="11" t="n">
        <f aca="false">COUNTIF(Scenarios!U6:U105,"&lt;="&amp;B11*0.001)</f>
        <v>0</v>
      </c>
    </row>
    <row r="46" customFormat="false" ht="15" hidden="false" customHeight="false" outlineLevel="0" collapsed="false">
      <c r="A46" s="5" t="s">
        <v>264</v>
      </c>
      <c r="B46" s="13" t="n">
        <f aca="false">SUMIF(Scenarios!U6:U105,"&lt;="&amp;B11*0.001)</f>
        <v>0</v>
      </c>
      <c r="C46" s="5" t="s">
        <v>235</v>
      </c>
    </row>
    <row r="48" customFormat="false" ht="15" hidden="false" customHeight="false" outlineLevel="0" collapsed="false">
      <c r="A48" s="3" t="s">
        <v>265</v>
      </c>
    </row>
    <row r="49" customFormat="false" ht="15" hidden="false" customHeight="false" outlineLevel="0" collapsed="false">
      <c r="A49" s="5" t="s">
        <v>266</v>
      </c>
      <c r="B49" s="17" t="n">
        <f aca="false">SUM(Scenarios!X6:X105)</f>
        <v>2.403842246555E-008</v>
      </c>
      <c r="C49" s="5" t="s">
        <v>235</v>
      </c>
    </row>
    <row r="50" customFormat="false" ht="15" hidden="false" customHeight="false" outlineLevel="0" collapsed="false">
      <c r="A50" s="5" t="s">
        <v>267</v>
      </c>
      <c r="B50" s="17" t="n">
        <f aca="false">SUMPRODUCT(Scenarios!I6:I105,Scenarios!W6:W105)</f>
        <v>9.612E-005</v>
      </c>
      <c r="C50" s="5" t="s">
        <v>235</v>
      </c>
    </row>
    <row r="51" customFormat="false" ht="15" hidden="false" customHeight="false" outlineLevel="0" collapsed="false">
      <c r="A51" s="5" t="s">
        <v>268</v>
      </c>
      <c r="B51" s="29" t="n">
        <f aca="false">EXP(-B50*B21)</f>
        <v>0.42139765007392</v>
      </c>
      <c r="D51" s="5" t="s">
        <v>269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9" min="7" style="0" width="14"/>
    <col collapsed="false" customWidth="true" hidden="false" outlineLevel="0" max="10" min="10" style="0" width="13"/>
    <col collapsed="false" customWidth="true" hidden="false" outlineLevel="0" max="12" min="11" style="0" width="14"/>
  </cols>
  <sheetData>
    <row r="1" customFormat="false" ht="17.35" hidden="false" customHeight="false" outlineLevel="0" collapsed="false">
      <c r="A1" s="1" t="s">
        <v>270</v>
      </c>
    </row>
    <row r="2" customFormat="false" ht="15" hidden="false" customHeight="false" outlineLevel="0" collapsed="false">
      <c r="A2" s="2" t="s">
        <v>271</v>
      </c>
    </row>
    <row r="3" customFormat="false" ht="15" hidden="false" customHeight="false" outlineLevel="0" collapsed="false">
      <c r="A3" s="19" t="s">
        <v>272</v>
      </c>
    </row>
    <row r="5" customFormat="false" ht="45" hidden="false" customHeight="true" outlineLevel="0" collapsed="false">
      <c r="A5" s="7" t="s">
        <v>70</v>
      </c>
      <c r="B5" s="7" t="s">
        <v>43</v>
      </c>
      <c r="C5" s="7" t="s">
        <v>71</v>
      </c>
      <c r="D5" s="7" t="s">
        <v>273</v>
      </c>
      <c r="E5" s="7" t="s">
        <v>274</v>
      </c>
      <c r="F5" s="7" t="s">
        <v>275</v>
      </c>
      <c r="G5" s="7" t="s">
        <v>276</v>
      </c>
      <c r="H5" s="7" t="s">
        <v>277</v>
      </c>
      <c r="I5" s="7" t="s">
        <v>278</v>
      </c>
      <c r="J5" s="7" t="s">
        <v>279</v>
      </c>
      <c r="K5" s="7" t="s">
        <v>280</v>
      </c>
      <c r="L5" s="7" t="s">
        <v>281</v>
      </c>
    </row>
    <row r="6" customFormat="false" ht="15" hidden="false" customHeight="false" outlineLevel="0" collapsed="false">
      <c r="A6" s="6" t="str">
        <f aca="false">'HB Evidence'!A6</f>
        <v>T1S1</v>
      </c>
      <c r="B6" s="6" t="str">
        <f aca="false">'HB Evidence'!B6</f>
        <v>Clear road, no trigger</v>
      </c>
      <c r="C6" s="6" t="str">
        <f aca="false">'HB Evidence'!C6</f>
        <v>≤ 30 km/h</v>
      </c>
      <c r="D6" s="22" t="n">
        <f aca="false">'HB Evidence'!J6</f>
        <v>0.000162227073767628</v>
      </c>
      <c r="E6" s="30" t="n">
        <f aca="false">'HB Evidence'!E6</f>
        <v>0</v>
      </c>
      <c r="F6" s="28" t="n">
        <f aca="false">'HB Evidence'!D6</f>
        <v>12000</v>
      </c>
      <c r="G6" s="13" t="n">
        <f aca="false">Inputs!$B$11*SQRT(D6)/SUMPRODUCT(SQRT($D$6:$D$25))</f>
        <v>1.84175382822223E-008</v>
      </c>
      <c r="H6" s="13" t="n">
        <f aca="false">G6/D6</f>
        <v>0.000113529374934071</v>
      </c>
      <c r="I6" s="18" t="n">
        <f aca="false">CHIINV(1-Inputs!$B$10,2*(E6+1))/2/H6</f>
        <v>68556.9177215677</v>
      </c>
      <c r="J6" s="18" t="n">
        <f aca="false">MAX(0,I6-F6)</f>
        <v>56556.9177215677</v>
      </c>
      <c r="K6" s="13" t="n">
        <f aca="false">Inputs!$B$11/20</f>
        <v>4.5E-009</v>
      </c>
      <c r="L6" s="18" t="n">
        <f aca="false">CHIINV(1-Inputs!$B$10,2*(E6+1))/2/(K6/D6)</f>
        <v>280588.812588475</v>
      </c>
    </row>
    <row r="7" customFormat="false" ht="15" hidden="false" customHeight="false" outlineLevel="0" collapsed="false">
      <c r="A7" s="6" t="str">
        <f aca="false">'HB Evidence'!A7</f>
        <v>T1S2</v>
      </c>
      <c r="B7" s="6" t="str">
        <f aca="false">'HB Evidence'!B7</f>
        <v>Clear road, no trigger</v>
      </c>
      <c r="C7" s="6" t="str">
        <f aca="false">'HB Evidence'!C7</f>
        <v>31–50 km/h</v>
      </c>
      <c r="D7" s="22" t="n">
        <f aca="false">'HB Evidence'!J7</f>
        <v>0.000119767712199465</v>
      </c>
      <c r="E7" s="30" t="n">
        <f aca="false">'HB Evidence'!E7</f>
        <v>0</v>
      </c>
      <c r="F7" s="28" t="n">
        <f aca="false">'HB Evidence'!D7</f>
        <v>14000</v>
      </c>
      <c r="G7" s="13" t="n">
        <f aca="false">Inputs!$B$11*SQRT(D7)/SUMPRODUCT(SQRT($D$6:$D$25))</f>
        <v>1.5824856876954E-008</v>
      </c>
      <c r="H7" s="13" t="n">
        <f aca="false">G7/D7</f>
        <v>0.000132129574710409</v>
      </c>
      <c r="I7" s="18" t="n">
        <f aca="false">CHIINV(1-Inputs!$B$10,2*(E7+1))/2/H7</f>
        <v>58905.9946147165</v>
      </c>
      <c r="J7" s="18" t="n">
        <f aca="false">MAX(0,I7-F7)</f>
        <v>44905.9946147165</v>
      </c>
      <c r="K7" s="13" t="n">
        <f aca="false">Inputs!$B$11/20</f>
        <v>4.5E-009</v>
      </c>
      <c r="L7" s="18" t="n">
        <f aca="false">CHIINV(1-Inputs!$B$10,2*(E7+1))/2/(K7/D7)</f>
        <v>207150.874216114</v>
      </c>
    </row>
    <row r="8" customFormat="false" ht="15" hidden="false" customHeight="false" outlineLevel="0" collapsed="false">
      <c r="A8" s="6" t="str">
        <f aca="false">'HB Evidence'!A8</f>
        <v>T1S3</v>
      </c>
      <c r="B8" s="6" t="str">
        <f aca="false">'HB Evidence'!B8</f>
        <v>Clear road, no trigger</v>
      </c>
      <c r="C8" s="6" t="str">
        <f aca="false">'HB Evidence'!C8</f>
        <v>51–70 km/h</v>
      </c>
      <c r="D8" s="22" t="n">
        <f aca="false">'HB Evidence'!J8</f>
        <v>2.32869397378673E-005</v>
      </c>
      <c r="E8" s="30" t="n">
        <f aca="false">'HB Evidence'!E8</f>
        <v>0</v>
      </c>
      <c r="F8" s="28" t="n">
        <f aca="false">'HB Evidence'!D8</f>
        <v>6000</v>
      </c>
      <c r="G8" s="13" t="n">
        <f aca="false">Inputs!$B$11*SQRT(D8)/SUMPRODUCT(SQRT($D$6:$D$25))</f>
        <v>6.97792221043643E-009</v>
      </c>
      <c r="H8" s="13" t="n">
        <f aca="false">G8/D8</f>
        <v>0.000299649601406814</v>
      </c>
      <c r="I8" s="18" t="n">
        <f aca="false">CHIINV(1-Inputs!$B$10,2*(E8+1))/2/H8</f>
        <v>25974.4180529358</v>
      </c>
      <c r="J8" s="18" t="n">
        <f aca="false">MAX(0,I8-F8)</f>
        <v>19974.4180529358</v>
      </c>
      <c r="K8" s="13" t="n">
        <f aca="false">Inputs!$B$11/20</f>
        <v>4.5E-009</v>
      </c>
      <c r="L8" s="18" t="n">
        <f aca="false">CHIINV(1-Inputs!$B$10,2*(E8+1))/2/(K8/D8)</f>
        <v>40277.2152521648</v>
      </c>
    </row>
    <row r="9" customFormat="false" ht="15" hidden="false" customHeight="false" outlineLevel="0" collapsed="false">
      <c r="A9" s="6" t="str">
        <f aca="false">'HB Evidence'!A9</f>
        <v>T1S4</v>
      </c>
      <c r="B9" s="6" t="str">
        <f aca="false">'HB Evidence'!B9</f>
        <v>Clear road, no trigger</v>
      </c>
      <c r="C9" s="6" t="str">
        <f aca="false">'HB Evidence'!C9</f>
        <v>71–90 km/h</v>
      </c>
      <c r="D9" s="22" t="n">
        <f aca="false">'HB Evidence'!J9</f>
        <v>7.01347475768966E-006</v>
      </c>
      <c r="E9" s="30" t="n">
        <f aca="false">'HB Evidence'!E9</f>
        <v>0</v>
      </c>
      <c r="F9" s="28" t="n">
        <f aca="false">'HB Evidence'!D9</f>
        <v>4000</v>
      </c>
      <c r="G9" s="13" t="n">
        <f aca="false">Inputs!$B$11*SQRT(D9)/SUMPRODUCT(SQRT($D$6:$D$25))</f>
        <v>3.82945114341627E-009</v>
      </c>
      <c r="H9" s="13" t="n">
        <f aca="false">G9/D9</f>
        <v>0.000546013392180191</v>
      </c>
      <c r="I9" s="18" t="n">
        <f aca="false">CHIINV(1-Inputs!$B$10,2*(E9+1))/2/H9</f>
        <v>14254.639405928</v>
      </c>
      <c r="J9" s="18" t="n">
        <f aca="false">MAX(0,I9-F9)</f>
        <v>10254.639405928</v>
      </c>
      <c r="K9" s="13" t="n">
        <f aca="false">Inputs!$B$11/20</f>
        <v>4.5E-009</v>
      </c>
      <c r="L9" s="18" t="n">
        <f aca="false">CHIINV(1-Inputs!$B$10,2*(E9+1))/2/(K9/D9)</f>
        <v>12130.5433715594</v>
      </c>
    </row>
    <row r="10" customFormat="false" ht="15" hidden="false" customHeight="false" outlineLevel="0" collapsed="false">
      <c r="A10" s="6" t="str">
        <f aca="false">'HB Evidence'!A10</f>
        <v>T2S1</v>
      </c>
      <c r="B10" s="6" t="str">
        <f aca="false">'HB Evidence'!B10</f>
        <v>Overhead structure (bridge, gantry)</v>
      </c>
      <c r="C10" s="6" t="str">
        <f aca="false">'HB Evidence'!C10</f>
        <v>≤ 30 km/h</v>
      </c>
      <c r="D10" s="22" t="n">
        <f aca="false">'HB Evidence'!J10</f>
        <v>1.08908557989372E-005</v>
      </c>
      <c r="E10" s="30" t="n">
        <f aca="false">'HB Evidence'!E10</f>
        <v>1</v>
      </c>
      <c r="F10" s="28" t="n">
        <f aca="false">'HB Evidence'!D10</f>
        <v>3000</v>
      </c>
      <c r="G10" s="13" t="n">
        <f aca="false">Inputs!$B$11*SQRT(D10)/SUMPRODUCT(SQRT($D$6:$D$25))</f>
        <v>4.77200530585554E-009</v>
      </c>
      <c r="H10" s="13" t="n">
        <f aca="false">G10/D10</f>
        <v>0.000438166237250266</v>
      </c>
      <c r="I10" s="18" t="n">
        <f aca="false">CHIINV(1-Inputs!$B$10,2*(E10+1))/2/H10</f>
        <v>23276.6753659094</v>
      </c>
      <c r="J10" s="18" t="n">
        <f aca="false">MAX(0,I10-F10)</f>
        <v>20276.6753659094</v>
      </c>
      <c r="K10" s="13" t="n">
        <f aca="false">Inputs!$B$11/20</f>
        <v>4.5E-009</v>
      </c>
      <c r="L10" s="18" t="n">
        <f aca="false">CHIINV(1-Inputs!$B$10,2*(E10+1))/2/(K10/D10)</f>
        <v>24683.6485219548</v>
      </c>
    </row>
    <row r="11" customFormat="false" ht="15" hidden="false" customHeight="false" outlineLevel="0" collapsed="false">
      <c r="A11" s="6" t="str">
        <f aca="false">'HB Evidence'!A11</f>
        <v>T2S2</v>
      </c>
      <c r="B11" s="6" t="str">
        <f aca="false">'HB Evidence'!B11</f>
        <v>Overhead structure (bridge, gantry)</v>
      </c>
      <c r="C11" s="6" t="str">
        <f aca="false">'HB Evidence'!C11</f>
        <v>31–50 km/h</v>
      </c>
      <c r="D11" s="22" t="n">
        <f aca="false">'HB Evidence'!J11</f>
        <v>6.99426480162254E-006</v>
      </c>
      <c r="E11" s="30" t="n">
        <f aca="false">'HB Evidence'!E11</f>
        <v>1</v>
      </c>
      <c r="F11" s="28" t="n">
        <f aca="false">'HB Evidence'!D11</f>
        <v>4000</v>
      </c>
      <c r="G11" s="13" t="n">
        <f aca="false">Inputs!$B$11*SQRT(D11)/SUMPRODUCT(SQRT($D$6:$D$25))</f>
        <v>3.82420310070789E-009</v>
      </c>
      <c r="H11" s="13" t="n">
        <f aca="false">G11/D11</f>
        <v>0.000546762699036037</v>
      </c>
      <c r="I11" s="18" t="n">
        <f aca="false">CHIINV(1-Inputs!$B$10,2*(E11+1))/2/H11</f>
        <v>18653.5278993205</v>
      </c>
      <c r="J11" s="18" t="n">
        <f aca="false">MAX(0,I11-F11)</f>
        <v>14653.5278993205</v>
      </c>
      <c r="K11" s="13" t="n">
        <f aca="false">Inputs!$B$11/20</f>
        <v>4.5E-009</v>
      </c>
      <c r="L11" s="18" t="n">
        <f aca="false">CHIINV(1-Inputs!$B$10,2*(E11+1))/2/(K11/D11)</f>
        <v>15852.1953848273</v>
      </c>
    </row>
    <row r="12" customFormat="false" ht="15" hidden="false" customHeight="false" outlineLevel="0" collapsed="false">
      <c r="A12" s="6" t="str">
        <f aca="false">'HB Evidence'!A12</f>
        <v>T2S3</v>
      </c>
      <c r="B12" s="6" t="str">
        <f aca="false">'HB Evidence'!B12</f>
        <v>Overhead structure (bridge, gantry)</v>
      </c>
      <c r="C12" s="6" t="str">
        <f aca="false">'HB Evidence'!C12</f>
        <v>51–70 km/h</v>
      </c>
      <c r="D12" s="22" t="n">
        <f aca="false">'HB Evidence'!J12</f>
        <v>9.59157995448264E-007</v>
      </c>
      <c r="E12" s="30" t="n">
        <f aca="false">'HB Evidence'!E12</f>
        <v>1</v>
      </c>
      <c r="F12" s="28" t="n">
        <f aca="false">'HB Evidence'!D12</f>
        <v>2500</v>
      </c>
      <c r="G12" s="13" t="n">
        <f aca="false">Inputs!$B$11*SQRT(D12)/SUMPRODUCT(SQRT($D$6:$D$25))</f>
        <v>1.41616869429905E-009</v>
      </c>
      <c r="H12" s="13" t="n">
        <f aca="false">G12/D12</f>
        <v>0.00147647071808769</v>
      </c>
      <c r="I12" s="18" t="n">
        <f aca="false">CHIINV(1-Inputs!$B$10,2*(E12+1))/2/H12</f>
        <v>6907.7247085443</v>
      </c>
      <c r="J12" s="18" t="n">
        <f aca="false">MAX(0,I12-F12)</f>
        <v>4407.7247085443</v>
      </c>
      <c r="K12" s="13" t="n">
        <f aca="false">Inputs!$B$11/20</f>
        <v>4.5E-009</v>
      </c>
      <c r="L12" s="18" t="n">
        <f aca="false">CHIINV(1-Inputs!$B$10,2*(E12+1))/2/(K12/D12)</f>
        <v>2173.88966246144</v>
      </c>
    </row>
    <row r="13" customFormat="false" ht="15" hidden="false" customHeight="false" outlineLevel="0" collapsed="false">
      <c r="A13" s="6" t="str">
        <f aca="false">'HB Evidence'!A13</f>
        <v>T2S4</v>
      </c>
      <c r="B13" s="6" t="str">
        <f aca="false">'HB Evidence'!B13</f>
        <v>Overhead structure (bridge, gantry)</v>
      </c>
      <c r="C13" s="6" t="str">
        <f aca="false">'HB Evidence'!C13</f>
        <v>71–90 km/h</v>
      </c>
      <c r="D13" s="22" t="n">
        <f aca="false">'HB Evidence'!J13</f>
        <v>3.72480315876747E-007</v>
      </c>
      <c r="E13" s="30" t="n">
        <f aca="false">'HB Evidence'!E13</f>
        <v>4</v>
      </c>
      <c r="F13" s="28" t="n">
        <f aca="false">'HB Evidence'!D13</f>
        <v>2000</v>
      </c>
      <c r="G13" s="13" t="n">
        <f aca="false">Inputs!$B$11*SQRT(D13)/SUMPRODUCT(SQRT($D$6:$D$25))</f>
        <v>8.82513946744678E-010</v>
      </c>
      <c r="H13" s="13" t="n">
        <f aca="false">G13/D13</f>
        <v>0.00236929015877634</v>
      </c>
      <c r="I13" s="18" t="n">
        <f aca="false">CHIINV(1-Inputs!$B$10,2*(E13+1))/2/H13</f>
        <v>6731.21711594182</v>
      </c>
      <c r="J13" s="18" t="n">
        <f aca="false">MAX(0,I13-F13)</f>
        <v>4731.21711594182</v>
      </c>
      <c r="K13" s="13" t="n">
        <f aca="false">Inputs!$B$11/20</f>
        <v>4.5E-009</v>
      </c>
      <c r="L13" s="18" t="n">
        <f aca="false">CHIINV(1-Inputs!$B$10,2*(E13+1))/2/(K13/D13)</f>
        <v>1320.08732964114</v>
      </c>
    </row>
    <row r="14" customFormat="false" ht="15" hidden="false" customHeight="false" outlineLevel="0" collapsed="false">
      <c r="A14" s="6" t="str">
        <f aca="false">'HB Evidence'!A14</f>
        <v>T3S1</v>
      </c>
      <c r="B14" s="6" t="str">
        <f aca="false">'HB Evidence'!B14</f>
        <v>Low sun / hard shadow</v>
      </c>
      <c r="C14" s="6" t="str">
        <f aca="false">'HB Evidence'!C14</f>
        <v>≤ 30 km/h</v>
      </c>
      <c r="D14" s="22" t="n">
        <f aca="false">'HB Evidence'!J14</f>
        <v>1.18308206308125E-005</v>
      </c>
      <c r="E14" s="30" t="n">
        <f aca="false">'HB Evidence'!E14</f>
        <v>1</v>
      </c>
      <c r="F14" s="28" t="n">
        <f aca="false">'HB Evidence'!D14</f>
        <v>3000</v>
      </c>
      <c r="G14" s="13" t="n">
        <f aca="false">Inputs!$B$11*SQRT(D14)/SUMPRODUCT(SQRT($D$6:$D$25))</f>
        <v>4.97367437790561E-009</v>
      </c>
      <c r="H14" s="13" t="n">
        <f aca="false">G14/D14</f>
        <v>0.000420399778942809</v>
      </c>
      <c r="I14" s="18" t="n">
        <f aca="false">CHIINV(1-Inputs!$B$10,2*(E14+1))/2/H14</f>
        <v>24260.3678013921</v>
      </c>
      <c r="J14" s="18" t="n">
        <f aca="false">MAX(0,I14-F14)</f>
        <v>21260.3678013921</v>
      </c>
      <c r="K14" s="13" t="n">
        <f aca="false">Inputs!$B$11/20</f>
        <v>4.5E-009</v>
      </c>
      <c r="L14" s="18" t="n">
        <f aca="false">CHIINV(1-Inputs!$B$10,2*(E14+1))/2/(K14/D14)</f>
        <v>26814.0377183001</v>
      </c>
    </row>
    <row r="15" customFormat="false" ht="15" hidden="false" customHeight="false" outlineLevel="0" collapsed="false">
      <c r="A15" s="6" t="str">
        <f aca="false">'HB Evidence'!A15</f>
        <v>T3S2</v>
      </c>
      <c r="B15" s="6" t="str">
        <f aca="false">'HB Evidence'!B15</f>
        <v>Low sun / hard shadow</v>
      </c>
      <c r="C15" s="6" t="str">
        <f aca="false">'HB Evidence'!C15</f>
        <v>31–50 km/h</v>
      </c>
      <c r="D15" s="22" t="n">
        <f aca="false">'HB Evidence'!J15</f>
        <v>8.93493664892457E-006</v>
      </c>
      <c r="E15" s="30" t="n">
        <f aca="false">'HB Evidence'!E15</f>
        <v>0</v>
      </c>
      <c r="F15" s="28" t="n">
        <f aca="false">'HB Evidence'!D15</f>
        <v>3500</v>
      </c>
      <c r="G15" s="13" t="n">
        <f aca="false">Inputs!$B$11*SQRT(D15)/SUMPRODUCT(SQRT($D$6:$D$25))</f>
        <v>4.32230742355213E-009</v>
      </c>
      <c r="H15" s="13" t="n">
        <f aca="false">G15/D15</f>
        <v>0.000483753561260267</v>
      </c>
      <c r="I15" s="18" t="n">
        <f aca="false">CHIINV(1-Inputs!$B$10,2*(E15+1))/2/H15</f>
        <v>16089.2335263836</v>
      </c>
      <c r="J15" s="18" t="n">
        <f aca="false">MAX(0,I15-F15)</f>
        <v>12589.2335263836</v>
      </c>
      <c r="K15" s="13" t="n">
        <f aca="false">Inputs!$B$11/20</f>
        <v>4.5E-009</v>
      </c>
      <c r="L15" s="18" t="n">
        <f aca="false">CHIINV(1-Inputs!$B$10,2*(E15+1))/2/(K15/D15)</f>
        <v>15453.9141134115</v>
      </c>
    </row>
    <row r="16" customFormat="false" ht="15" hidden="false" customHeight="false" outlineLevel="0" collapsed="false">
      <c r="A16" s="6" t="str">
        <f aca="false">'HB Evidence'!A16</f>
        <v>T3S3</v>
      </c>
      <c r="B16" s="6" t="str">
        <f aca="false">'HB Evidence'!B16</f>
        <v>Low sun / hard shadow</v>
      </c>
      <c r="C16" s="6" t="str">
        <f aca="false">'HB Evidence'!C16</f>
        <v>51–70 km/h</v>
      </c>
      <c r="D16" s="22" t="n">
        <f aca="false">'HB Evidence'!J16</f>
        <v>4.21202636194024E-006</v>
      </c>
      <c r="E16" s="30" t="n">
        <f aca="false">'HB Evidence'!E16</f>
        <v>0</v>
      </c>
      <c r="F16" s="28" t="n">
        <f aca="false">'HB Evidence'!D16</f>
        <v>2000</v>
      </c>
      <c r="G16" s="13" t="n">
        <f aca="false">Inputs!$B$11*SQRT(D16)/SUMPRODUCT(SQRT($D$6:$D$25))</f>
        <v>2.96766896033626E-009</v>
      </c>
      <c r="H16" s="13" t="n">
        <f aca="false">G16/D16</f>
        <v>0.0007045703671639</v>
      </c>
      <c r="I16" s="18" t="n">
        <f aca="false">CHIINV(1-Inputs!$B$10,2*(E16+1))/2/H16</f>
        <v>11046.7660564067</v>
      </c>
      <c r="J16" s="18" t="n">
        <f aca="false">MAX(0,I16-F16)</f>
        <v>9046.76605640666</v>
      </c>
      <c r="K16" s="13" t="n">
        <f aca="false">Inputs!$B$11/20</f>
        <v>4.5E-009</v>
      </c>
      <c r="L16" s="18" t="n">
        <f aca="false">CHIINV(1-Inputs!$B$10,2*(E16+1))/2/(K16/D16)</f>
        <v>7285.14327504317</v>
      </c>
    </row>
    <row r="17" customFormat="false" ht="15" hidden="false" customHeight="false" outlineLevel="0" collapsed="false">
      <c r="A17" s="6" t="str">
        <f aca="false">'HB Evidence'!A17</f>
        <v>T3S4</v>
      </c>
      <c r="B17" s="6" t="str">
        <f aca="false">'HB Evidence'!B17</f>
        <v>Low sun / hard shadow</v>
      </c>
      <c r="C17" s="6" t="str">
        <f aca="false">'HB Evidence'!C17</f>
        <v>71–90 km/h</v>
      </c>
      <c r="D17" s="22" t="n">
        <f aca="false">'HB Evidence'!J17</f>
        <v>3.83851167973904E-006</v>
      </c>
      <c r="E17" s="30" t="n">
        <f aca="false">'HB Evidence'!E17</f>
        <v>0</v>
      </c>
      <c r="F17" s="28" t="n">
        <f aca="false">'HB Evidence'!D17</f>
        <v>1500</v>
      </c>
      <c r="G17" s="13" t="n">
        <f aca="false">Inputs!$B$11*SQRT(D17)/SUMPRODUCT(SQRT($D$6:$D$25))</f>
        <v>2.83303113338017E-009</v>
      </c>
      <c r="H17" s="13" t="n">
        <f aca="false">G17/D17</f>
        <v>0.000738054582022993</v>
      </c>
      <c r="I17" s="18" t="n">
        <f aca="false">CHIINV(1-Inputs!$B$10,2*(E17+1))/2/H17</f>
        <v>10545.5940602692</v>
      </c>
      <c r="J17" s="18" t="n">
        <f aca="false">MAX(0,I17-F17)</f>
        <v>9045.59406026921</v>
      </c>
      <c r="K17" s="13" t="n">
        <f aca="false">Inputs!$B$11/20</f>
        <v>4.5E-009</v>
      </c>
      <c r="L17" s="18" t="n">
        <f aca="false">CHIINV(1-Inputs!$B$10,2*(E17+1))/2/(K17/D17)</f>
        <v>6639.11028727371</v>
      </c>
    </row>
    <row r="18" customFormat="false" ht="15" hidden="false" customHeight="false" outlineLevel="0" collapsed="false">
      <c r="A18" s="6" t="str">
        <f aca="false">'HB Evidence'!A18</f>
        <v>T4S1</v>
      </c>
      <c r="B18" s="6" t="str">
        <f aca="false">'HB Evidence'!B18</f>
        <v>Spray / heavy rain</v>
      </c>
      <c r="C18" s="6" t="str">
        <f aca="false">'HB Evidence'!C18</f>
        <v>≤ 30 km/h</v>
      </c>
      <c r="D18" s="22" t="n">
        <f aca="false">'HB Evidence'!J18</f>
        <v>9.46355294383304E-006</v>
      </c>
      <c r="E18" s="30" t="n">
        <f aca="false">'HB Evidence'!E18</f>
        <v>2</v>
      </c>
      <c r="F18" s="28" t="n">
        <f aca="false">'HB Evidence'!D18</f>
        <v>2500</v>
      </c>
      <c r="G18" s="13" t="n">
        <f aca="false">Inputs!$B$11*SQRT(D18)/SUMPRODUCT(SQRT($D$6:$D$25))</f>
        <v>4.44833024670529E-009</v>
      </c>
      <c r="H18" s="13" t="n">
        <f aca="false">G18/D18</f>
        <v>0.000470048645905665</v>
      </c>
      <c r="I18" s="18" t="n">
        <f aca="false">CHIINV(1-Inputs!$B$10,2*(E18+1))/2/H18</f>
        <v>26095.5511862339</v>
      </c>
      <c r="J18" s="18" t="n">
        <f aca="false">MAX(0,I18-F18)</f>
        <v>23595.5511862339</v>
      </c>
      <c r="K18" s="13" t="n">
        <f aca="false">Inputs!$B$11/20</f>
        <v>4.5E-009</v>
      </c>
      <c r="L18" s="18" t="n">
        <f aca="false">CHIINV(1-Inputs!$B$10,2*(E18+1))/2/(K18/D18)</f>
        <v>25795.9176991489</v>
      </c>
    </row>
    <row r="19" customFormat="false" ht="15" hidden="false" customHeight="false" outlineLevel="0" collapsed="false">
      <c r="A19" s="6" t="str">
        <f aca="false">'HB Evidence'!A19</f>
        <v>T4S2</v>
      </c>
      <c r="B19" s="6" t="str">
        <f aca="false">'HB Evidence'!B19</f>
        <v>Spray / heavy rain</v>
      </c>
      <c r="C19" s="6" t="str">
        <f aca="false">'HB Evidence'!C19</f>
        <v>31–50 km/h</v>
      </c>
      <c r="D19" s="22" t="n">
        <f aca="false">'HB Evidence'!J19</f>
        <v>7.15313144522955E-006</v>
      </c>
      <c r="E19" s="30" t="n">
        <f aca="false">'HB Evidence'!E19</f>
        <v>0</v>
      </c>
      <c r="F19" s="28" t="n">
        <f aca="false">'HB Evidence'!D19</f>
        <v>3000</v>
      </c>
      <c r="G19" s="13" t="n">
        <f aca="false">Inputs!$B$11*SQRT(D19)/SUMPRODUCT(SQRT($D$6:$D$25))</f>
        <v>3.86739041760698E-009</v>
      </c>
      <c r="H19" s="13" t="n">
        <f aca="false">G19/D19</f>
        <v>0.000540656976209512</v>
      </c>
      <c r="I19" s="18" t="n">
        <f aca="false">CHIINV(1-Inputs!$B$10,2*(E19+1))/2/H19</f>
        <v>14395.8634750327</v>
      </c>
      <c r="J19" s="18" t="n">
        <f aca="false">MAX(0,I19-F19)</f>
        <v>11395.8634750327</v>
      </c>
      <c r="K19" s="13" t="n">
        <f aca="false">Inputs!$B$11/20</f>
        <v>4.5E-009</v>
      </c>
      <c r="L19" s="18" t="n">
        <f aca="false">CHIINV(1-Inputs!$B$10,2*(E19+1))/2/(K19/D19)</f>
        <v>12372.0943236711</v>
      </c>
    </row>
    <row r="20" customFormat="false" ht="15" hidden="false" customHeight="false" outlineLevel="0" collapsed="false">
      <c r="A20" s="6" t="str">
        <f aca="false">'HB Evidence'!A20</f>
        <v>T4S3</v>
      </c>
      <c r="B20" s="6" t="str">
        <f aca="false">'HB Evidence'!B20</f>
        <v>Spray / heavy rain</v>
      </c>
      <c r="C20" s="6" t="str">
        <f aca="false">'HB Evidence'!C20</f>
        <v>51–70 km/h</v>
      </c>
      <c r="D20" s="22" t="n">
        <f aca="false">'HB Evidence'!J20</f>
        <v>1.06852450174407E-006</v>
      </c>
      <c r="E20" s="30" t="n">
        <f aca="false">'HB Evidence'!E20</f>
        <v>1</v>
      </c>
      <c r="F20" s="28" t="n">
        <f aca="false">'HB Evidence'!D20</f>
        <v>2000</v>
      </c>
      <c r="G20" s="13" t="n">
        <f aca="false">Inputs!$B$11*SQRT(D20)/SUMPRODUCT(SQRT($D$6:$D$25))</f>
        <v>1.49472795374042E-009</v>
      </c>
      <c r="H20" s="13" t="n">
        <f aca="false">G20/D20</f>
        <v>0.00139887101446967</v>
      </c>
      <c r="I20" s="18" t="n">
        <f aca="false">CHIINV(1-Inputs!$B$10,2*(E20+1))/2/H20</f>
        <v>7290.91757229891</v>
      </c>
      <c r="J20" s="18" t="n">
        <f aca="false">MAX(0,I20-F20)</f>
        <v>5290.91757229891</v>
      </c>
      <c r="K20" s="13" t="n">
        <f aca="false">Inputs!$B$11/20</f>
        <v>4.5E-009</v>
      </c>
      <c r="L20" s="18" t="n">
        <f aca="false">CHIINV(1-Inputs!$B$10,2*(E20+1))/2/(K20/D20)</f>
        <v>2421.76406749609</v>
      </c>
    </row>
    <row r="21" customFormat="false" ht="15" hidden="false" customHeight="false" outlineLevel="0" collapsed="false">
      <c r="A21" s="6" t="str">
        <f aca="false">'HB Evidence'!A21</f>
        <v>T4S4</v>
      </c>
      <c r="B21" s="6" t="str">
        <f aca="false">'HB Evidence'!B21</f>
        <v>Spray / heavy rain</v>
      </c>
      <c r="C21" s="6" t="str">
        <f aca="false">'HB Evidence'!C21</f>
        <v>71–90 km/h</v>
      </c>
      <c r="D21" s="22" t="n">
        <f aca="false">'HB Evidence'!J21</f>
        <v>5.19984701728053E-007</v>
      </c>
      <c r="E21" s="30" t="n">
        <f aca="false">'HB Evidence'!E21</f>
        <v>0</v>
      </c>
      <c r="F21" s="28" t="n">
        <f aca="false">'HB Evidence'!D21</f>
        <v>1500</v>
      </c>
      <c r="G21" s="13" t="n">
        <f aca="false">Inputs!$B$11*SQRT(D21)/SUMPRODUCT(SQRT($D$6:$D$25))</f>
        <v>1.04271398237591E-009</v>
      </c>
      <c r="H21" s="13" t="n">
        <f aca="false">G21/D21</f>
        <v>0.00200527819166735</v>
      </c>
      <c r="I21" s="18" t="n">
        <f aca="false">CHIINV(1-Inputs!$B$10,2*(E21+1))/2/H21</f>
        <v>3881.36870419189</v>
      </c>
      <c r="J21" s="18" t="n">
        <f aca="false">MAX(0,I21-F21)</f>
        <v>2381.36870419189</v>
      </c>
      <c r="K21" s="13" t="n">
        <f aca="false">Inputs!$B$11/20</f>
        <v>4.5E-009</v>
      </c>
      <c r="L21" s="18" t="n">
        <f aca="false">CHIINV(1-Inputs!$B$10,2*(E21+1))/2/(K21/D21)</f>
        <v>899.368315248261</v>
      </c>
    </row>
    <row r="22" customFormat="false" ht="15" hidden="false" customHeight="false" outlineLevel="0" collapsed="false">
      <c r="A22" s="6" t="str">
        <f aca="false">'HB Evidence'!A22</f>
        <v>T5S1</v>
      </c>
      <c r="B22" s="6" t="str">
        <f aca="false">'HB Evidence'!B22</f>
        <v>Roadside clutter / debris</v>
      </c>
      <c r="C22" s="6" t="str">
        <f aca="false">'HB Evidence'!C22</f>
        <v>≤ 30 km/h</v>
      </c>
      <c r="D22" s="22" t="n">
        <f aca="false">'HB Evidence'!J22</f>
        <v>5.81284077319545E-006</v>
      </c>
      <c r="E22" s="30" t="n">
        <f aca="false">'HB Evidence'!E22</f>
        <v>1</v>
      </c>
      <c r="F22" s="28" t="n">
        <f aca="false">'HB Evidence'!D22</f>
        <v>2000</v>
      </c>
      <c r="G22" s="13" t="n">
        <f aca="false">Inputs!$B$11*SQRT(D22)/SUMPRODUCT(SQRT($D$6:$D$25))</f>
        <v>3.48629495464563E-009</v>
      </c>
      <c r="H22" s="13" t="n">
        <f aca="false">G22/D22</f>
        <v>0.000599757517997373</v>
      </c>
      <c r="I22" s="18" t="n">
        <f aca="false">CHIINV(1-Inputs!$B$10,2*(E22+1))/2/H22</f>
        <v>17005.2945644296</v>
      </c>
      <c r="J22" s="18" t="n">
        <f aca="false">MAX(0,I22-F22)</f>
        <v>15005.2945644296</v>
      </c>
      <c r="K22" s="13" t="n">
        <f aca="false">Inputs!$B$11/20</f>
        <v>4.5E-009</v>
      </c>
      <c r="L22" s="18" t="n">
        <f aca="false">CHIINV(1-Inputs!$B$10,2*(E22+1))/2/(K22/D22)</f>
        <v>13174.5494760519</v>
      </c>
    </row>
    <row r="23" customFormat="false" ht="15" hidden="false" customHeight="false" outlineLevel="0" collapsed="false">
      <c r="A23" s="6" t="str">
        <f aca="false">'HB Evidence'!A23</f>
        <v>T5S2</v>
      </c>
      <c r="B23" s="6" t="str">
        <f aca="false">'HB Evidence'!B23</f>
        <v>Roadside clutter / debris</v>
      </c>
      <c r="C23" s="6" t="str">
        <f aca="false">'HB Evidence'!C23</f>
        <v>31–50 km/h</v>
      </c>
      <c r="D23" s="22" t="n">
        <f aca="false">'HB Evidence'!J23</f>
        <v>3.67775291056349E-006</v>
      </c>
      <c r="E23" s="30" t="n">
        <f aca="false">'HB Evidence'!E23</f>
        <v>0</v>
      </c>
      <c r="F23" s="28" t="n">
        <f aca="false">'HB Evidence'!D23</f>
        <v>2500</v>
      </c>
      <c r="G23" s="13" t="n">
        <f aca="false">Inputs!$B$11*SQRT(D23)/SUMPRODUCT(SQRT($D$6:$D$25))</f>
        <v>2.77307226930844E-009</v>
      </c>
      <c r="H23" s="13" t="n">
        <f aca="false">G23/D23</f>
        <v>0.000754012663913183</v>
      </c>
      <c r="I23" s="18" t="n">
        <f aca="false">CHIINV(1-Inputs!$B$10,2*(E23+1))/2/H23</f>
        <v>10322.4048995977</v>
      </c>
      <c r="J23" s="18" t="n">
        <f aca="false">MAX(0,I23-F23)</f>
        <v>7822.40489959769</v>
      </c>
      <c r="K23" s="13" t="n">
        <f aca="false">Inputs!$B$11/20</f>
        <v>4.5E-009</v>
      </c>
      <c r="L23" s="18" t="n">
        <f aca="false">CHIINV(1-Inputs!$B$10,2*(E23+1))/2/(K23/D23)</f>
        <v>6361.06106214398</v>
      </c>
    </row>
    <row r="24" customFormat="false" ht="15" hidden="false" customHeight="false" outlineLevel="0" collapsed="false">
      <c r="A24" s="6" t="str">
        <f aca="false">'HB Evidence'!A24</f>
        <v>T5S3</v>
      </c>
      <c r="B24" s="6" t="str">
        <f aca="false">'HB Evidence'!B24</f>
        <v>Roadside clutter / debris</v>
      </c>
      <c r="C24" s="6" t="str">
        <f aca="false">'HB Evidence'!C24</f>
        <v>51–70 km/h</v>
      </c>
      <c r="D24" s="22" t="n">
        <f aca="false">'HB Evidence'!J24</f>
        <v>7.07188144892193E-007</v>
      </c>
      <c r="E24" s="30" t="n">
        <f aca="false">'HB Evidence'!E24</f>
        <v>0</v>
      </c>
      <c r="F24" s="28" t="n">
        <f aca="false">'HB Evidence'!D24</f>
        <v>1500</v>
      </c>
      <c r="G24" s="13" t="n">
        <f aca="false">Inputs!$B$11*SQRT(D24)/SUMPRODUCT(SQRT($D$6:$D$25))</f>
        <v>1.21601070952057E-009</v>
      </c>
      <c r="H24" s="13" t="n">
        <f aca="false">G24/D24</f>
        <v>0.00171950098188643</v>
      </c>
      <c r="I24" s="18" t="n">
        <f aca="false">CHIINV(1-Inputs!$B$10,2*(E24+1))/2/H24</f>
        <v>4526.44348466573</v>
      </c>
      <c r="J24" s="18" t="n">
        <f aca="false">MAX(0,I24-F24)</f>
        <v>3026.44348466573</v>
      </c>
      <c r="K24" s="13" t="n">
        <f aca="false">Inputs!$B$11/20</f>
        <v>4.5E-009</v>
      </c>
      <c r="L24" s="18" t="n">
        <f aca="false">CHIINV(1-Inputs!$B$10,2*(E24+1))/2/(K24/D24)</f>
        <v>1223.15638964292</v>
      </c>
    </row>
    <row r="25" customFormat="false" ht="15" hidden="false" customHeight="false" outlineLevel="0" collapsed="false">
      <c r="A25" s="6" t="str">
        <f aca="false">'HB Evidence'!A25</f>
        <v>T5S4</v>
      </c>
      <c r="B25" s="6" t="str">
        <f aca="false">'HB Evidence'!B25</f>
        <v>Roadside clutter / debris</v>
      </c>
      <c r="C25" s="6" t="str">
        <f aca="false">'HB Evidence'!C25</f>
        <v>71–90 km/h</v>
      </c>
      <c r="D25" s="22" t="n">
        <f aca="false">'HB Evidence'!J25</f>
        <v>1.89890814781939E-007</v>
      </c>
      <c r="E25" s="30" t="n">
        <f aca="false">'HB Evidence'!E25</f>
        <v>2</v>
      </c>
      <c r="F25" s="28" t="n">
        <f aca="false">'HB Evidence'!D25</f>
        <v>1000</v>
      </c>
      <c r="G25" s="13" t="n">
        <f aca="false">Inputs!$B$11*SQRT(D25)/SUMPRODUCT(SQRT($D$6:$D$25))</f>
        <v>6.30118010286387E-010</v>
      </c>
      <c r="H25" s="13" t="n">
        <f aca="false">G25/D25</f>
        <v>0.00331831748160112</v>
      </c>
      <c r="I25" s="18" t="n">
        <f aca="false">CHIINV(1-Inputs!$B$10,2*(E25+1))/2/H25</f>
        <v>3696.50540289251</v>
      </c>
      <c r="J25" s="18" t="n">
        <f aca="false">MAX(0,I25-F25)</f>
        <v>2696.50540289251</v>
      </c>
      <c r="K25" s="13" t="n">
        <f aca="false">Inputs!$B$11/20</f>
        <v>4.5E-009</v>
      </c>
      <c r="L25" s="18" t="n">
        <f aca="false">CHIINV(1-Inputs!$B$10,2*(E25+1))/2/(K25/D25)</f>
        <v>517.607695440779</v>
      </c>
    </row>
    <row r="27" customFormat="false" ht="15" hidden="false" customHeight="false" outlineLevel="0" collapsed="false">
      <c r="C27" s="3" t="s">
        <v>100</v>
      </c>
      <c r="F27" s="18" t="n">
        <f aca="false">SUM(F6:F25)</f>
        <v>73500</v>
      </c>
      <c r="I27" s="18" t="n">
        <f aca="false">SUM(I6:I25)</f>
        <v>372417.425618659</v>
      </c>
      <c r="J27" s="18" t="n">
        <f aca="false">SUM(J6:J25)</f>
        <v>298917.425618659</v>
      </c>
      <c r="L27" s="18" t="n">
        <f aca="false">SUM(L6:L25)</f>
        <v>703134.990750071</v>
      </c>
    </row>
    <row r="29" customFormat="false" ht="15" hidden="false" customHeight="false" outlineLevel="0" collapsed="false">
      <c r="A29" s="3" t="s">
        <v>282</v>
      </c>
    </row>
    <row r="30" customFormat="false" ht="15" hidden="false" customHeight="false" outlineLevel="0" collapsed="false">
      <c r="A30" s="5" t="s">
        <v>283</v>
      </c>
    </row>
    <row r="31" customFormat="false" ht="15" hidden="false" customHeight="false" outlineLevel="0" collapsed="false">
      <c r="A31" s="5" t="s">
        <v>284</v>
      </c>
    </row>
    <row r="32" customFormat="false" ht="15" hidden="false" customHeight="false" outlineLevel="0" collapsed="false">
      <c r="A32" s="5" t="s">
        <v>285</v>
      </c>
    </row>
    <row r="33" customFormat="false" ht="15" hidden="false" customHeight="false" outlineLevel="0" collapsed="false">
      <c r="A33" s="5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2026-10-26T10:37:50Z</dcterms:created>
  <dc:creator>openpyxl</dc:creator>
  <dc:description/>
  <dc:language>en-US</dc:language>
  <cp:lastModifiedBy/>
  <dcterms:modified xsi:type="dcterms:W3CDTF">2026-10-26T10:37:51Z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